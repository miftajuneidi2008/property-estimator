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drawings/drawing7.xml" ContentType="application/vnd.openxmlformats-officedocument.drawing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anas\Desktop\elsi\"/>
    </mc:Choice>
  </mc:AlternateContent>
  <bookViews>
    <workbookView xWindow="0" yWindow="0" windowWidth="19635" windowHeight="7050" firstSheet="5" activeTab="7"/>
  </bookViews>
  <sheets>
    <sheet name="Location (2)" sheetId="25" r:id="rId1"/>
    <sheet name="Sheet1" sheetId="14" r:id="rId2"/>
    <sheet name="Villa Lower" sheetId="9" r:id="rId3"/>
    <sheet name="Villa Higher" sheetId="10" r:id="rId4"/>
    <sheet name="G+ Buildings" sheetId="12" r:id="rId5"/>
    <sheet name="Multi-Purposed halls" sheetId="13" r:id="rId6"/>
    <sheet name="Plot grade" sheetId="2" r:id="rId7"/>
    <sheet name="Location" sheetId="1" r:id="rId8"/>
    <sheet name="Fence and Compund" sheetId="4" r:id="rId9"/>
    <sheet name="Sheet2" sheetId="5" r:id="rId10"/>
    <sheet name="area" sheetId="17" r:id="rId11"/>
    <sheet name="Sheet3" sheetId="20" state="hidden" r:id="rId12"/>
    <sheet name="BOQ" sheetId="24" r:id="rId13"/>
    <sheet name="Building Component" sheetId="19" r:id="rId14"/>
    <sheet name="Sheet5" sheetId="23" r:id="rId15"/>
  </sheets>
  <externalReferences>
    <externalReference r:id="rId16"/>
  </externalReferences>
  <definedNames>
    <definedName name="_Toc536378868" localSheetId="13">'Building Component'!$E$6</definedName>
    <definedName name="_Toc536378869" localSheetId="13">'Building Component'!$F$6</definedName>
    <definedName name="_Toc536378870" localSheetId="13">'Building Component'!$I$6</definedName>
    <definedName name="_Toc536378871" localSheetId="13">'Building Component'!$L$6</definedName>
    <definedName name="_Toc536378872" localSheetId="13">'Building Component'!$O$6</definedName>
    <definedName name="_Toc536378873" localSheetId="13">'Building Component'!$R$6</definedName>
    <definedName name="_Toc536378874" localSheetId="13">'Building Component'!$U$6</definedName>
    <definedName name="_Toc536378875" localSheetId="13">'Building Component'!$F$7</definedName>
    <definedName name="_Toc536378876" localSheetId="13">'Building Component'!$G$7</definedName>
    <definedName name="_Toc536378877" localSheetId="13">'Building Component'!$H$7</definedName>
    <definedName name="_Toc536378878" localSheetId="13">'Building Component'!$I$7</definedName>
    <definedName name="_Toc536378879" localSheetId="13">'Building Component'!$J$7</definedName>
    <definedName name="_Toc536378880" localSheetId="13">'Building Component'!$K$7</definedName>
    <definedName name="_Toc536378881" localSheetId="13">'Building Component'!$L$7</definedName>
    <definedName name="_Toc536378882" localSheetId="13">'Building Component'!$M$7</definedName>
    <definedName name="_Toc536378883" localSheetId="13">'Building Component'!$N$7</definedName>
    <definedName name="_Toc536378884" localSheetId="13">'Building Component'!$O$7</definedName>
    <definedName name="_Toc536378885" localSheetId="13">'Building Component'!$P$7</definedName>
    <definedName name="_Toc536378886" localSheetId="13">'Building Component'!$Q$7</definedName>
    <definedName name="_Toc536378887" localSheetId="13">'Building Component'!$R$7</definedName>
    <definedName name="_Toc536378888" localSheetId="13">'Building Component'!$S$7</definedName>
    <definedName name="_Toc536378889" localSheetId="13">'Building Component'!$T$7</definedName>
    <definedName name="_Toc536378890" localSheetId="13">'Building Component'!$U$7</definedName>
    <definedName name="_Toc536378891" localSheetId="13">'Building Component'!$V$7</definedName>
    <definedName name="_Toc536378892" localSheetId="13">'Building Component'!$W$7</definedName>
    <definedName name="_Toc536378893" localSheetId="13">'Building Component'!$E$17</definedName>
    <definedName name="_Toc536378894" localSheetId="13">'Building Component'!$F$17</definedName>
    <definedName name="_Toc536378895" localSheetId="13">'Building Component'!$G$17</definedName>
    <definedName name="_Toc536378896" localSheetId="13">'Building Component'!$H$17</definedName>
    <definedName name="_Toc536378897" localSheetId="13">'Building Component'!$I$17</definedName>
    <definedName name="_Toc536378898" localSheetId="13">'Building Component'!$J$17</definedName>
    <definedName name="_Toc536378899" localSheetId="13">'Building Component'!$K$17</definedName>
    <definedName name="_Toc536378900" localSheetId="13">'Building Component'!$L$17</definedName>
    <definedName name="_Toc536378901" localSheetId="13">'Building Component'!$M$17</definedName>
    <definedName name="_Toc536378902" localSheetId="13">'Building Component'!$N$17</definedName>
    <definedName name="_Toc536378903" localSheetId="13">'Building Component'!$O$17</definedName>
    <definedName name="_Toc536378904" localSheetId="13">'Building Component'!$P$17</definedName>
    <definedName name="_Toc536378905" localSheetId="13">'Building Component'!$Q$17</definedName>
    <definedName name="_Toc536378906" localSheetId="13">'Building Component'!$R$17</definedName>
    <definedName name="_Toc536378907" localSheetId="13">'Building Component'!$S$17</definedName>
    <definedName name="_Toc536378908" localSheetId="13">'Building Component'!$T$17</definedName>
    <definedName name="_Toc536378909" localSheetId="13">'Building Component'!$U$17</definedName>
    <definedName name="_Toc536378910" localSheetId="13">'Building Component'!$V$17</definedName>
    <definedName name="_Toc536378911" localSheetId="13">'Building Component'!$W$17</definedName>
    <definedName name="_Toc536378912" localSheetId="13">'Building Component'!$E$18</definedName>
    <definedName name="_Toc536378913" localSheetId="13">'Building Component'!$F$18</definedName>
    <definedName name="_Toc536378914" localSheetId="13">'Building Component'!$G$18</definedName>
    <definedName name="_Toc536378915" localSheetId="13">'Building Component'!$H$18</definedName>
    <definedName name="_Toc536378916" localSheetId="13">'Building Component'!$I$18</definedName>
    <definedName name="_Toc536378917" localSheetId="13">'Building Component'!$J$18</definedName>
    <definedName name="_Toc536378918" localSheetId="13">'Building Component'!$K$18</definedName>
    <definedName name="_Toc536378919" localSheetId="13">'Building Component'!$L$18</definedName>
    <definedName name="_Toc536378920" localSheetId="13">'Building Component'!$M$18</definedName>
    <definedName name="_Toc536378921" localSheetId="13">'Building Component'!$N$18</definedName>
    <definedName name="_Toc536378922" localSheetId="13">'Building Component'!$O$18</definedName>
    <definedName name="_Toc536378923" localSheetId="13">'Building Component'!$P$18</definedName>
    <definedName name="_Toc536378924" localSheetId="13">'Building Component'!$Q$18</definedName>
    <definedName name="_Toc536378925" localSheetId="13">'Building Component'!$R$18</definedName>
    <definedName name="_Toc536378926" localSheetId="13">'Building Component'!$S$18</definedName>
    <definedName name="_Toc536378927" localSheetId="13">'Building Component'!$T$18</definedName>
    <definedName name="_Toc536378928" localSheetId="13">'Building Component'!$U$18</definedName>
    <definedName name="_Toc536378929" localSheetId="13">'Building Component'!$V$18</definedName>
    <definedName name="_Toc536378930" localSheetId="13">'Building Component'!$W$18</definedName>
    <definedName name="_Toc536378931" localSheetId="13">'Building Component'!$E$19</definedName>
    <definedName name="_Toc536378932" localSheetId="13">'Building Component'!$F$19</definedName>
    <definedName name="_Toc536378933" localSheetId="13">'Building Component'!$G$19</definedName>
    <definedName name="_Toc536378934" localSheetId="13">'Building Component'!$H$19</definedName>
    <definedName name="_Toc536378935" localSheetId="13">'Building Component'!$I$19</definedName>
    <definedName name="_Toc536378936" localSheetId="13">'Building Component'!$J$19</definedName>
    <definedName name="_Toc536378937" localSheetId="13">'Building Component'!$K$19</definedName>
    <definedName name="_Toc536378938" localSheetId="13">'Building Component'!$L$19</definedName>
    <definedName name="_Toc536378939" localSheetId="13">'Building Component'!$M$19</definedName>
    <definedName name="_Toc536378940" localSheetId="13">'Building Component'!$N$19</definedName>
    <definedName name="_Toc536378941" localSheetId="13">'Building Component'!$O$19</definedName>
    <definedName name="_Toc536378942" localSheetId="13">'Building Component'!$P$19</definedName>
    <definedName name="_Toc536378943" localSheetId="13">'Building Component'!$Q$19</definedName>
    <definedName name="_Toc536378944" localSheetId="13">'Building Component'!$R$19</definedName>
    <definedName name="_Toc536378945" localSheetId="13">'Building Component'!$S$19</definedName>
    <definedName name="_Toc536378946" localSheetId="13">'Building Component'!$T$19</definedName>
    <definedName name="_Toc536378947" localSheetId="13">'Building Component'!$U$19</definedName>
    <definedName name="_Toc536378948" localSheetId="13">'Building Component'!$V$19</definedName>
    <definedName name="_Toc536378949" localSheetId="13">'Building Component'!$W$19</definedName>
    <definedName name="_Toc536378950" localSheetId="13">'Building Component'!$E$20</definedName>
    <definedName name="_Toc536378951" localSheetId="13">'Building Component'!$F$20</definedName>
    <definedName name="_Toc536378952" localSheetId="13">'Building Component'!$G$20</definedName>
    <definedName name="_Toc536378953" localSheetId="13">'Building Component'!$H$20</definedName>
    <definedName name="_Toc536378954" localSheetId="13">'Building Component'!$I$20</definedName>
    <definedName name="_Toc536378955" localSheetId="13">'Building Component'!$J$20</definedName>
    <definedName name="_Toc536378956" localSheetId="13">'Building Component'!$K$20</definedName>
    <definedName name="_Toc536378957" localSheetId="13">'Building Component'!$L$20</definedName>
    <definedName name="_Toc536378958" localSheetId="13">'Building Component'!$M$20</definedName>
    <definedName name="_Toc536378959" localSheetId="13">'Building Component'!$N$20</definedName>
    <definedName name="_Toc536378960" localSheetId="13">'Building Component'!$O$20</definedName>
    <definedName name="_Toc536378961" localSheetId="13">'Building Component'!$P$20</definedName>
    <definedName name="_Toc536378962" localSheetId="13">'Building Component'!$Q$20</definedName>
    <definedName name="_Toc536378963" localSheetId="13">'Building Component'!$R$20</definedName>
    <definedName name="_Toc536378964" localSheetId="13">'Building Component'!$S$20</definedName>
    <definedName name="_Toc536378965" localSheetId="13">'Building Component'!$T$20</definedName>
    <definedName name="_Toc536378966" localSheetId="13">'Building Component'!$U$20</definedName>
    <definedName name="_Toc536378967" localSheetId="13">'Building Component'!$V$20</definedName>
    <definedName name="_Toc536378968" localSheetId="13">'Building Component'!$W$20</definedName>
    <definedName name="_Toc536378969" localSheetId="13">'Building Component'!$E$21</definedName>
    <definedName name="_Toc536378970" localSheetId="13">'Building Component'!$F$21</definedName>
    <definedName name="_Toc536378971" localSheetId="13">'Building Component'!$G$21</definedName>
    <definedName name="_Toc536378972" localSheetId="13">'Building Component'!$H$21</definedName>
    <definedName name="_Toc536378973" localSheetId="13">'Building Component'!$I$21</definedName>
    <definedName name="_Toc536378974" localSheetId="13">'Building Component'!$J$21</definedName>
    <definedName name="_Toc536378975" localSheetId="13">'Building Component'!$K$21</definedName>
    <definedName name="_Toc536378976" localSheetId="13">'Building Component'!$L$21</definedName>
    <definedName name="_Toc536378977" localSheetId="13">'Building Component'!$M$21</definedName>
    <definedName name="_Toc536378978" localSheetId="13">'Building Component'!$N$21</definedName>
    <definedName name="_Toc536378979" localSheetId="13">'Building Component'!$O$21</definedName>
    <definedName name="_Toc536378980" localSheetId="13">'Building Component'!$P$21</definedName>
    <definedName name="_Toc536378981" localSheetId="13">'Building Component'!$Q$21</definedName>
    <definedName name="_Toc536378982" localSheetId="13">'Building Component'!$R$21</definedName>
    <definedName name="_Toc536378983" localSheetId="13">'Building Component'!$S$21</definedName>
    <definedName name="_Toc536378984" localSheetId="13">'Building Component'!$T$21</definedName>
    <definedName name="_Toc536378985" localSheetId="13">'Building Component'!$U$21</definedName>
    <definedName name="_Toc536378986" localSheetId="13">'Building Component'!$V$21</definedName>
    <definedName name="_Toc536378987" localSheetId="13">'Building Component'!$W$21</definedName>
    <definedName name="_Toc536378988" localSheetId="13">'Building Component'!$E$22</definedName>
    <definedName name="_Toc536378989" localSheetId="13">'Building Component'!$F$22</definedName>
    <definedName name="_Toc536378990" localSheetId="13">'Building Component'!$G$22</definedName>
    <definedName name="_Toc536378991" localSheetId="13">'Building Component'!$H$22</definedName>
    <definedName name="_Toc536378992" localSheetId="13">'Building Component'!$I$22</definedName>
    <definedName name="_Toc536378993" localSheetId="13">'Building Component'!$J$22</definedName>
    <definedName name="_Toc536378994" localSheetId="13">'Building Component'!$K$22</definedName>
    <definedName name="_Toc536378995" localSheetId="13">'Building Component'!$L$22</definedName>
    <definedName name="_Toc536378996" localSheetId="13">'Building Component'!$M$22</definedName>
    <definedName name="_Toc536378997" localSheetId="13">'Building Component'!$N$22</definedName>
    <definedName name="_Toc536378998" localSheetId="13">'Building Component'!$O$22</definedName>
    <definedName name="_Toc536378999" localSheetId="13">'Building Component'!$P$22</definedName>
    <definedName name="_Toc536379000" localSheetId="13">'Building Component'!$Q$22</definedName>
    <definedName name="_Toc536379001" localSheetId="13">'Building Component'!$R$22</definedName>
    <definedName name="_Toc536379002" localSheetId="13">'Building Component'!$S$22</definedName>
    <definedName name="_Toc536379003" localSheetId="13">'Building Component'!$T$22</definedName>
    <definedName name="_Toc536379004" localSheetId="13">'Building Component'!$U$22</definedName>
    <definedName name="_Toc536379005" localSheetId="13">'Building Component'!$V$22</definedName>
    <definedName name="_Toc536379006" localSheetId="13">'Building Component'!$W$22</definedName>
    <definedName name="G_1___2" localSheetId="12">#REF!</definedName>
    <definedName name="G_1___2" localSheetId="4">#REF!</definedName>
    <definedName name="G_1___2" localSheetId="5">#REF!</definedName>
    <definedName name="G_1___2">#REF!</definedName>
    <definedName name="G_7___above" localSheetId="12">#REF!</definedName>
    <definedName name="G_7___above" localSheetId="4">#REF!</definedName>
    <definedName name="G_7___above" localSheetId="5">#REF!</definedName>
    <definedName name="G_7___above">#REF!</definedName>
    <definedName name="G_7__8" localSheetId="12">#REF!</definedName>
    <definedName name="G_7__8" localSheetId="4">#REF!</definedName>
    <definedName name="G_7__8" localSheetId="5">#REF!</definedName>
    <definedName name="G_7__8">#REF!</definedName>
    <definedName name="GH" localSheetId="12">#REF!</definedName>
    <definedName name="GH" localSheetId="4">#REF!</definedName>
    <definedName name="GH" localSheetId="5">#REF!</definedName>
    <definedName name="GH">#REF!</definedName>
    <definedName name="MNJUB" localSheetId="12">#REF!</definedName>
    <definedName name="MNJUB" localSheetId="4">#REF!</definedName>
    <definedName name="MNJUB" localSheetId="5">#REF!</definedName>
    <definedName name="MNJUB">#REF!</definedName>
    <definedName name="_xlnm.Print_Area" localSheetId="12">BOQ!$A$1:$E$101</definedName>
    <definedName name="_xlnm.Print_Area" localSheetId="7">Location!$A$1:$G$81</definedName>
    <definedName name="_xlnm.Print_Area" localSheetId="9">Sheet2!$A$2:$L$64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1" l="1"/>
  <c r="F9" i="23" l="1"/>
  <c r="L8" i="23"/>
  <c r="J8" i="23"/>
  <c r="L7" i="23"/>
  <c r="H7" i="23"/>
  <c r="F7" i="23"/>
  <c r="L6" i="23"/>
  <c r="H6" i="23"/>
  <c r="L5" i="23"/>
  <c r="H5" i="23"/>
  <c r="E5" i="23"/>
  <c r="S26" i="19"/>
  <c r="Z23" i="19"/>
  <c r="Y23" i="19"/>
  <c r="Z22" i="19"/>
  <c r="Y22" i="19"/>
  <c r="Z21" i="19"/>
  <c r="Y21" i="19"/>
  <c r="Z20" i="19"/>
  <c r="Y20" i="19"/>
  <c r="Z19" i="19"/>
  <c r="Y19" i="19"/>
  <c r="Z18" i="19"/>
  <c r="Y18" i="19"/>
  <c r="Z17" i="19"/>
  <c r="Y17" i="19"/>
  <c r="Z16" i="19"/>
  <c r="Y16" i="19"/>
  <c r="Z15" i="19"/>
  <c r="Y15" i="19"/>
  <c r="Z14" i="19"/>
  <c r="Y14" i="19"/>
  <c r="Z13" i="19"/>
  <c r="Y13" i="19"/>
  <c r="Z12" i="19"/>
  <c r="Y12" i="19"/>
  <c r="Z11" i="19"/>
  <c r="Y11" i="19"/>
  <c r="Z10" i="19"/>
  <c r="Y10" i="19"/>
  <c r="Z9" i="19"/>
  <c r="Y9" i="19"/>
  <c r="Z8" i="19"/>
  <c r="Y8" i="19"/>
  <c r="E99" i="24"/>
  <c r="D99" i="24"/>
  <c r="C99" i="24"/>
  <c r="E98" i="24"/>
  <c r="D98" i="24"/>
  <c r="C98" i="24"/>
  <c r="E96" i="24"/>
  <c r="D96" i="24"/>
  <c r="C96" i="24"/>
  <c r="E95" i="24"/>
  <c r="D95" i="24"/>
  <c r="C95" i="24"/>
  <c r="E94" i="24"/>
  <c r="D94" i="24"/>
  <c r="C94" i="24"/>
  <c r="E93" i="24"/>
  <c r="D93" i="24"/>
  <c r="C93" i="24"/>
  <c r="E92" i="24"/>
  <c r="D92" i="24"/>
  <c r="C92" i="24"/>
  <c r="E91" i="24"/>
  <c r="D91" i="24"/>
  <c r="C91" i="24"/>
  <c r="E90" i="24"/>
  <c r="D90" i="24"/>
  <c r="C90" i="24"/>
  <c r="E89" i="24"/>
  <c r="D89" i="24"/>
  <c r="C89" i="24"/>
  <c r="E88" i="24"/>
  <c r="D88" i="24"/>
  <c r="C88" i="24"/>
  <c r="E87" i="24"/>
  <c r="D87" i="24"/>
  <c r="C87" i="24"/>
  <c r="E86" i="24"/>
  <c r="D86" i="24"/>
  <c r="C86" i="24"/>
  <c r="E85" i="24"/>
  <c r="D85" i="24"/>
  <c r="C85" i="24"/>
  <c r="E84" i="24"/>
  <c r="D84" i="24"/>
  <c r="C84" i="24"/>
  <c r="E83" i="24"/>
  <c r="D83" i="24"/>
  <c r="C83" i="24"/>
  <c r="E82" i="24"/>
  <c r="D82" i="24"/>
  <c r="C82" i="24"/>
  <c r="E80" i="24"/>
  <c r="D80" i="24"/>
  <c r="C80" i="24"/>
  <c r="E79" i="24"/>
  <c r="D79" i="24"/>
  <c r="C79" i="24"/>
  <c r="E78" i="24"/>
  <c r="D78" i="24"/>
  <c r="C78" i="24"/>
  <c r="E77" i="24"/>
  <c r="D77" i="24"/>
  <c r="C77" i="24"/>
  <c r="E72" i="24"/>
  <c r="D72" i="24"/>
  <c r="C72" i="24"/>
  <c r="E71" i="24"/>
  <c r="D71" i="24"/>
  <c r="C71" i="24"/>
  <c r="G69" i="24"/>
  <c r="E69" i="24"/>
  <c r="D69" i="24"/>
  <c r="C69" i="24"/>
  <c r="E68" i="24"/>
  <c r="D68" i="24"/>
  <c r="C68" i="24"/>
  <c r="E67" i="24"/>
  <c r="D67" i="24"/>
  <c r="C67" i="24"/>
  <c r="E66" i="24"/>
  <c r="D66" i="24"/>
  <c r="C66" i="24"/>
  <c r="E65" i="24"/>
  <c r="D65" i="24"/>
  <c r="C65" i="24"/>
  <c r="E64" i="24"/>
  <c r="D64" i="24"/>
  <c r="C64" i="24"/>
  <c r="E63" i="24"/>
  <c r="D63" i="24"/>
  <c r="C63" i="24"/>
  <c r="E62" i="24"/>
  <c r="D62" i="24"/>
  <c r="C62" i="24"/>
  <c r="E61" i="24"/>
  <c r="D61" i="24"/>
  <c r="C61" i="24"/>
  <c r="E60" i="24"/>
  <c r="D60" i="24"/>
  <c r="C60" i="24"/>
  <c r="E59" i="24"/>
  <c r="D59" i="24"/>
  <c r="C59" i="24"/>
  <c r="E58" i="24"/>
  <c r="D58" i="24"/>
  <c r="C58" i="24"/>
  <c r="E57" i="24"/>
  <c r="D57" i="24"/>
  <c r="C57" i="24"/>
  <c r="E56" i="24"/>
  <c r="D56" i="24"/>
  <c r="C56" i="24"/>
  <c r="E55" i="24"/>
  <c r="D55" i="24"/>
  <c r="C55" i="24"/>
  <c r="E53" i="24"/>
  <c r="D53" i="24"/>
  <c r="C53" i="24"/>
  <c r="E52" i="24"/>
  <c r="D52" i="24"/>
  <c r="C52" i="24"/>
  <c r="E51" i="24"/>
  <c r="D51" i="24"/>
  <c r="C51" i="24"/>
  <c r="E50" i="24"/>
  <c r="D50" i="24"/>
  <c r="C50" i="24"/>
  <c r="F45" i="24"/>
  <c r="D41" i="24"/>
  <c r="C36" i="24"/>
  <c r="E35" i="24"/>
  <c r="C35" i="24"/>
  <c r="E34" i="24"/>
  <c r="G33" i="24"/>
  <c r="G32" i="24"/>
  <c r="G31" i="24"/>
  <c r="G28" i="24"/>
  <c r="O18" i="24"/>
  <c r="M18" i="24"/>
  <c r="O17" i="24"/>
  <c r="M17" i="24"/>
  <c r="L17" i="24"/>
  <c r="J17" i="24"/>
  <c r="K16" i="24"/>
  <c r="C21" i="17"/>
  <c r="C20" i="17"/>
  <c r="C19" i="17"/>
  <c r="C18" i="17"/>
  <c r="C17" i="17"/>
  <c r="E2" i="17"/>
  <c r="C2" i="17"/>
  <c r="B2" i="17"/>
  <c r="A2" i="17"/>
  <c r="M51" i="5"/>
  <c r="M45" i="5"/>
  <c r="M44" i="5"/>
  <c r="M43" i="5"/>
  <c r="J43" i="5"/>
  <c r="B43" i="5"/>
  <c r="B42" i="5"/>
  <c r="J41" i="5"/>
  <c r="B41" i="5"/>
  <c r="O40" i="5"/>
  <c r="B40" i="5"/>
  <c r="J39" i="5"/>
  <c r="B39" i="5"/>
  <c r="J38" i="5"/>
  <c r="H36" i="5"/>
  <c r="M34" i="5"/>
  <c r="K28" i="5"/>
  <c r="K27" i="5"/>
  <c r="K26" i="5"/>
  <c r="G207" i="4"/>
  <c r="I206" i="4"/>
  <c r="G206" i="4"/>
  <c r="E206" i="4"/>
  <c r="I205" i="4"/>
  <c r="G205" i="4"/>
  <c r="E205" i="4"/>
  <c r="I204" i="4"/>
  <c r="G204" i="4"/>
  <c r="E204" i="4"/>
  <c r="I203" i="4"/>
  <c r="G203" i="4"/>
  <c r="E203" i="4"/>
  <c r="I202" i="4"/>
  <c r="G202" i="4"/>
  <c r="E202" i="4"/>
  <c r="I201" i="4"/>
  <c r="G201" i="4"/>
  <c r="E201" i="4"/>
  <c r="I200" i="4"/>
  <c r="G200" i="4"/>
  <c r="E200" i="4"/>
  <c r="I199" i="4"/>
  <c r="G199" i="4"/>
  <c r="E199" i="4"/>
  <c r="I198" i="4"/>
  <c r="G198" i="4"/>
  <c r="E198" i="4"/>
  <c r="I197" i="4"/>
  <c r="G197" i="4"/>
  <c r="E197" i="4"/>
  <c r="I196" i="4"/>
  <c r="G196" i="4"/>
  <c r="E196" i="4"/>
  <c r="I195" i="4"/>
  <c r="G195" i="4"/>
  <c r="E195" i="4"/>
  <c r="I194" i="4"/>
  <c r="G194" i="4"/>
  <c r="E194" i="4"/>
  <c r="I193" i="4"/>
  <c r="G193" i="4"/>
  <c r="E193" i="4"/>
  <c r="I192" i="4"/>
  <c r="G192" i="4"/>
  <c r="E192" i="4"/>
  <c r="I191" i="4"/>
  <c r="G191" i="4"/>
  <c r="E191" i="4"/>
  <c r="I190" i="4"/>
  <c r="G190" i="4"/>
  <c r="E190" i="4"/>
  <c r="I189" i="4"/>
  <c r="G189" i="4"/>
  <c r="E189" i="4"/>
  <c r="I188" i="4"/>
  <c r="G188" i="4"/>
  <c r="E188" i="4"/>
  <c r="I187" i="4"/>
  <c r="G187" i="4"/>
  <c r="E187" i="4"/>
  <c r="I186" i="4"/>
  <c r="G186" i="4"/>
  <c r="E186" i="4"/>
  <c r="I185" i="4"/>
  <c r="G185" i="4"/>
  <c r="E185" i="4"/>
  <c r="I184" i="4"/>
  <c r="G184" i="4"/>
  <c r="E184" i="4"/>
  <c r="I183" i="4"/>
  <c r="G183" i="4"/>
  <c r="E183" i="4"/>
  <c r="I182" i="4"/>
  <c r="G182" i="4"/>
  <c r="E182" i="4"/>
  <c r="I181" i="4"/>
  <c r="G181" i="4"/>
  <c r="E181" i="4"/>
  <c r="I180" i="4"/>
  <c r="G180" i="4"/>
  <c r="E180" i="4"/>
  <c r="I179" i="4"/>
  <c r="G179" i="4"/>
  <c r="E179" i="4"/>
  <c r="I178" i="4"/>
  <c r="G178" i="4"/>
  <c r="E178" i="4"/>
  <c r="I177" i="4"/>
  <c r="G177" i="4"/>
  <c r="E177" i="4"/>
  <c r="I176" i="4"/>
  <c r="G176" i="4"/>
  <c r="E176" i="4"/>
  <c r="I175" i="4"/>
  <c r="G175" i="4"/>
  <c r="E175" i="4"/>
  <c r="I174" i="4"/>
  <c r="G174" i="4"/>
  <c r="E174" i="4"/>
  <c r="I173" i="4"/>
  <c r="G173" i="4"/>
  <c r="E173" i="4"/>
  <c r="I172" i="4"/>
  <c r="G172" i="4"/>
  <c r="E172" i="4"/>
  <c r="I171" i="4"/>
  <c r="G171" i="4"/>
  <c r="E171" i="4"/>
  <c r="I170" i="4"/>
  <c r="G170" i="4"/>
  <c r="E170" i="4"/>
  <c r="I169" i="4"/>
  <c r="G169" i="4"/>
  <c r="E169" i="4"/>
  <c r="I168" i="4"/>
  <c r="G168" i="4"/>
  <c r="E168" i="4"/>
  <c r="I167" i="4"/>
  <c r="G167" i="4"/>
  <c r="E167" i="4"/>
  <c r="I166" i="4"/>
  <c r="G166" i="4"/>
  <c r="E166" i="4"/>
  <c r="I165" i="4"/>
  <c r="G165" i="4"/>
  <c r="E165" i="4"/>
  <c r="I164" i="4"/>
  <c r="G164" i="4"/>
  <c r="E164" i="4"/>
  <c r="I163" i="4"/>
  <c r="G163" i="4"/>
  <c r="E163" i="4"/>
  <c r="I162" i="4"/>
  <c r="G162" i="4"/>
  <c r="E162" i="4"/>
  <c r="I161" i="4"/>
  <c r="G161" i="4"/>
  <c r="E161" i="4"/>
  <c r="I160" i="4"/>
  <c r="G160" i="4"/>
  <c r="E160" i="4"/>
  <c r="I159" i="4"/>
  <c r="G159" i="4"/>
  <c r="E159" i="4"/>
  <c r="I158" i="4"/>
  <c r="G158" i="4"/>
  <c r="E158" i="4"/>
  <c r="I157" i="4"/>
  <c r="G157" i="4"/>
  <c r="E157" i="4"/>
  <c r="I156" i="4"/>
  <c r="G156" i="4"/>
  <c r="E156" i="4"/>
  <c r="I154" i="4"/>
  <c r="I153" i="4"/>
  <c r="I152" i="4"/>
  <c r="G152" i="4"/>
  <c r="I151" i="4"/>
  <c r="G151" i="4"/>
  <c r="E151" i="4"/>
  <c r="I150" i="4"/>
  <c r="G150" i="4"/>
  <c r="E150" i="4"/>
  <c r="I149" i="4"/>
  <c r="G149" i="4"/>
  <c r="E149" i="4"/>
  <c r="I147" i="4"/>
  <c r="I146" i="4"/>
  <c r="I145" i="4"/>
  <c r="G145" i="4"/>
  <c r="I144" i="4"/>
  <c r="G144" i="4"/>
  <c r="E144" i="4"/>
  <c r="I143" i="4"/>
  <c r="G143" i="4"/>
  <c r="E143" i="4"/>
  <c r="I142" i="4"/>
  <c r="G142" i="4"/>
  <c r="E142" i="4"/>
  <c r="I141" i="4"/>
  <c r="G141" i="4"/>
  <c r="E141" i="4"/>
  <c r="I140" i="4"/>
  <c r="G140" i="4"/>
  <c r="E140" i="4"/>
  <c r="I139" i="4"/>
  <c r="G139" i="4"/>
  <c r="E139" i="4"/>
  <c r="I138" i="4"/>
  <c r="G138" i="4"/>
  <c r="E138" i="4"/>
  <c r="I137" i="4"/>
  <c r="G137" i="4"/>
  <c r="E137" i="4"/>
  <c r="I136" i="4"/>
  <c r="G136" i="4"/>
  <c r="E136" i="4"/>
  <c r="I135" i="4"/>
  <c r="G135" i="4"/>
  <c r="E135" i="4"/>
  <c r="I134" i="4"/>
  <c r="G134" i="4"/>
  <c r="E134" i="4"/>
  <c r="I133" i="4"/>
  <c r="G133" i="4"/>
  <c r="E133" i="4"/>
  <c r="I132" i="4"/>
  <c r="G132" i="4"/>
  <c r="E132" i="4"/>
  <c r="I131" i="4"/>
  <c r="G131" i="4"/>
  <c r="E131" i="4"/>
  <c r="I130" i="4"/>
  <c r="G130" i="4"/>
  <c r="E130" i="4"/>
  <c r="I129" i="4"/>
  <c r="G129" i="4"/>
  <c r="E129" i="4"/>
  <c r="I128" i="4"/>
  <c r="G128" i="4"/>
  <c r="E128" i="4"/>
  <c r="I127" i="4"/>
  <c r="G127" i="4"/>
  <c r="E127" i="4"/>
  <c r="I126" i="4"/>
  <c r="G126" i="4"/>
  <c r="E126" i="4"/>
  <c r="I125" i="4"/>
  <c r="G125" i="4"/>
  <c r="E125" i="4"/>
  <c r="I124" i="4"/>
  <c r="G124" i="4"/>
  <c r="E124" i="4"/>
  <c r="I123" i="4"/>
  <c r="G123" i="4"/>
  <c r="E123" i="4"/>
  <c r="I122" i="4"/>
  <c r="G122" i="4"/>
  <c r="E122" i="4"/>
  <c r="I121" i="4"/>
  <c r="G121" i="4"/>
  <c r="E121" i="4"/>
  <c r="I120" i="4"/>
  <c r="G120" i="4"/>
  <c r="E120" i="4"/>
  <c r="I119" i="4"/>
  <c r="G119" i="4"/>
  <c r="E119" i="4"/>
  <c r="I118" i="4"/>
  <c r="G118" i="4"/>
  <c r="E118" i="4"/>
  <c r="I117" i="4"/>
  <c r="G117" i="4"/>
  <c r="E117" i="4"/>
  <c r="I116" i="4"/>
  <c r="G116" i="4"/>
  <c r="E116" i="4"/>
  <c r="I115" i="4"/>
  <c r="G115" i="4"/>
  <c r="E115" i="4"/>
  <c r="I114" i="4"/>
  <c r="G114" i="4"/>
  <c r="E114" i="4"/>
  <c r="I113" i="4"/>
  <c r="G113" i="4"/>
  <c r="E113" i="4"/>
  <c r="I112" i="4"/>
  <c r="G112" i="4"/>
  <c r="E112" i="4"/>
  <c r="I111" i="4"/>
  <c r="G111" i="4"/>
  <c r="E111" i="4"/>
  <c r="I110" i="4"/>
  <c r="G110" i="4"/>
  <c r="E110" i="4"/>
  <c r="I109" i="4"/>
  <c r="G109" i="4"/>
  <c r="E109" i="4"/>
  <c r="I108" i="4"/>
  <c r="G108" i="4"/>
  <c r="E108" i="4"/>
  <c r="I107" i="4"/>
  <c r="G107" i="4"/>
  <c r="E107" i="4"/>
  <c r="I106" i="4"/>
  <c r="G106" i="4"/>
  <c r="E106" i="4"/>
  <c r="I105" i="4"/>
  <c r="G105" i="4"/>
  <c r="E105" i="4"/>
  <c r="I104" i="4"/>
  <c r="G104" i="4"/>
  <c r="E104" i="4"/>
  <c r="I103" i="4"/>
  <c r="G103" i="4"/>
  <c r="E103" i="4"/>
  <c r="I102" i="4"/>
  <c r="G102" i="4"/>
  <c r="E102" i="4"/>
  <c r="I101" i="4"/>
  <c r="G101" i="4"/>
  <c r="E101" i="4"/>
  <c r="I100" i="4"/>
  <c r="G100" i="4"/>
  <c r="E100" i="4"/>
  <c r="I99" i="4"/>
  <c r="G99" i="4"/>
  <c r="E99" i="4"/>
  <c r="I98" i="4"/>
  <c r="G98" i="4"/>
  <c r="E98" i="4"/>
  <c r="I97" i="4"/>
  <c r="G97" i="4"/>
  <c r="E97" i="4"/>
  <c r="I96" i="4"/>
  <c r="G96" i="4"/>
  <c r="E96" i="4"/>
  <c r="I95" i="4"/>
  <c r="G95" i="4"/>
  <c r="E95" i="4"/>
  <c r="I94" i="4"/>
  <c r="G94" i="4"/>
  <c r="E94" i="4"/>
  <c r="I93" i="4"/>
  <c r="G93" i="4"/>
  <c r="E93" i="4"/>
  <c r="I92" i="4"/>
  <c r="G92" i="4"/>
  <c r="E92" i="4"/>
  <c r="I91" i="4"/>
  <c r="G91" i="4"/>
  <c r="E91" i="4"/>
  <c r="I90" i="4"/>
  <c r="G90" i="4"/>
  <c r="E90" i="4"/>
  <c r="I89" i="4"/>
  <c r="G89" i="4"/>
  <c r="E89" i="4"/>
  <c r="I88" i="4"/>
  <c r="G88" i="4"/>
  <c r="E88" i="4"/>
  <c r="I87" i="4"/>
  <c r="G87" i="4"/>
  <c r="E87" i="4"/>
  <c r="I86" i="4"/>
  <c r="G86" i="4"/>
  <c r="E86" i="4"/>
  <c r="I85" i="4"/>
  <c r="G85" i="4"/>
  <c r="E85" i="4"/>
  <c r="I84" i="4"/>
  <c r="G84" i="4"/>
  <c r="E84" i="4"/>
  <c r="I83" i="4"/>
  <c r="G83" i="4"/>
  <c r="E83" i="4"/>
  <c r="I82" i="4"/>
  <c r="I81" i="4"/>
  <c r="I80" i="4"/>
  <c r="I79" i="4"/>
  <c r="I78" i="4"/>
  <c r="G78" i="4"/>
  <c r="I77" i="4"/>
  <c r="I76" i="4"/>
  <c r="G76" i="4"/>
  <c r="I75" i="4"/>
  <c r="G75" i="4"/>
  <c r="E75" i="4"/>
  <c r="I74" i="4"/>
  <c r="G74" i="4"/>
  <c r="E74" i="4"/>
  <c r="I73" i="4"/>
  <c r="G73" i="4"/>
  <c r="E73" i="4"/>
  <c r="I72" i="4"/>
  <c r="G72" i="4"/>
  <c r="E72" i="4"/>
  <c r="I71" i="4"/>
  <c r="G71" i="4"/>
  <c r="E71" i="4"/>
  <c r="I70" i="4"/>
  <c r="G70" i="4"/>
  <c r="E70" i="4"/>
  <c r="I69" i="4"/>
  <c r="G69" i="4"/>
  <c r="E69" i="4"/>
  <c r="I68" i="4"/>
  <c r="G68" i="4"/>
  <c r="E68" i="4"/>
  <c r="I67" i="4"/>
  <c r="G67" i="4"/>
  <c r="E67" i="4"/>
  <c r="I66" i="4"/>
  <c r="G66" i="4"/>
  <c r="E66" i="4"/>
  <c r="I65" i="4"/>
  <c r="G65" i="4"/>
  <c r="E65" i="4"/>
  <c r="I64" i="4"/>
  <c r="G64" i="4"/>
  <c r="E64" i="4"/>
  <c r="K63" i="4"/>
  <c r="I63" i="4"/>
  <c r="G63" i="4"/>
  <c r="E63" i="4"/>
  <c r="D63" i="4"/>
  <c r="I62" i="4"/>
  <c r="G62" i="4"/>
  <c r="E62" i="4"/>
  <c r="I61" i="4"/>
  <c r="G61" i="4"/>
  <c r="E61" i="4"/>
  <c r="I60" i="4"/>
  <c r="G60" i="4"/>
  <c r="E60" i="4"/>
  <c r="I59" i="4"/>
  <c r="G59" i="4"/>
  <c r="E59" i="4"/>
  <c r="I58" i="4"/>
  <c r="I57" i="4"/>
  <c r="I56" i="4"/>
  <c r="I55" i="4"/>
  <c r="G55" i="4"/>
  <c r="I54" i="4"/>
  <c r="G54" i="4"/>
  <c r="E54" i="4"/>
  <c r="I53" i="4"/>
  <c r="G53" i="4"/>
  <c r="E53" i="4"/>
  <c r="I52" i="4"/>
  <c r="G52" i="4"/>
  <c r="E52" i="4"/>
  <c r="I51" i="4"/>
  <c r="G51" i="4"/>
  <c r="E51" i="4"/>
  <c r="I50" i="4"/>
  <c r="G50" i="4"/>
  <c r="E50" i="4"/>
  <c r="I49" i="4"/>
  <c r="G49" i="4"/>
  <c r="E49" i="4"/>
  <c r="I48" i="4"/>
  <c r="G48" i="4"/>
  <c r="E48" i="4"/>
  <c r="I47" i="4"/>
  <c r="G47" i="4"/>
  <c r="E47" i="4"/>
  <c r="I46" i="4"/>
  <c r="G46" i="4"/>
  <c r="E46" i="4"/>
  <c r="I45" i="4"/>
  <c r="G45" i="4"/>
  <c r="E45" i="4"/>
  <c r="I44" i="4"/>
  <c r="G44" i="4"/>
  <c r="E44" i="4"/>
  <c r="I43" i="4"/>
  <c r="G43" i="4"/>
  <c r="E43" i="4"/>
  <c r="I42" i="4"/>
  <c r="G42" i="4"/>
  <c r="E42" i="4"/>
  <c r="I41" i="4"/>
  <c r="G41" i="4"/>
  <c r="E41" i="4"/>
  <c r="I40" i="4"/>
  <c r="G40" i="4"/>
  <c r="E40" i="4"/>
  <c r="I39" i="4"/>
  <c r="G39" i="4"/>
  <c r="E39" i="4"/>
  <c r="I38" i="4"/>
  <c r="G38" i="4"/>
  <c r="E38" i="4"/>
  <c r="I37" i="4"/>
  <c r="G37" i="4"/>
  <c r="E37" i="4"/>
  <c r="I36" i="4"/>
  <c r="G36" i="4"/>
  <c r="E36" i="4"/>
  <c r="I35" i="4"/>
  <c r="G35" i="4"/>
  <c r="E35" i="4"/>
  <c r="I34" i="4"/>
  <c r="G34" i="4"/>
  <c r="E34" i="4"/>
  <c r="I33" i="4"/>
  <c r="G33" i="4"/>
  <c r="E33" i="4"/>
  <c r="I32" i="4"/>
  <c r="G32" i="4"/>
  <c r="E32" i="4"/>
  <c r="I31" i="4"/>
  <c r="G31" i="4"/>
  <c r="E31" i="4"/>
  <c r="I30" i="4"/>
  <c r="G30" i="4"/>
  <c r="E30" i="4"/>
  <c r="I29" i="4"/>
  <c r="G29" i="4"/>
  <c r="E29" i="4"/>
  <c r="I28" i="4"/>
  <c r="G28" i="4"/>
  <c r="E28" i="4"/>
  <c r="I27" i="4"/>
  <c r="G27" i="4"/>
  <c r="E27" i="4"/>
  <c r="I26" i="4"/>
  <c r="G26" i="4"/>
  <c r="E26" i="4"/>
  <c r="D26" i="4"/>
  <c r="I25" i="4"/>
  <c r="G25" i="4"/>
  <c r="E25" i="4"/>
  <c r="I24" i="4"/>
  <c r="G24" i="4"/>
  <c r="E24" i="4"/>
  <c r="I23" i="4"/>
  <c r="G23" i="4"/>
  <c r="E23" i="4"/>
  <c r="D23" i="4"/>
  <c r="I22" i="4"/>
  <c r="G22" i="4"/>
  <c r="E22" i="4"/>
  <c r="I21" i="4"/>
  <c r="G21" i="4"/>
  <c r="E21" i="4"/>
  <c r="I20" i="4"/>
  <c r="G20" i="4"/>
  <c r="E20" i="4"/>
  <c r="I19" i="4"/>
  <c r="G19" i="4"/>
  <c r="E19" i="4"/>
  <c r="I18" i="4"/>
  <c r="G18" i="4"/>
  <c r="E18" i="4"/>
  <c r="I17" i="4"/>
  <c r="G17" i="4"/>
  <c r="E17" i="4"/>
  <c r="I16" i="4"/>
  <c r="G16" i="4"/>
  <c r="E16" i="4"/>
  <c r="I15" i="4"/>
  <c r="G15" i="4"/>
  <c r="E15" i="4"/>
  <c r="I14" i="4"/>
  <c r="G14" i="4"/>
  <c r="E14" i="4"/>
  <c r="I13" i="4"/>
  <c r="G13" i="4"/>
  <c r="E13" i="4"/>
  <c r="I12" i="4"/>
  <c r="G12" i="4"/>
  <c r="E12" i="4"/>
  <c r="I11" i="4"/>
  <c r="G11" i="4"/>
  <c r="E11" i="4"/>
  <c r="I10" i="4"/>
  <c r="G10" i="4"/>
  <c r="E10" i="4"/>
  <c r="I9" i="4"/>
  <c r="G9" i="4"/>
  <c r="E9" i="4"/>
  <c r="I8" i="4"/>
  <c r="G8" i="4"/>
  <c r="E8" i="4"/>
  <c r="I7" i="4"/>
  <c r="G7" i="4"/>
  <c r="E7" i="4"/>
  <c r="I6" i="4"/>
  <c r="G6" i="4"/>
  <c r="E6" i="4"/>
  <c r="I5" i="4"/>
  <c r="G5" i="4"/>
  <c r="E5" i="4"/>
  <c r="I4" i="4"/>
  <c r="I3" i="4"/>
  <c r="I89" i="1"/>
  <c r="I88" i="1"/>
  <c r="H88" i="1"/>
  <c r="H80" i="1"/>
  <c r="D80" i="1"/>
  <c r="H79" i="1"/>
  <c r="I78" i="1"/>
  <c r="D78" i="1"/>
  <c r="N76" i="1"/>
  <c r="K76" i="1"/>
  <c r="D76" i="1"/>
  <c r="N75" i="1"/>
  <c r="M75" i="1"/>
  <c r="D75" i="1"/>
  <c r="N74" i="1"/>
  <c r="M74" i="1"/>
  <c r="N73" i="1"/>
  <c r="M73" i="1"/>
  <c r="H73" i="1"/>
  <c r="N72" i="1"/>
  <c r="M72" i="1"/>
  <c r="N71" i="1"/>
  <c r="M71" i="1"/>
  <c r="N70" i="1"/>
  <c r="M70" i="1"/>
  <c r="N69" i="1"/>
  <c r="M69" i="1"/>
  <c r="N68" i="1"/>
  <c r="M68" i="1"/>
  <c r="C64" i="1"/>
  <c r="C63" i="1"/>
  <c r="D62" i="1"/>
  <c r="C62" i="1"/>
  <c r="C60" i="1"/>
  <c r="E59" i="1"/>
  <c r="C59" i="1"/>
  <c r="B59" i="1"/>
  <c r="D54" i="1"/>
  <c r="F53" i="1"/>
  <c r="D53" i="1"/>
  <c r="D52" i="1"/>
  <c r="D56" i="1" s="1"/>
  <c r="C65" i="1" s="1"/>
  <c r="D77" i="1" s="1"/>
  <c r="F51" i="1"/>
  <c r="D50" i="1"/>
  <c r="J49" i="1"/>
  <c r="I49" i="1"/>
  <c r="H49" i="1"/>
  <c r="B49" i="1"/>
  <c r="AG48" i="1"/>
  <c r="AE48" i="1"/>
  <c r="AC48" i="1"/>
  <c r="AA48" i="1"/>
  <c r="Y48" i="1"/>
  <c r="W48" i="1"/>
  <c r="U48" i="1"/>
  <c r="S48" i="1"/>
  <c r="Q48" i="1"/>
  <c r="O48" i="1"/>
  <c r="M48" i="1"/>
  <c r="K48" i="1"/>
  <c r="H48" i="1"/>
  <c r="F48" i="1"/>
  <c r="D48" i="1"/>
  <c r="AG47" i="1"/>
  <c r="AE47" i="1"/>
  <c r="AC47" i="1"/>
  <c r="AA47" i="1"/>
  <c r="Y47" i="1"/>
  <c r="W47" i="1"/>
  <c r="U47" i="1"/>
  <c r="S47" i="1"/>
  <c r="Q47" i="1"/>
  <c r="O47" i="1"/>
  <c r="M47" i="1"/>
  <c r="K47" i="1"/>
  <c r="H47" i="1"/>
  <c r="F47" i="1"/>
  <c r="D47" i="1"/>
  <c r="AG46" i="1"/>
  <c r="AE46" i="1"/>
  <c r="AC46" i="1"/>
  <c r="AA46" i="1"/>
  <c r="Y46" i="1"/>
  <c r="W46" i="1"/>
  <c r="U46" i="1"/>
  <c r="S46" i="1"/>
  <c r="Q46" i="1"/>
  <c r="O46" i="1"/>
  <c r="M46" i="1"/>
  <c r="K46" i="1"/>
  <c r="H46" i="1"/>
  <c r="F46" i="1"/>
  <c r="D46" i="1"/>
  <c r="AG45" i="1"/>
  <c r="AE45" i="1"/>
  <c r="AC45" i="1"/>
  <c r="AA45" i="1"/>
  <c r="Y45" i="1"/>
  <c r="W45" i="1"/>
  <c r="U45" i="1"/>
  <c r="S45" i="1"/>
  <c r="Q45" i="1"/>
  <c r="O45" i="1"/>
  <c r="M45" i="1"/>
  <c r="K45" i="1"/>
  <c r="H45" i="1"/>
  <c r="F45" i="1"/>
  <c r="D45" i="1"/>
  <c r="AG44" i="1"/>
  <c r="AE44" i="1"/>
  <c r="AC44" i="1"/>
  <c r="AA44" i="1"/>
  <c r="Y44" i="1"/>
  <c r="W44" i="1"/>
  <c r="U44" i="1"/>
  <c r="S44" i="1"/>
  <c r="Q44" i="1"/>
  <c r="O44" i="1"/>
  <c r="M44" i="1"/>
  <c r="K44" i="1"/>
  <c r="H44" i="1"/>
  <c r="F44" i="1"/>
  <c r="D44" i="1"/>
  <c r="AG43" i="1"/>
  <c r="AE43" i="1"/>
  <c r="AC43" i="1"/>
  <c r="AA43" i="1"/>
  <c r="Y43" i="1"/>
  <c r="W43" i="1"/>
  <c r="U43" i="1"/>
  <c r="S43" i="1"/>
  <c r="Q43" i="1"/>
  <c r="O43" i="1"/>
  <c r="M43" i="1"/>
  <c r="K43" i="1"/>
  <c r="H43" i="1"/>
  <c r="F43" i="1"/>
  <c r="D43" i="1"/>
  <c r="AG42" i="1"/>
  <c r="AE42" i="1"/>
  <c r="AC42" i="1"/>
  <c r="AA42" i="1"/>
  <c r="Y42" i="1"/>
  <c r="W42" i="1"/>
  <c r="U42" i="1"/>
  <c r="S42" i="1"/>
  <c r="Q42" i="1"/>
  <c r="O42" i="1"/>
  <c r="M42" i="1"/>
  <c r="K42" i="1"/>
  <c r="H42" i="1"/>
  <c r="F42" i="1"/>
  <c r="D42" i="1"/>
  <c r="AG41" i="1"/>
  <c r="AE41" i="1"/>
  <c r="AC41" i="1"/>
  <c r="AA41" i="1"/>
  <c r="Y41" i="1"/>
  <c r="W41" i="1"/>
  <c r="U41" i="1"/>
  <c r="S41" i="1"/>
  <c r="Q41" i="1"/>
  <c r="O41" i="1"/>
  <c r="M41" i="1"/>
  <c r="K41" i="1"/>
  <c r="H41" i="1"/>
  <c r="F41" i="1"/>
  <c r="D41" i="1"/>
  <c r="AG40" i="1"/>
  <c r="AE40" i="1"/>
  <c r="AC40" i="1"/>
  <c r="AA40" i="1"/>
  <c r="Y40" i="1"/>
  <c r="W40" i="1"/>
  <c r="U40" i="1"/>
  <c r="S40" i="1"/>
  <c r="Q40" i="1"/>
  <c r="O40" i="1"/>
  <c r="M40" i="1"/>
  <c r="K40" i="1"/>
  <c r="H40" i="1"/>
  <c r="F40" i="1"/>
  <c r="D40" i="1"/>
  <c r="AG39" i="1"/>
  <c r="AE39" i="1"/>
  <c r="AC39" i="1"/>
  <c r="AA39" i="1"/>
  <c r="Y39" i="1"/>
  <c r="W39" i="1"/>
  <c r="U39" i="1"/>
  <c r="S39" i="1"/>
  <c r="Q39" i="1"/>
  <c r="O39" i="1"/>
  <c r="M39" i="1"/>
  <c r="K39" i="1"/>
  <c r="H39" i="1"/>
  <c r="F39" i="1"/>
  <c r="D39" i="1"/>
  <c r="AG38" i="1"/>
  <c r="AE38" i="1"/>
  <c r="AC38" i="1"/>
  <c r="AA38" i="1"/>
  <c r="Y38" i="1"/>
  <c r="W38" i="1"/>
  <c r="U38" i="1"/>
  <c r="S38" i="1"/>
  <c r="Q38" i="1"/>
  <c r="O38" i="1"/>
  <c r="M38" i="1"/>
  <c r="K38" i="1"/>
  <c r="H38" i="1"/>
  <c r="F38" i="1"/>
  <c r="D38" i="1"/>
  <c r="AG37" i="1"/>
  <c r="AE37" i="1"/>
  <c r="AC37" i="1"/>
  <c r="AA37" i="1"/>
  <c r="Y37" i="1"/>
  <c r="W37" i="1"/>
  <c r="U37" i="1"/>
  <c r="S37" i="1"/>
  <c r="Q37" i="1"/>
  <c r="O37" i="1"/>
  <c r="M37" i="1"/>
  <c r="K37" i="1"/>
  <c r="H37" i="1"/>
  <c r="F37" i="1"/>
  <c r="D37" i="1"/>
  <c r="AG36" i="1"/>
  <c r="AE36" i="1"/>
  <c r="AC36" i="1"/>
  <c r="AA36" i="1"/>
  <c r="Y36" i="1"/>
  <c r="W36" i="1"/>
  <c r="U36" i="1"/>
  <c r="S36" i="1"/>
  <c r="Q36" i="1"/>
  <c r="O36" i="1"/>
  <c r="M36" i="1"/>
  <c r="K36" i="1"/>
  <c r="H36" i="1"/>
  <c r="F36" i="1"/>
  <c r="D36" i="1"/>
  <c r="AG35" i="1"/>
  <c r="AE35" i="1"/>
  <c r="AC35" i="1"/>
  <c r="AA35" i="1"/>
  <c r="Y35" i="1"/>
  <c r="W35" i="1"/>
  <c r="U35" i="1"/>
  <c r="S35" i="1"/>
  <c r="Q35" i="1"/>
  <c r="O35" i="1"/>
  <c r="M35" i="1"/>
  <c r="K35" i="1"/>
  <c r="H35" i="1"/>
  <c r="F35" i="1"/>
  <c r="D35" i="1"/>
  <c r="AG34" i="1"/>
  <c r="AE34" i="1"/>
  <c r="AC34" i="1"/>
  <c r="AA34" i="1"/>
  <c r="Y34" i="1"/>
  <c r="W34" i="1"/>
  <c r="U34" i="1"/>
  <c r="S34" i="1"/>
  <c r="Q34" i="1"/>
  <c r="O34" i="1"/>
  <c r="M34" i="1"/>
  <c r="K34" i="1"/>
  <c r="H34" i="1"/>
  <c r="F34" i="1"/>
  <c r="D34" i="1"/>
  <c r="AG33" i="1"/>
  <c r="AE33" i="1"/>
  <c r="AC33" i="1"/>
  <c r="AA33" i="1"/>
  <c r="Y33" i="1"/>
  <c r="W33" i="1"/>
  <c r="U33" i="1"/>
  <c r="S33" i="1"/>
  <c r="Q33" i="1"/>
  <c r="O33" i="1"/>
  <c r="M33" i="1"/>
  <c r="K33" i="1"/>
  <c r="H33" i="1"/>
  <c r="F33" i="1"/>
  <c r="D33" i="1"/>
  <c r="AG32" i="1"/>
  <c r="AE32" i="1"/>
  <c r="AC32" i="1"/>
  <c r="AA32" i="1"/>
  <c r="Y32" i="1"/>
  <c r="W32" i="1"/>
  <c r="U32" i="1"/>
  <c r="S32" i="1"/>
  <c r="Q32" i="1"/>
  <c r="O32" i="1"/>
  <c r="M32" i="1"/>
  <c r="K32" i="1"/>
  <c r="H32" i="1"/>
  <c r="F32" i="1"/>
  <c r="D32" i="1"/>
  <c r="AG31" i="1"/>
  <c r="AE31" i="1"/>
  <c r="AC31" i="1"/>
  <c r="AA31" i="1"/>
  <c r="Y31" i="1"/>
  <c r="W31" i="1"/>
  <c r="U31" i="1"/>
  <c r="S31" i="1"/>
  <c r="Q31" i="1"/>
  <c r="O31" i="1"/>
  <c r="M31" i="1"/>
  <c r="K31" i="1"/>
  <c r="H31" i="1"/>
  <c r="F31" i="1"/>
  <c r="D31" i="1"/>
  <c r="AG30" i="1"/>
  <c r="AE30" i="1"/>
  <c r="AC30" i="1"/>
  <c r="AA30" i="1"/>
  <c r="Y30" i="1"/>
  <c r="W30" i="1"/>
  <c r="U30" i="1"/>
  <c r="S30" i="1"/>
  <c r="Q30" i="1"/>
  <c r="O30" i="1"/>
  <c r="M30" i="1"/>
  <c r="K30" i="1"/>
  <c r="H30" i="1"/>
  <c r="F30" i="1"/>
  <c r="D30" i="1"/>
  <c r="AG29" i="1"/>
  <c r="AE29" i="1"/>
  <c r="AC29" i="1"/>
  <c r="AA29" i="1"/>
  <c r="Y29" i="1"/>
  <c r="W29" i="1"/>
  <c r="U29" i="1"/>
  <c r="S29" i="1"/>
  <c r="Q29" i="1"/>
  <c r="O29" i="1"/>
  <c r="M29" i="1"/>
  <c r="K29" i="1"/>
  <c r="H29" i="1"/>
  <c r="F29" i="1"/>
  <c r="D29" i="1"/>
  <c r="AG28" i="1"/>
  <c r="AE28" i="1"/>
  <c r="AC28" i="1"/>
  <c r="AA28" i="1"/>
  <c r="Y28" i="1"/>
  <c r="W28" i="1"/>
  <c r="U28" i="1"/>
  <c r="S28" i="1"/>
  <c r="Q28" i="1"/>
  <c r="O28" i="1"/>
  <c r="M28" i="1"/>
  <c r="K28" i="1"/>
  <c r="H28" i="1"/>
  <c r="F28" i="1"/>
  <c r="D28" i="1"/>
  <c r="AG27" i="1"/>
  <c r="AE27" i="1"/>
  <c r="AC27" i="1"/>
  <c r="AA27" i="1"/>
  <c r="Y27" i="1"/>
  <c r="W27" i="1"/>
  <c r="U27" i="1"/>
  <c r="S27" i="1"/>
  <c r="Q27" i="1"/>
  <c r="O27" i="1"/>
  <c r="M27" i="1"/>
  <c r="K27" i="1"/>
  <c r="H27" i="1"/>
  <c r="F27" i="1"/>
  <c r="D27" i="1"/>
  <c r="AG26" i="1"/>
  <c r="AE26" i="1"/>
  <c r="AC26" i="1"/>
  <c r="AA26" i="1"/>
  <c r="Y26" i="1"/>
  <c r="W26" i="1"/>
  <c r="U26" i="1"/>
  <c r="S26" i="1"/>
  <c r="Q26" i="1"/>
  <c r="O26" i="1"/>
  <c r="M26" i="1"/>
  <c r="K26" i="1"/>
  <c r="H26" i="1"/>
  <c r="F26" i="1"/>
  <c r="D26" i="1"/>
  <c r="AG25" i="1"/>
  <c r="AE25" i="1"/>
  <c r="AC25" i="1"/>
  <c r="AA25" i="1"/>
  <c r="Y25" i="1"/>
  <c r="W25" i="1"/>
  <c r="U25" i="1"/>
  <c r="S25" i="1"/>
  <c r="Q25" i="1"/>
  <c r="O25" i="1"/>
  <c r="M25" i="1"/>
  <c r="K25" i="1"/>
  <c r="H25" i="1"/>
  <c r="F25" i="1"/>
  <c r="D25" i="1"/>
  <c r="AG24" i="1"/>
  <c r="AE24" i="1"/>
  <c r="AC24" i="1"/>
  <c r="AA24" i="1"/>
  <c r="Y24" i="1"/>
  <c r="W24" i="1"/>
  <c r="U24" i="1"/>
  <c r="S24" i="1"/>
  <c r="Q24" i="1"/>
  <c r="O24" i="1"/>
  <c r="M24" i="1"/>
  <c r="K24" i="1"/>
  <c r="H24" i="1"/>
  <c r="F24" i="1"/>
  <c r="D24" i="1"/>
  <c r="AG23" i="1"/>
  <c r="AE23" i="1"/>
  <c r="AC23" i="1"/>
  <c r="AA23" i="1"/>
  <c r="Y23" i="1"/>
  <c r="W23" i="1"/>
  <c r="U23" i="1"/>
  <c r="S23" i="1"/>
  <c r="Q23" i="1"/>
  <c r="O23" i="1"/>
  <c r="M23" i="1"/>
  <c r="K23" i="1"/>
  <c r="H23" i="1"/>
  <c r="F23" i="1"/>
  <c r="D23" i="1"/>
  <c r="AG22" i="1"/>
  <c r="AE22" i="1"/>
  <c r="AC22" i="1"/>
  <c r="AA22" i="1"/>
  <c r="Y22" i="1"/>
  <c r="W22" i="1"/>
  <c r="U22" i="1"/>
  <c r="S22" i="1"/>
  <c r="Q22" i="1"/>
  <c r="O22" i="1"/>
  <c r="M22" i="1"/>
  <c r="K22" i="1"/>
  <c r="H22" i="1"/>
  <c r="F22" i="1"/>
  <c r="D22" i="1"/>
  <c r="AF19" i="1"/>
  <c r="R19" i="1"/>
  <c r="B19" i="1"/>
  <c r="R18" i="1"/>
  <c r="L18" i="1"/>
  <c r="K18" i="1"/>
  <c r="J18" i="1"/>
  <c r="I18" i="1"/>
  <c r="K17" i="1"/>
  <c r="H17" i="1"/>
  <c r="K16" i="1"/>
  <c r="H16" i="1"/>
  <c r="B16" i="1"/>
  <c r="K15" i="1"/>
  <c r="K14" i="1"/>
  <c r="M13" i="1"/>
  <c r="K13" i="1"/>
  <c r="B13" i="1"/>
  <c r="K12" i="1"/>
  <c r="K11" i="1"/>
  <c r="K10" i="1"/>
  <c r="I6" i="1"/>
  <c r="AE45" i="2"/>
  <c r="AC45" i="2"/>
  <c r="AA45" i="2"/>
  <c r="Y45" i="2"/>
  <c r="W45" i="2"/>
  <c r="U45" i="2"/>
  <c r="S45" i="2"/>
  <c r="Q45" i="2"/>
  <c r="O45" i="2"/>
  <c r="M45" i="2"/>
  <c r="K45" i="2"/>
  <c r="I45" i="2"/>
  <c r="G45" i="2"/>
  <c r="E45" i="2"/>
  <c r="AE44" i="2"/>
  <c r="AC44" i="2"/>
  <c r="AA44" i="2"/>
  <c r="Y44" i="2"/>
  <c r="W44" i="2"/>
  <c r="U44" i="2"/>
  <c r="S44" i="2"/>
  <c r="Q44" i="2"/>
  <c r="O44" i="2"/>
  <c r="M44" i="2"/>
  <c r="K44" i="2"/>
  <c r="I44" i="2"/>
  <c r="G44" i="2"/>
  <c r="E44" i="2"/>
  <c r="AE43" i="2"/>
  <c r="AC43" i="2"/>
  <c r="AA43" i="2"/>
  <c r="Y43" i="2"/>
  <c r="W43" i="2"/>
  <c r="U43" i="2"/>
  <c r="S43" i="2"/>
  <c r="Q43" i="2"/>
  <c r="O43" i="2"/>
  <c r="M43" i="2"/>
  <c r="K43" i="2"/>
  <c r="I43" i="2"/>
  <c r="G43" i="2"/>
  <c r="E43" i="2"/>
  <c r="AE42" i="2"/>
  <c r="AC42" i="2"/>
  <c r="AA42" i="2"/>
  <c r="Y42" i="2"/>
  <c r="W42" i="2"/>
  <c r="U42" i="2"/>
  <c r="S42" i="2"/>
  <c r="Q42" i="2"/>
  <c r="O42" i="2"/>
  <c r="M42" i="2"/>
  <c r="K42" i="2"/>
  <c r="I42" i="2"/>
  <c r="G42" i="2"/>
  <c r="E42" i="2"/>
  <c r="AE41" i="2"/>
  <c r="AC41" i="2"/>
  <c r="AA41" i="2"/>
  <c r="Y41" i="2"/>
  <c r="W41" i="2"/>
  <c r="U41" i="2"/>
  <c r="S41" i="2"/>
  <c r="Q41" i="2"/>
  <c r="O41" i="2"/>
  <c r="M41" i="2"/>
  <c r="K41" i="2"/>
  <c r="I41" i="2"/>
  <c r="G41" i="2"/>
  <c r="E41" i="2"/>
  <c r="AE40" i="2"/>
  <c r="AC40" i="2"/>
  <c r="AA40" i="2"/>
  <c r="Y40" i="2"/>
  <c r="W40" i="2"/>
  <c r="U40" i="2"/>
  <c r="S40" i="2"/>
  <c r="Q40" i="2"/>
  <c r="O40" i="2"/>
  <c r="M40" i="2"/>
  <c r="K40" i="2"/>
  <c r="I40" i="2"/>
  <c r="G40" i="2"/>
  <c r="E40" i="2"/>
  <c r="AE39" i="2"/>
  <c r="AC39" i="2"/>
  <c r="AA39" i="2"/>
  <c r="Y39" i="2"/>
  <c r="W39" i="2"/>
  <c r="U39" i="2"/>
  <c r="S39" i="2"/>
  <c r="Q39" i="2"/>
  <c r="O39" i="2"/>
  <c r="M39" i="2"/>
  <c r="K39" i="2"/>
  <c r="I39" i="2"/>
  <c r="G39" i="2"/>
  <c r="E39" i="2"/>
  <c r="AE38" i="2"/>
  <c r="AC38" i="2"/>
  <c r="AA38" i="2"/>
  <c r="Y38" i="2"/>
  <c r="W38" i="2"/>
  <c r="U38" i="2"/>
  <c r="S38" i="2"/>
  <c r="Q38" i="2"/>
  <c r="O38" i="2"/>
  <c r="M38" i="2"/>
  <c r="K38" i="2"/>
  <c r="I38" i="2"/>
  <c r="G38" i="2"/>
  <c r="E38" i="2"/>
  <c r="AE37" i="2"/>
  <c r="AC37" i="2"/>
  <c r="AA37" i="2"/>
  <c r="Y37" i="2"/>
  <c r="W37" i="2"/>
  <c r="U37" i="2"/>
  <c r="S37" i="2"/>
  <c r="Q37" i="2"/>
  <c r="O37" i="2"/>
  <c r="M37" i="2"/>
  <c r="K37" i="2"/>
  <c r="I37" i="2"/>
  <c r="G37" i="2"/>
  <c r="E37" i="2"/>
  <c r="AE36" i="2"/>
  <c r="AC36" i="2"/>
  <c r="AA36" i="2"/>
  <c r="Y36" i="2"/>
  <c r="W36" i="2"/>
  <c r="U36" i="2"/>
  <c r="S36" i="2"/>
  <c r="Q36" i="2"/>
  <c r="O36" i="2"/>
  <c r="M36" i="2"/>
  <c r="K36" i="2"/>
  <c r="I36" i="2"/>
  <c r="G36" i="2"/>
  <c r="E36" i="2"/>
  <c r="AE35" i="2"/>
  <c r="AC35" i="2"/>
  <c r="AA35" i="2"/>
  <c r="Y35" i="2"/>
  <c r="W35" i="2"/>
  <c r="U35" i="2"/>
  <c r="S35" i="2"/>
  <c r="Q35" i="2"/>
  <c r="O35" i="2"/>
  <c r="M35" i="2"/>
  <c r="K35" i="2"/>
  <c r="I35" i="2"/>
  <c r="G35" i="2"/>
  <c r="E35" i="2"/>
  <c r="AE34" i="2"/>
  <c r="AC34" i="2"/>
  <c r="AA34" i="2"/>
  <c r="Y34" i="2"/>
  <c r="W34" i="2"/>
  <c r="U34" i="2"/>
  <c r="S34" i="2"/>
  <c r="Q34" i="2"/>
  <c r="O34" i="2"/>
  <c r="M34" i="2"/>
  <c r="K34" i="2"/>
  <c r="I34" i="2"/>
  <c r="G34" i="2"/>
  <c r="E34" i="2"/>
  <c r="AE33" i="2"/>
  <c r="AC33" i="2"/>
  <c r="AA33" i="2"/>
  <c r="Y33" i="2"/>
  <c r="W33" i="2"/>
  <c r="U33" i="2"/>
  <c r="S33" i="2"/>
  <c r="Q33" i="2"/>
  <c r="O33" i="2"/>
  <c r="M33" i="2"/>
  <c r="K33" i="2"/>
  <c r="I33" i="2"/>
  <c r="G33" i="2"/>
  <c r="E33" i="2"/>
  <c r="AE32" i="2"/>
  <c r="AC32" i="2"/>
  <c r="AA32" i="2"/>
  <c r="Y32" i="2"/>
  <c r="W32" i="2"/>
  <c r="U32" i="2"/>
  <c r="S32" i="2"/>
  <c r="Q32" i="2"/>
  <c r="O32" i="2"/>
  <c r="M32" i="2"/>
  <c r="K32" i="2"/>
  <c r="I32" i="2"/>
  <c r="G32" i="2"/>
  <c r="E32" i="2"/>
  <c r="AE31" i="2"/>
  <c r="AC31" i="2"/>
  <c r="AA31" i="2"/>
  <c r="Y31" i="2"/>
  <c r="W31" i="2"/>
  <c r="U31" i="2"/>
  <c r="S31" i="2"/>
  <c r="Q31" i="2"/>
  <c r="O31" i="2"/>
  <c r="M31" i="2"/>
  <c r="K31" i="2"/>
  <c r="I31" i="2"/>
  <c r="G31" i="2"/>
  <c r="E31" i="2"/>
  <c r="AE30" i="2"/>
  <c r="AC30" i="2"/>
  <c r="AA30" i="2"/>
  <c r="Y30" i="2"/>
  <c r="W30" i="2"/>
  <c r="U30" i="2"/>
  <c r="S30" i="2"/>
  <c r="Q30" i="2"/>
  <c r="O30" i="2"/>
  <c r="M30" i="2"/>
  <c r="K30" i="2"/>
  <c r="I30" i="2"/>
  <c r="G30" i="2"/>
  <c r="E30" i="2"/>
  <c r="AE29" i="2"/>
  <c r="AC29" i="2"/>
  <c r="AA29" i="2"/>
  <c r="Y29" i="2"/>
  <c r="W29" i="2"/>
  <c r="U29" i="2"/>
  <c r="S29" i="2"/>
  <c r="Q29" i="2"/>
  <c r="O29" i="2"/>
  <c r="M29" i="2"/>
  <c r="K29" i="2"/>
  <c r="I29" i="2"/>
  <c r="G29" i="2"/>
  <c r="E29" i="2"/>
  <c r="AE28" i="2"/>
  <c r="AC28" i="2"/>
  <c r="AA28" i="2"/>
  <c r="Y28" i="2"/>
  <c r="W28" i="2"/>
  <c r="U28" i="2"/>
  <c r="S28" i="2"/>
  <c r="Q28" i="2"/>
  <c r="O28" i="2"/>
  <c r="M28" i="2"/>
  <c r="K28" i="2"/>
  <c r="I28" i="2"/>
  <c r="G28" i="2"/>
  <c r="E28" i="2"/>
  <c r="AE27" i="2"/>
  <c r="AC27" i="2"/>
  <c r="AA27" i="2"/>
  <c r="Y27" i="2"/>
  <c r="W27" i="2"/>
  <c r="U27" i="2"/>
  <c r="S27" i="2"/>
  <c r="Q27" i="2"/>
  <c r="O27" i="2"/>
  <c r="M27" i="2"/>
  <c r="K27" i="2"/>
  <c r="I27" i="2"/>
  <c r="G27" i="2"/>
  <c r="E27" i="2"/>
  <c r="AE26" i="2"/>
  <c r="AC26" i="2"/>
  <c r="AA26" i="2"/>
  <c r="Y26" i="2"/>
  <c r="W26" i="2"/>
  <c r="U26" i="2"/>
  <c r="S26" i="2"/>
  <c r="Q26" i="2"/>
  <c r="O26" i="2"/>
  <c r="M26" i="2"/>
  <c r="K26" i="2"/>
  <c r="I26" i="2"/>
  <c r="G26" i="2"/>
  <c r="E26" i="2"/>
  <c r="AE25" i="2"/>
  <c r="AC25" i="2"/>
  <c r="AA25" i="2"/>
  <c r="Y25" i="2"/>
  <c r="W25" i="2"/>
  <c r="U25" i="2"/>
  <c r="S25" i="2"/>
  <c r="Q25" i="2"/>
  <c r="O25" i="2"/>
  <c r="M25" i="2"/>
  <c r="K25" i="2"/>
  <c r="I25" i="2"/>
  <c r="G25" i="2"/>
  <c r="E25" i="2"/>
  <c r="AE24" i="2"/>
  <c r="AC24" i="2"/>
  <c r="AA24" i="2"/>
  <c r="Y24" i="2"/>
  <c r="W24" i="2"/>
  <c r="U24" i="2"/>
  <c r="S24" i="2"/>
  <c r="Q24" i="2"/>
  <c r="O24" i="2"/>
  <c r="M24" i="2"/>
  <c r="K24" i="2"/>
  <c r="I24" i="2"/>
  <c r="G24" i="2"/>
  <c r="E24" i="2"/>
  <c r="AE23" i="2"/>
  <c r="AC23" i="2"/>
  <c r="AA23" i="2"/>
  <c r="Y23" i="2"/>
  <c r="W23" i="2"/>
  <c r="U23" i="2"/>
  <c r="S23" i="2"/>
  <c r="Q23" i="2"/>
  <c r="O23" i="2"/>
  <c r="M23" i="2"/>
  <c r="K23" i="2"/>
  <c r="I23" i="2"/>
  <c r="G23" i="2"/>
  <c r="E23" i="2"/>
  <c r="AE22" i="2"/>
  <c r="AC22" i="2"/>
  <c r="AA22" i="2"/>
  <c r="Y22" i="2"/>
  <c r="W22" i="2"/>
  <c r="U22" i="2"/>
  <c r="S22" i="2"/>
  <c r="Q22" i="2"/>
  <c r="O22" i="2"/>
  <c r="M22" i="2"/>
  <c r="K22" i="2"/>
  <c r="I22" i="2"/>
  <c r="G22" i="2"/>
  <c r="E22" i="2"/>
  <c r="AE21" i="2"/>
  <c r="AC21" i="2"/>
  <c r="AA21" i="2"/>
  <c r="Y21" i="2"/>
  <c r="W21" i="2"/>
  <c r="U21" i="2"/>
  <c r="S21" i="2"/>
  <c r="Q21" i="2"/>
  <c r="O21" i="2"/>
  <c r="M21" i="2"/>
  <c r="K21" i="2"/>
  <c r="I21" i="2"/>
  <c r="G21" i="2"/>
  <c r="E21" i="2"/>
  <c r="AE20" i="2"/>
  <c r="AC20" i="2"/>
  <c r="AA20" i="2"/>
  <c r="Y20" i="2"/>
  <c r="W20" i="2"/>
  <c r="U20" i="2"/>
  <c r="S20" i="2"/>
  <c r="Q20" i="2"/>
  <c r="O20" i="2"/>
  <c r="M20" i="2"/>
  <c r="K20" i="2"/>
  <c r="I20" i="2"/>
  <c r="G20" i="2"/>
  <c r="E20" i="2"/>
  <c r="G161" i="13"/>
  <c r="F161" i="13"/>
  <c r="F160" i="13"/>
  <c r="R158" i="13"/>
  <c r="O158" i="13"/>
  <c r="N158" i="13"/>
  <c r="R157" i="13"/>
  <c r="O157" i="13"/>
  <c r="N157" i="13"/>
  <c r="C156" i="13"/>
  <c r="AI155" i="13"/>
  <c r="AH155" i="13"/>
  <c r="AE155" i="13"/>
  <c r="AD155" i="13"/>
  <c r="AA155" i="13"/>
  <c r="Z155" i="13"/>
  <c r="W155" i="13"/>
  <c r="V155" i="13"/>
  <c r="S155" i="13"/>
  <c r="P155" i="13"/>
  <c r="O155" i="13"/>
  <c r="L155" i="13"/>
  <c r="K155" i="13"/>
  <c r="H155" i="13"/>
  <c r="G155" i="13"/>
  <c r="O154" i="13"/>
  <c r="AI153" i="13"/>
  <c r="AH153" i="13"/>
  <c r="AE153" i="13"/>
  <c r="AD153" i="13"/>
  <c r="AA153" i="13"/>
  <c r="Z153" i="13"/>
  <c r="W153" i="13"/>
  <c r="V153" i="13"/>
  <c r="S153" i="13"/>
  <c r="P153" i="13"/>
  <c r="O153" i="13"/>
  <c r="L153" i="13"/>
  <c r="K153" i="13"/>
  <c r="H153" i="13"/>
  <c r="G153" i="13"/>
  <c r="AI151" i="13"/>
  <c r="AG151" i="13"/>
  <c r="AF151" i="13"/>
  <c r="AE151" i="13"/>
  <c r="AC151" i="13"/>
  <c r="AB151" i="13"/>
  <c r="AA151" i="13"/>
  <c r="Y151" i="13"/>
  <c r="X151" i="13"/>
  <c r="W151" i="13"/>
  <c r="U151" i="13"/>
  <c r="T151" i="13"/>
  <c r="S151" i="13"/>
  <c r="Q151" i="13"/>
  <c r="P151" i="13"/>
  <c r="O151" i="13"/>
  <c r="M151" i="13"/>
  <c r="L151" i="13"/>
  <c r="K151" i="13"/>
  <c r="I151" i="13"/>
  <c r="H151" i="13"/>
  <c r="G151" i="13"/>
  <c r="F151" i="13"/>
  <c r="E151" i="13"/>
  <c r="D151" i="13"/>
  <c r="AI150" i="13"/>
  <c r="AH150" i="13"/>
  <c r="AG150" i="13"/>
  <c r="AF150" i="13"/>
  <c r="AE150" i="13"/>
  <c r="AD150" i="13"/>
  <c r="AC150" i="13"/>
  <c r="AB150" i="13"/>
  <c r="AA150" i="13"/>
  <c r="Z150" i="13"/>
  <c r="Y150" i="13"/>
  <c r="X150" i="13"/>
  <c r="W150" i="13"/>
  <c r="V150" i="13"/>
  <c r="U150" i="13"/>
  <c r="T150" i="13"/>
  <c r="S150" i="13"/>
  <c r="Q150" i="13"/>
  <c r="P150" i="13"/>
  <c r="O150" i="13"/>
  <c r="M150" i="13"/>
  <c r="L150" i="13"/>
  <c r="K150" i="13"/>
  <c r="I150" i="13"/>
  <c r="H150" i="13"/>
  <c r="G150" i="13"/>
  <c r="F150" i="13"/>
  <c r="E150" i="13"/>
  <c r="D150" i="13"/>
  <c r="C150" i="13"/>
  <c r="AI148" i="13"/>
  <c r="AE148" i="13"/>
  <c r="AA148" i="13"/>
  <c r="W148" i="13"/>
  <c r="S148" i="13"/>
  <c r="O148" i="13"/>
  <c r="K148" i="13"/>
  <c r="G148" i="13"/>
  <c r="AI147" i="13"/>
  <c r="AE147" i="13"/>
  <c r="AA147" i="13"/>
  <c r="W147" i="13"/>
  <c r="S147" i="13"/>
  <c r="O147" i="13"/>
  <c r="K147" i="13"/>
  <c r="G147" i="13"/>
  <c r="AI146" i="13"/>
  <c r="AE146" i="13"/>
  <c r="AA146" i="13"/>
  <c r="W146" i="13"/>
  <c r="S146" i="13"/>
  <c r="O146" i="13"/>
  <c r="K146" i="13"/>
  <c r="G146" i="13"/>
  <c r="AI145" i="13"/>
  <c r="AG145" i="13"/>
  <c r="AF145" i="13"/>
  <c r="AE145" i="13"/>
  <c r="AA145" i="13"/>
  <c r="W145" i="13"/>
  <c r="S145" i="13"/>
  <c r="O145" i="13"/>
  <c r="K145" i="13"/>
  <c r="I145" i="13"/>
  <c r="H145" i="13"/>
  <c r="G145" i="13"/>
  <c r="E145" i="13"/>
  <c r="D145" i="13"/>
  <c r="AI144" i="13"/>
  <c r="AE144" i="13"/>
  <c r="AA144" i="13"/>
  <c r="W144" i="13"/>
  <c r="S144" i="13"/>
  <c r="O144" i="13"/>
  <c r="K144" i="13"/>
  <c r="G144" i="13"/>
  <c r="AI143" i="13"/>
  <c r="AE143" i="13"/>
  <c r="AA143" i="13"/>
  <c r="W143" i="13"/>
  <c r="S143" i="13"/>
  <c r="O143" i="13"/>
  <c r="K143" i="13"/>
  <c r="G143" i="13"/>
  <c r="AI142" i="13"/>
  <c r="AE142" i="13"/>
  <c r="AA142" i="13"/>
  <c r="W142" i="13"/>
  <c r="S142" i="13"/>
  <c r="O142" i="13"/>
  <c r="K142" i="13"/>
  <c r="G142" i="13"/>
  <c r="AI141" i="13"/>
  <c r="AE141" i="13"/>
  <c r="AA141" i="13"/>
  <c r="W141" i="13"/>
  <c r="S141" i="13"/>
  <c r="O141" i="13"/>
  <c r="K141" i="13"/>
  <c r="G141" i="13"/>
  <c r="AI140" i="13"/>
  <c r="AG140" i="13"/>
  <c r="AF140" i="13"/>
  <c r="AE140" i="13"/>
  <c r="AA140" i="13"/>
  <c r="W140" i="13"/>
  <c r="S140" i="13"/>
  <c r="O140" i="13"/>
  <c r="K140" i="13"/>
  <c r="I140" i="13"/>
  <c r="H140" i="13"/>
  <c r="G140" i="13"/>
  <c r="E140" i="13"/>
  <c r="D140" i="13"/>
  <c r="AI139" i="13"/>
  <c r="AE139" i="13"/>
  <c r="AA139" i="13"/>
  <c r="W139" i="13"/>
  <c r="S139" i="13"/>
  <c r="O139" i="13"/>
  <c r="K139" i="13"/>
  <c r="G139" i="13"/>
  <c r="AI138" i="13"/>
  <c r="AE138" i="13"/>
  <c r="AA138" i="13"/>
  <c r="W138" i="13"/>
  <c r="S138" i="13"/>
  <c r="O138" i="13"/>
  <c r="K138" i="13"/>
  <c r="G138" i="13"/>
  <c r="AI137" i="13"/>
  <c r="AE137" i="13"/>
  <c r="AA137" i="13"/>
  <c r="W137" i="13"/>
  <c r="S137" i="13"/>
  <c r="O137" i="13"/>
  <c r="K137" i="13"/>
  <c r="G137" i="13"/>
  <c r="AI136" i="13"/>
  <c r="AE136" i="13"/>
  <c r="AA136" i="13"/>
  <c r="W136" i="13"/>
  <c r="S136" i="13"/>
  <c r="O136" i="13"/>
  <c r="K136" i="13"/>
  <c r="G136" i="13"/>
  <c r="AI135" i="13"/>
  <c r="AE135" i="13"/>
  <c r="AA135" i="13"/>
  <c r="W135" i="13"/>
  <c r="S135" i="13"/>
  <c r="O135" i="13"/>
  <c r="K135" i="13"/>
  <c r="G135" i="13"/>
  <c r="AI134" i="13"/>
  <c r="AE134" i="13"/>
  <c r="AA134" i="13"/>
  <c r="W134" i="13"/>
  <c r="S134" i="13"/>
  <c r="O134" i="13"/>
  <c r="K134" i="13"/>
  <c r="G134" i="13"/>
  <c r="AI133" i="13"/>
  <c r="AE133" i="13"/>
  <c r="AA133" i="13"/>
  <c r="W133" i="13"/>
  <c r="S133" i="13"/>
  <c r="O133" i="13"/>
  <c r="K133" i="13"/>
  <c r="G133" i="13"/>
  <c r="AI132" i="13"/>
  <c r="AE132" i="13"/>
  <c r="AA132" i="13"/>
  <c r="W132" i="13"/>
  <c r="S132" i="13"/>
  <c r="O132" i="13"/>
  <c r="K132" i="13"/>
  <c r="G132" i="13"/>
  <c r="AI131" i="13"/>
  <c r="AE131" i="13"/>
  <c r="AA131" i="13"/>
  <c r="W131" i="13"/>
  <c r="S131" i="13"/>
  <c r="O131" i="13"/>
  <c r="K131" i="13"/>
  <c r="G131" i="13"/>
  <c r="AI130" i="13"/>
  <c r="AE130" i="13"/>
  <c r="AA130" i="13"/>
  <c r="W130" i="13"/>
  <c r="S130" i="13"/>
  <c r="O130" i="13"/>
  <c r="K130" i="13"/>
  <c r="G130" i="13"/>
  <c r="AI129" i="13"/>
  <c r="AE129" i="13"/>
  <c r="AA129" i="13"/>
  <c r="W129" i="13"/>
  <c r="S129" i="13"/>
  <c r="O129" i="13"/>
  <c r="K129" i="13"/>
  <c r="G129" i="13"/>
  <c r="AI128" i="13"/>
  <c r="AE128" i="13"/>
  <c r="AA128" i="13"/>
  <c r="W128" i="13"/>
  <c r="S128" i="13"/>
  <c r="O128" i="13"/>
  <c r="K128" i="13"/>
  <c r="G128" i="13"/>
  <c r="AI127" i="13"/>
  <c r="AE127" i="13"/>
  <c r="AA127" i="13"/>
  <c r="W127" i="13"/>
  <c r="S127" i="13"/>
  <c r="O127" i="13"/>
  <c r="K127" i="13"/>
  <c r="G127" i="13"/>
  <c r="AI126" i="13"/>
  <c r="AE126" i="13"/>
  <c r="AA126" i="13"/>
  <c r="W126" i="13"/>
  <c r="S126" i="13"/>
  <c r="O126" i="13"/>
  <c r="K126" i="13"/>
  <c r="G126" i="13"/>
  <c r="AI125" i="13"/>
  <c r="AE125" i="13"/>
  <c r="AA125" i="13"/>
  <c r="W125" i="13"/>
  <c r="S125" i="13"/>
  <c r="O125" i="13"/>
  <c r="K125" i="13"/>
  <c r="G125" i="13"/>
  <c r="AI124" i="13"/>
  <c r="AE124" i="13"/>
  <c r="AA124" i="13"/>
  <c r="W124" i="13"/>
  <c r="S124" i="13"/>
  <c r="O124" i="13"/>
  <c r="K124" i="13"/>
  <c r="G124" i="13"/>
  <c r="AI123" i="13"/>
  <c r="AE123" i="13"/>
  <c r="AA123" i="13"/>
  <c r="W123" i="13"/>
  <c r="S123" i="13"/>
  <c r="O123" i="13"/>
  <c r="K123" i="13"/>
  <c r="G123" i="13"/>
  <c r="AI122" i="13"/>
  <c r="AE122" i="13"/>
  <c r="AA122" i="13"/>
  <c r="W122" i="13"/>
  <c r="S122" i="13"/>
  <c r="O122" i="13"/>
  <c r="K122" i="13"/>
  <c r="G122" i="13"/>
  <c r="AI121" i="13"/>
  <c r="AG121" i="13"/>
  <c r="AF121" i="13"/>
  <c r="AE121" i="13"/>
  <c r="AA121" i="13"/>
  <c r="W121" i="13"/>
  <c r="S121" i="13"/>
  <c r="O121" i="13"/>
  <c r="K121" i="13"/>
  <c r="I121" i="13"/>
  <c r="H121" i="13"/>
  <c r="G121" i="13"/>
  <c r="E121" i="13"/>
  <c r="D121" i="13"/>
  <c r="AI120" i="13"/>
  <c r="AE120" i="13"/>
  <c r="AA120" i="13"/>
  <c r="W120" i="13"/>
  <c r="S120" i="13"/>
  <c r="O120" i="13"/>
  <c r="K120" i="13"/>
  <c r="G120" i="13"/>
  <c r="AI119" i="13"/>
  <c r="AE119" i="13"/>
  <c r="AA119" i="13"/>
  <c r="W119" i="13"/>
  <c r="S119" i="13"/>
  <c r="O119" i="13"/>
  <c r="K119" i="13"/>
  <c r="G119" i="13"/>
  <c r="AI118" i="13"/>
  <c r="AE118" i="13"/>
  <c r="AA118" i="13"/>
  <c r="W118" i="13"/>
  <c r="S118" i="13"/>
  <c r="O118" i="13"/>
  <c r="K118" i="13"/>
  <c r="G118" i="13"/>
  <c r="AI117" i="13"/>
  <c r="AE117" i="13"/>
  <c r="AA117" i="13"/>
  <c r="W117" i="13"/>
  <c r="S117" i="13"/>
  <c r="O117" i="13"/>
  <c r="K117" i="13"/>
  <c r="G117" i="13"/>
  <c r="AI116" i="13"/>
  <c r="AE116" i="13"/>
  <c r="AA116" i="13"/>
  <c r="W116" i="13"/>
  <c r="S116" i="13"/>
  <c r="O116" i="13"/>
  <c r="K116" i="13"/>
  <c r="G116" i="13"/>
  <c r="AI115" i="13"/>
  <c r="AE115" i="13"/>
  <c r="AA115" i="13"/>
  <c r="W115" i="13"/>
  <c r="S115" i="13"/>
  <c r="O115" i="13"/>
  <c r="K115" i="13"/>
  <c r="G115" i="13"/>
  <c r="AI114" i="13"/>
  <c r="AE114" i="13"/>
  <c r="AA114" i="13"/>
  <c r="W114" i="13"/>
  <c r="S114" i="13"/>
  <c r="O114" i="13"/>
  <c r="K114" i="13"/>
  <c r="G114" i="13"/>
  <c r="AI113" i="13"/>
  <c r="AE113" i="13"/>
  <c r="AA113" i="13"/>
  <c r="W113" i="13"/>
  <c r="S113" i="13"/>
  <c r="O113" i="13"/>
  <c r="K113" i="13"/>
  <c r="G113" i="13"/>
  <c r="AI112" i="13"/>
  <c r="AE112" i="13"/>
  <c r="AA112" i="13"/>
  <c r="W112" i="13"/>
  <c r="S112" i="13"/>
  <c r="O112" i="13"/>
  <c r="K112" i="13"/>
  <c r="G112" i="13"/>
  <c r="AI111" i="13"/>
  <c r="AE111" i="13"/>
  <c r="AA111" i="13"/>
  <c r="W111" i="13"/>
  <c r="S111" i="13"/>
  <c r="O111" i="13"/>
  <c r="K111" i="13"/>
  <c r="G111" i="13"/>
  <c r="AI110" i="13"/>
  <c r="AE110" i="13"/>
  <c r="AA110" i="13"/>
  <c r="W110" i="13"/>
  <c r="S110" i="13"/>
  <c r="O110" i="13"/>
  <c r="K110" i="13"/>
  <c r="G110" i="13"/>
  <c r="AI109" i="13"/>
  <c r="AE109" i="13"/>
  <c r="AA109" i="13"/>
  <c r="W109" i="13"/>
  <c r="S109" i="13"/>
  <c r="O109" i="13"/>
  <c r="K109" i="13"/>
  <c r="G109" i="13"/>
  <c r="AI108" i="13"/>
  <c r="AE108" i="13"/>
  <c r="AA108" i="13"/>
  <c r="W108" i="13"/>
  <c r="S108" i="13"/>
  <c r="O108" i="13"/>
  <c r="K108" i="13"/>
  <c r="G108" i="13"/>
  <c r="AI107" i="13"/>
  <c r="AE107" i="13"/>
  <c r="AA107" i="13"/>
  <c r="W107" i="13"/>
  <c r="S107" i="13"/>
  <c r="O107" i="13"/>
  <c r="K107" i="13"/>
  <c r="G107" i="13"/>
  <c r="AI106" i="13"/>
  <c r="AE106" i="13"/>
  <c r="AA106" i="13"/>
  <c r="W106" i="13"/>
  <c r="S106" i="13"/>
  <c r="O106" i="13"/>
  <c r="K106" i="13"/>
  <c r="G106" i="13"/>
  <c r="AI105" i="13"/>
  <c r="AE105" i="13"/>
  <c r="AA105" i="13"/>
  <c r="W105" i="13"/>
  <c r="S105" i="13"/>
  <c r="O105" i="13"/>
  <c r="K105" i="13"/>
  <c r="G105" i="13"/>
  <c r="AI104" i="13"/>
  <c r="AE104" i="13"/>
  <c r="AA104" i="13"/>
  <c r="W104" i="13"/>
  <c r="S104" i="13"/>
  <c r="O104" i="13"/>
  <c r="K104" i="13"/>
  <c r="G104" i="13"/>
  <c r="AI103" i="13"/>
  <c r="AE103" i="13"/>
  <c r="AA103" i="13"/>
  <c r="W103" i="13"/>
  <c r="S103" i="13"/>
  <c r="O103" i="13"/>
  <c r="K103" i="13"/>
  <c r="G103" i="13"/>
  <c r="AI102" i="13"/>
  <c r="AE102" i="13"/>
  <c r="AA102" i="13"/>
  <c r="W102" i="13"/>
  <c r="S102" i="13"/>
  <c r="O102" i="13"/>
  <c r="K102" i="13"/>
  <c r="G102" i="13"/>
  <c r="AI101" i="13"/>
  <c r="AE101" i="13"/>
  <c r="AA101" i="13"/>
  <c r="W101" i="13"/>
  <c r="S101" i="13"/>
  <c r="O101" i="13"/>
  <c r="K101" i="13"/>
  <c r="G101" i="13"/>
  <c r="AI100" i="13"/>
  <c r="AE100" i="13"/>
  <c r="AA100" i="13"/>
  <c r="W100" i="13"/>
  <c r="S100" i="13"/>
  <c r="O100" i="13"/>
  <c r="K100" i="13"/>
  <c r="G100" i="13"/>
  <c r="AI99" i="13"/>
  <c r="AE99" i="13"/>
  <c r="AA99" i="13"/>
  <c r="W99" i="13"/>
  <c r="S99" i="13"/>
  <c r="O99" i="13"/>
  <c r="K99" i="13"/>
  <c r="G99" i="13"/>
  <c r="AI98" i="13"/>
  <c r="AE98" i="13"/>
  <c r="AA98" i="13"/>
  <c r="W98" i="13"/>
  <c r="S98" i="13"/>
  <c r="O98" i="13"/>
  <c r="K98" i="13"/>
  <c r="G98" i="13"/>
  <c r="AI97" i="13"/>
  <c r="AG97" i="13"/>
  <c r="AF97" i="13"/>
  <c r="AE97" i="13"/>
  <c r="AA97" i="13"/>
  <c r="W97" i="13"/>
  <c r="S97" i="13"/>
  <c r="O97" i="13"/>
  <c r="K97" i="13"/>
  <c r="I97" i="13"/>
  <c r="H97" i="13"/>
  <c r="G97" i="13"/>
  <c r="E97" i="13"/>
  <c r="D97" i="13"/>
  <c r="AI96" i="13"/>
  <c r="AE96" i="13"/>
  <c r="AA96" i="13"/>
  <c r="W96" i="13"/>
  <c r="S96" i="13"/>
  <c r="O96" i="13"/>
  <c r="K96" i="13"/>
  <c r="G96" i="13"/>
  <c r="AI95" i="13"/>
  <c r="AE95" i="13"/>
  <c r="AA95" i="13"/>
  <c r="W95" i="13"/>
  <c r="S95" i="13"/>
  <c r="O95" i="13"/>
  <c r="K95" i="13"/>
  <c r="G95" i="13"/>
  <c r="AI94" i="13"/>
  <c r="AE94" i="13"/>
  <c r="AA94" i="13"/>
  <c r="W94" i="13"/>
  <c r="S94" i="13"/>
  <c r="O94" i="13"/>
  <c r="K94" i="13"/>
  <c r="G94" i="13"/>
  <c r="AI93" i="13"/>
  <c r="AE93" i="13"/>
  <c r="AA93" i="13"/>
  <c r="W93" i="13"/>
  <c r="S93" i="13"/>
  <c r="O93" i="13"/>
  <c r="K93" i="13"/>
  <c r="G93" i="13"/>
  <c r="AI92" i="13"/>
  <c r="AE92" i="13"/>
  <c r="AA92" i="13"/>
  <c r="W92" i="13"/>
  <c r="S92" i="13"/>
  <c r="O92" i="13"/>
  <c r="K92" i="13"/>
  <c r="G92" i="13"/>
  <c r="AI91" i="13"/>
  <c r="AE91" i="13"/>
  <c r="AA91" i="13"/>
  <c r="W91" i="13"/>
  <c r="S91" i="13"/>
  <c r="O91" i="13"/>
  <c r="K91" i="13"/>
  <c r="G91" i="13"/>
  <c r="AI90" i="13"/>
  <c r="AE90" i="13"/>
  <c r="AA90" i="13"/>
  <c r="W90" i="13"/>
  <c r="S90" i="13"/>
  <c r="O90" i="13"/>
  <c r="K90" i="13"/>
  <c r="G90" i="13"/>
  <c r="AI89" i="13"/>
  <c r="AE89" i="13"/>
  <c r="AA89" i="13"/>
  <c r="W89" i="13"/>
  <c r="S89" i="13"/>
  <c r="O89" i="13"/>
  <c r="K89" i="13"/>
  <c r="G89" i="13"/>
  <c r="AI88" i="13"/>
  <c r="AE88" i="13"/>
  <c r="AA88" i="13"/>
  <c r="W88" i="13"/>
  <c r="S88" i="13"/>
  <c r="O88" i="13"/>
  <c r="K88" i="13"/>
  <c r="G88" i="13"/>
  <c r="AI87" i="13"/>
  <c r="AE87" i="13"/>
  <c r="AA87" i="13"/>
  <c r="W87" i="13"/>
  <c r="S87" i="13"/>
  <c r="O87" i="13"/>
  <c r="K87" i="13"/>
  <c r="G87" i="13"/>
  <c r="AI86" i="13"/>
  <c r="AE86" i="13"/>
  <c r="AA86" i="13"/>
  <c r="W86" i="13"/>
  <c r="S86" i="13"/>
  <c r="O86" i="13"/>
  <c r="K86" i="13"/>
  <c r="G86" i="13"/>
  <c r="AI85" i="13"/>
  <c r="AE85" i="13"/>
  <c r="AA85" i="13"/>
  <c r="W85" i="13"/>
  <c r="S85" i="13"/>
  <c r="O85" i="13"/>
  <c r="K85" i="13"/>
  <c r="G85" i="13"/>
  <c r="AI84" i="13"/>
  <c r="AE84" i="13"/>
  <c r="AA84" i="13"/>
  <c r="W84" i="13"/>
  <c r="S84" i="13"/>
  <c r="O84" i="13"/>
  <c r="K84" i="13"/>
  <c r="G84" i="13"/>
  <c r="AI83" i="13"/>
  <c r="AE83" i="13"/>
  <c r="AA83" i="13"/>
  <c r="W83" i="13"/>
  <c r="S83" i="13"/>
  <c r="O83" i="13"/>
  <c r="K83" i="13"/>
  <c r="G83" i="13"/>
  <c r="AI82" i="13"/>
  <c r="AE82" i="13"/>
  <c r="AA82" i="13"/>
  <c r="W82" i="13"/>
  <c r="S82" i="13"/>
  <c r="O82" i="13"/>
  <c r="K82" i="13"/>
  <c r="G82" i="13"/>
  <c r="AI81" i="13"/>
  <c r="AE81" i="13"/>
  <c r="AA81" i="13"/>
  <c r="W81" i="13"/>
  <c r="S81" i="13"/>
  <c r="O81" i="13"/>
  <c r="K81" i="13"/>
  <c r="G81" i="13"/>
  <c r="AI80" i="13"/>
  <c r="AE80" i="13"/>
  <c r="AA80" i="13"/>
  <c r="W80" i="13"/>
  <c r="S80" i="13"/>
  <c r="O80" i="13"/>
  <c r="K80" i="13"/>
  <c r="G80" i="13"/>
  <c r="AI79" i="13"/>
  <c r="AE79" i="13"/>
  <c r="AA79" i="13"/>
  <c r="W79" i="13"/>
  <c r="S79" i="13"/>
  <c r="O79" i="13"/>
  <c r="K79" i="13"/>
  <c r="G79" i="13"/>
  <c r="AI78" i="13"/>
  <c r="AG78" i="13"/>
  <c r="AF78" i="13"/>
  <c r="AE78" i="13"/>
  <c r="AA78" i="13"/>
  <c r="W78" i="13"/>
  <c r="S78" i="13"/>
  <c r="O78" i="13"/>
  <c r="K78" i="13"/>
  <c r="I78" i="13"/>
  <c r="H78" i="13"/>
  <c r="G78" i="13"/>
  <c r="E78" i="13"/>
  <c r="D78" i="13"/>
  <c r="AI77" i="13"/>
  <c r="AE77" i="13"/>
  <c r="AA77" i="13"/>
  <c r="W77" i="13"/>
  <c r="S77" i="13"/>
  <c r="O77" i="13"/>
  <c r="K77" i="13"/>
  <c r="G77" i="13"/>
  <c r="AI76" i="13"/>
  <c r="AE76" i="13"/>
  <c r="AA76" i="13"/>
  <c r="W76" i="13"/>
  <c r="S76" i="13"/>
  <c r="O76" i="13"/>
  <c r="K76" i="13"/>
  <c r="G76" i="13"/>
  <c r="AI75" i="13"/>
  <c r="AE75" i="13"/>
  <c r="AA75" i="13"/>
  <c r="W75" i="13"/>
  <c r="S75" i="13"/>
  <c r="O75" i="13"/>
  <c r="K75" i="13"/>
  <c r="G75" i="13"/>
  <c r="AI74" i="13"/>
  <c r="AE74" i="13"/>
  <c r="AA74" i="13"/>
  <c r="W74" i="13"/>
  <c r="S74" i="13"/>
  <c r="O74" i="13"/>
  <c r="K74" i="13"/>
  <c r="G74" i="13"/>
  <c r="AI73" i="13"/>
  <c r="AE73" i="13"/>
  <c r="AA73" i="13"/>
  <c r="W73" i="13"/>
  <c r="S73" i="13"/>
  <c r="O73" i="13"/>
  <c r="K73" i="13"/>
  <c r="G73" i="13"/>
  <c r="AI72" i="13"/>
  <c r="AE72" i="13"/>
  <c r="AA72" i="13"/>
  <c r="W72" i="13"/>
  <c r="S72" i="13"/>
  <c r="O72" i="13"/>
  <c r="K72" i="13"/>
  <c r="G72" i="13"/>
  <c r="AI71" i="13"/>
  <c r="AE71" i="13"/>
  <c r="AA71" i="13"/>
  <c r="W71" i="13"/>
  <c r="S71" i="13"/>
  <c r="O71" i="13"/>
  <c r="K71" i="13"/>
  <c r="G71" i="13"/>
  <c r="AI70" i="13"/>
  <c r="AE70" i="13"/>
  <c r="AA70" i="13"/>
  <c r="W70" i="13"/>
  <c r="S70" i="13"/>
  <c r="O70" i="13"/>
  <c r="K70" i="13"/>
  <c r="G70" i="13"/>
  <c r="AI69" i="13"/>
  <c r="AE69" i="13"/>
  <c r="AA69" i="13"/>
  <c r="W69" i="13"/>
  <c r="S69" i="13"/>
  <c r="O69" i="13"/>
  <c r="K69" i="13"/>
  <c r="G69" i="13"/>
  <c r="AI68" i="13"/>
  <c r="AE68" i="13"/>
  <c r="AA68" i="13"/>
  <c r="W68" i="13"/>
  <c r="S68" i="13"/>
  <c r="O68" i="13"/>
  <c r="K68" i="13"/>
  <c r="G68" i="13"/>
  <c r="AI67" i="13"/>
  <c r="AE67" i="13"/>
  <c r="AA67" i="13"/>
  <c r="W67" i="13"/>
  <c r="S67" i="13"/>
  <c r="O67" i="13"/>
  <c r="K67" i="13"/>
  <c r="G67" i="13"/>
  <c r="AI66" i="13"/>
  <c r="AE66" i="13"/>
  <c r="AA66" i="13"/>
  <c r="W66" i="13"/>
  <c r="S66" i="13"/>
  <c r="O66" i="13"/>
  <c r="K66" i="13"/>
  <c r="G66" i="13"/>
  <c r="AI65" i="13"/>
  <c r="AE65" i="13"/>
  <c r="AA65" i="13"/>
  <c r="W65" i="13"/>
  <c r="S65" i="13"/>
  <c r="O65" i="13"/>
  <c r="K65" i="13"/>
  <c r="G65" i="13"/>
  <c r="AI64" i="13"/>
  <c r="AE64" i="13"/>
  <c r="AA64" i="13"/>
  <c r="W64" i="13"/>
  <c r="S64" i="13"/>
  <c r="O64" i="13"/>
  <c r="K64" i="13"/>
  <c r="G64" i="13"/>
  <c r="AI63" i="13"/>
  <c r="AE63" i="13"/>
  <c r="AA63" i="13"/>
  <c r="W63" i="13"/>
  <c r="S63" i="13"/>
  <c r="O63" i="13"/>
  <c r="K63" i="13"/>
  <c r="G63" i="13"/>
  <c r="AI62" i="13"/>
  <c r="AE62" i="13"/>
  <c r="AA62" i="13"/>
  <c r="W62" i="13"/>
  <c r="S62" i="13"/>
  <c r="O62" i="13"/>
  <c r="K62" i="13"/>
  <c r="G62" i="13"/>
  <c r="AI61" i="13"/>
  <c r="AG61" i="13"/>
  <c r="AF61" i="13"/>
  <c r="AE61" i="13"/>
  <c r="AA61" i="13"/>
  <c r="W61" i="13"/>
  <c r="S61" i="13"/>
  <c r="O61" i="13"/>
  <c r="K61" i="13"/>
  <c r="I61" i="13"/>
  <c r="H61" i="13"/>
  <c r="G61" i="13"/>
  <c r="E61" i="13"/>
  <c r="D61" i="13"/>
  <c r="AI60" i="13"/>
  <c r="AE60" i="13"/>
  <c r="AA60" i="13"/>
  <c r="W60" i="13"/>
  <c r="S60" i="13"/>
  <c r="O60" i="13"/>
  <c r="K60" i="13"/>
  <c r="G60" i="13"/>
  <c r="AI59" i="13"/>
  <c r="AE59" i="13"/>
  <c r="AA59" i="13"/>
  <c r="W59" i="13"/>
  <c r="S59" i="13"/>
  <c r="O59" i="13"/>
  <c r="K59" i="13"/>
  <c r="G59" i="13"/>
  <c r="AI58" i="13"/>
  <c r="AE58" i="13"/>
  <c r="AA58" i="13"/>
  <c r="W58" i="13"/>
  <c r="S58" i="13"/>
  <c r="O58" i="13"/>
  <c r="K58" i="13"/>
  <c r="G58" i="13"/>
  <c r="AI57" i="13"/>
  <c r="AE57" i="13"/>
  <c r="AA57" i="13"/>
  <c r="W57" i="13"/>
  <c r="S57" i="13"/>
  <c r="O57" i="13"/>
  <c r="K57" i="13"/>
  <c r="G57" i="13"/>
  <c r="AI56" i="13"/>
  <c r="AE56" i="13"/>
  <c r="AA56" i="13"/>
  <c r="W56" i="13"/>
  <c r="S56" i="13"/>
  <c r="O56" i="13"/>
  <c r="K56" i="13"/>
  <c r="G56" i="13"/>
  <c r="O55" i="13"/>
  <c r="AI54" i="13"/>
  <c r="AE54" i="13"/>
  <c r="AA54" i="13"/>
  <c r="W54" i="13"/>
  <c r="S54" i="13"/>
  <c r="O54" i="13"/>
  <c r="K54" i="13"/>
  <c r="G54" i="13"/>
  <c r="AI53" i="13"/>
  <c r="AE53" i="13"/>
  <c r="AA53" i="13"/>
  <c r="W53" i="13"/>
  <c r="S53" i="13"/>
  <c r="O53" i="13"/>
  <c r="K53" i="13"/>
  <c r="G53" i="13"/>
  <c r="AI52" i="13"/>
  <c r="AE52" i="13"/>
  <c r="AA52" i="13"/>
  <c r="W52" i="13"/>
  <c r="S52" i="13"/>
  <c r="O52" i="13"/>
  <c r="K52" i="13"/>
  <c r="G52" i="13"/>
  <c r="AI51" i="13"/>
  <c r="AG51" i="13"/>
  <c r="AF51" i="13"/>
  <c r="AE51" i="13"/>
  <c r="AA51" i="13"/>
  <c r="W51" i="13"/>
  <c r="S51" i="13"/>
  <c r="O51" i="13"/>
  <c r="K51" i="13"/>
  <c r="I51" i="13"/>
  <c r="H51" i="13"/>
  <c r="G51" i="13"/>
  <c r="E51" i="13"/>
  <c r="D51" i="13"/>
  <c r="AI50" i="13"/>
  <c r="AE50" i="13"/>
  <c r="AA50" i="13"/>
  <c r="W50" i="13"/>
  <c r="S50" i="13"/>
  <c r="O50" i="13"/>
  <c r="K50" i="13"/>
  <c r="G50" i="13"/>
  <c r="AI49" i="13"/>
  <c r="AE49" i="13"/>
  <c r="AA49" i="13"/>
  <c r="W49" i="13"/>
  <c r="S49" i="13"/>
  <c r="O49" i="13"/>
  <c r="K49" i="13"/>
  <c r="G49" i="13"/>
  <c r="AI48" i="13"/>
  <c r="AE48" i="13"/>
  <c r="AA48" i="13"/>
  <c r="W48" i="13"/>
  <c r="S48" i="13"/>
  <c r="O48" i="13"/>
  <c r="K48" i="13"/>
  <c r="G48" i="13"/>
  <c r="AI47" i="13"/>
  <c r="AE47" i="13"/>
  <c r="AA47" i="13"/>
  <c r="W47" i="13"/>
  <c r="S47" i="13"/>
  <c r="O47" i="13"/>
  <c r="K47" i="13"/>
  <c r="G47" i="13"/>
  <c r="AI46" i="13"/>
  <c r="AG46" i="13"/>
  <c r="AF46" i="13"/>
  <c r="AE46" i="13"/>
  <c r="AA46" i="13"/>
  <c r="W46" i="13"/>
  <c r="S46" i="13"/>
  <c r="O46" i="13"/>
  <c r="K46" i="13"/>
  <c r="I46" i="13"/>
  <c r="H46" i="13"/>
  <c r="G46" i="13"/>
  <c r="E46" i="13"/>
  <c r="D46" i="13"/>
  <c r="AI45" i="13"/>
  <c r="AE45" i="13"/>
  <c r="AA45" i="13"/>
  <c r="W45" i="13"/>
  <c r="S45" i="13"/>
  <c r="O45" i="13"/>
  <c r="K45" i="13"/>
  <c r="G45" i="13"/>
  <c r="AI44" i="13"/>
  <c r="AE44" i="13"/>
  <c r="AA44" i="13"/>
  <c r="W44" i="13"/>
  <c r="S44" i="13"/>
  <c r="O44" i="13"/>
  <c r="K44" i="13"/>
  <c r="G44" i="13"/>
  <c r="AI43" i="13"/>
  <c r="AE43" i="13"/>
  <c r="AA43" i="13"/>
  <c r="W43" i="13"/>
  <c r="S43" i="13"/>
  <c r="O43" i="13"/>
  <c r="K43" i="13"/>
  <c r="G43" i="13"/>
  <c r="AI42" i="13"/>
  <c r="AE42" i="13"/>
  <c r="AA42" i="13"/>
  <c r="W42" i="13"/>
  <c r="S42" i="13"/>
  <c r="O42" i="13"/>
  <c r="K42" i="13"/>
  <c r="G42" i="13"/>
  <c r="AI41" i="13"/>
  <c r="AE41" i="13"/>
  <c r="AA41" i="13"/>
  <c r="W41" i="13"/>
  <c r="S41" i="13"/>
  <c r="O41" i="13"/>
  <c r="K41" i="13"/>
  <c r="G41" i="13"/>
  <c r="AI40" i="13"/>
  <c r="AE40" i="13"/>
  <c r="AA40" i="13"/>
  <c r="W40" i="13"/>
  <c r="S40" i="13"/>
  <c r="O40" i="13"/>
  <c r="K40" i="13"/>
  <c r="G40" i="13"/>
  <c r="AI39" i="13"/>
  <c r="AE39" i="13"/>
  <c r="AA39" i="13"/>
  <c r="W39" i="13"/>
  <c r="S39" i="13"/>
  <c r="O39" i="13"/>
  <c r="K39" i="13"/>
  <c r="G39" i="13"/>
  <c r="AI38" i="13"/>
  <c r="AE38" i="13"/>
  <c r="AA38" i="13"/>
  <c r="W38" i="13"/>
  <c r="S38" i="13"/>
  <c r="O38" i="13"/>
  <c r="K38" i="13"/>
  <c r="G38" i="13"/>
  <c r="AI37" i="13"/>
  <c r="AE37" i="13"/>
  <c r="AA37" i="13"/>
  <c r="W37" i="13"/>
  <c r="S37" i="13"/>
  <c r="O37" i="13"/>
  <c r="K37" i="13"/>
  <c r="G37" i="13"/>
  <c r="AI36" i="13"/>
  <c r="AG36" i="13"/>
  <c r="AF36" i="13"/>
  <c r="AE36" i="13"/>
  <c r="AA36" i="13"/>
  <c r="W36" i="13"/>
  <c r="S36" i="13"/>
  <c r="O36" i="13"/>
  <c r="K36" i="13"/>
  <c r="I36" i="13"/>
  <c r="H36" i="13"/>
  <c r="G36" i="13"/>
  <c r="E36" i="13"/>
  <c r="D36" i="13"/>
  <c r="AI35" i="13"/>
  <c r="AE35" i="13"/>
  <c r="AA35" i="13"/>
  <c r="W35" i="13"/>
  <c r="S35" i="13"/>
  <c r="O35" i="13"/>
  <c r="K35" i="13"/>
  <c r="G35" i="13"/>
  <c r="AI34" i="13"/>
  <c r="AE34" i="13"/>
  <c r="AA34" i="13"/>
  <c r="W34" i="13"/>
  <c r="S34" i="13"/>
  <c r="O34" i="13"/>
  <c r="K34" i="13"/>
  <c r="G34" i="13"/>
  <c r="AI33" i="13"/>
  <c r="AE33" i="13"/>
  <c r="AA33" i="13"/>
  <c r="W33" i="13"/>
  <c r="S33" i="13"/>
  <c r="O33" i="13"/>
  <c r="K33" i="13"/>
  <c r="G33" i="13"/>
  <c r="AI32" i="13"/>
  <c r="AE32" i="13"/>
  <c r="AA32" i="13"/>
  <c r="W32" i="13"/>
  <c r="S32" i="13"/>
  <c r="O32" i="13"/>
  <c r="K32" i="13"/>
  <c r="G32" i="13"/>
  <c r="AI31" i="13"/>
  <c r="AE31" i="13"/>
  <c r="AA31" i="13"/>
  <c r="W31" i="13"/>
  <c r="S31" i="13"/>
  <c r="O31" i="13"/>
  <c r="K31" i="13"/>
  <c r="G31" i="13"/>
  <c r="AI30" i="13"/>
  <c r="AE30" i="13"/>
  <c r="AA30" i="13"/>
  <c r="W30" i="13"/>
  <c r="S30" i="13"/>
  <c r="O30" i="13"/>
  <c r="K30" i="13"/>
  <c r="G30" i="13"/>
  <c r="AI29" i="13"/>
  <c r="AE29" i="13"/>
  <c r="AA29" i="13"/>
  <c r="W29" i="13"/>
  <c r="S29" i="13"/>
  <c r="O29" i="13"/>
  <c r="K29" i="13"/>
  <c r="G29" i="13"/>
  <c r="AI28" i="13"/>
  <c r="AE28" i="13"/>
  <c r="AA28" i="13"/>
  <c r="W28" i="13"/>
  <c r="S28" i="13"/>
  <c r="O28" i="13"/>
  <c r="K28" i="13"/>
  <c r="G28" i="13"/>
  <c r="AI27" i="13"/>
  <c r="AE27" i="13"/>
  <c r="AA27" i="13"/>
  <c r="W27" i="13"/>
  <c r="S27" i="13"/>
  <c r="O27" i="13"/>
  <c r="K27" i="13"/>
  <c r="G27" i="13"/>
  <c r="AI26" i="13"/>
  <c r="AE26" i="13"/>
  <c r="AA26" i="13"/>
  <c r="W26" i="13"/>
  <c r="S26" i="13"/>
  <c r="O26" i="13"/>
  <c r="K26" i="13"/>
  <c r="G26" i="13"/>
  <c r="AI25" i="13"/>
  <c r="AG25" i="13"/>
  <c r="AF25" i="13"/>
  <c r="AE25" i="13"/>
  <c r="AA25" i="13"/>
  <c r="W25" i="13"/>
  <c r="S25" i="13"/>
  <c r="O25" i="13"/>
  <c r="K25" i="13"/>
  <c r="I25" i="13"/>
  <c r="H25" i="13"/>
  <c r="G25" i="13"/>
  <c r="E25" i="13"/>
  <c r="D25" i="13"/>
  <c r="AI24" i="13"/>
  <c r="AE24" i="13"/>
  <c r="AA24" i="13"/>
  <c r="W24" i="13"/>
  <c r="S24" i="13"/>
  <c r="O24" i="13"/>
  <c r="K24" i="13"/>
  <c r="G24" i="13"/>
  <c r="AI23" i="13"/>
  <c r="AE23" i="13"/>
  <c r="AA23" i="13"/>
  <c r="W23" i="13"/>
  <c r="S23" i="13"/>
  <c r="O23" i="13"/>
  <c r="K23" i="13"/>
  <c r="G23" i="13"/>
  <c r="AI22" i="13"/>
  <c r="AE22" i="13"/>
  <c r="AA22" i="13"/>
  <c r="W22" i="13"/>
  <c r="S22" i="13"/>
  <c r="O22" i="13"/>
  <c r="K22" i="13"/>
  <c r="G22" i="13"/>
  <c r="AI21" i="13"/>
  <c r="AE21" i="13"/>
  <c r="AA21" i="13"/>
  <c r="W21" i="13"/>
  <c r="S21" i="13"/>
  <c r="O21" i="13"/>
  <c r="K21" i="13"/>
  <c r="G21" i="13"/>
  <c r="AI20" i="13"/>
  <c r="AE20" i="13"/>
  <c r="AA20" i="13"/>
  <c r="W20" i="13"/>
  <c r="S20" i="13"/>
  <c r="O20" i="13"/>
  <c r="K20" i="13"/>
  <c r="G20" i="13"/>
  <c r="AI19" i="13"/>
  <c r="AE19" i="13"/>
  <c r="AA19" i="13"/>
  <c r="W19" i="13"/>
  <c r="S19" i="13"/>
  <c r="O19" i="13"/>
  <c r="K19" i="13"/>
  <c r="G19" i="13"/>
  <c r="AI18" i="13"/>
  <c r="AG18" i="13"/>
  <c r="AF18" i="13"/>
  <c r="AE18" i="13"/>
  <c r="AA18" i="13"/>
  <c r="W18" i="13"/>
  <c r="S18" i="13"/>
  <c r="O18" i="13"/>
  <c r="K18" i="13"/>
  <c r="I18" i="13"/>
  <c r="H18" i="13"/>
  <c r="G18" i="13"/>
  <c r="E18" i="13"/>
  <c r="D18" i="13"/>
  <c r="AI17" i="13"/>
  <c r="AE17" i="13"/>
  <c r="AA17" i="13"/>
  <c r="W17" i="13"/>
  <c r="S17" i="13"/>
  <c r="O17" i="13"/>
  <c r="K17" i="13"/>
  <c r="G17" i="13"/>
  <c r="O16" i="13"/>
  <c r="AI15" i="13"/>
  <c r="AE15" i="13"/>
  <c r="AA15" i="13"/>
  <c r="W15" i="13"/>
  <c r="S15" i="13"/>
  <c r="O15" i="13"/>
  <c r="K15" i="13"/>
  <c r="G15" i="13"/>
  <c r="AI14" i="13"/>
  <c r="AE14" i="13"/>
  <c r="AA14" i="13"/>
  <c r="W14" i="13"/>
  <c r="S14" i="13"/>
  <c r="O14" i="13"/>
  <c r="K14" i="13"/>
  <c r="G14" i="13"/>
  <c r="AI8" i="13"/>
  <c r="AE8" i="13"/>
  <c r="AA8" i="13"/>
  <c r="W8" i="13"/>
  <c r="S8" i="13"/>
  <c r="O8" i="13"/>
  <c r="K8" i="13"/>
  <c r="G8" i="13"/>
  <c r="AI6" i="13"/>
  <c r="AE6" i="13"/>
  <c r="AA6" i="13"/>
  <c r="W6" i="13"/>
  <c r="S6" i="13"/>
  <c r="O6" i="13"/>
  <c r="K6" i="13"/>
  <c r="G6" i="13"/>
  <c r="AI5" i="13"/>
  <c r="AG5" i="13"/>
  <c r="AF5" i="13"/>
  <c r="AE5" i="13"/>
  <c r="AA5" i="13"/>
  <c r="W5" i="13"/>
  <c r="S5" i="13"/>
  <c r="O5" i="13"/>
  <c r="K5" i="13"/>
  <c r="I5" i="13"/>
  <c r="H5" i="13"/>
  <c r="G5" i="13"/>
  <c r="E5" i="13"/>
  <c r="D5" i="13"/>
  <c r="C171" i="12"/>
  <c r="AP170" i="12"/>
  <c r="AK170" i="12"/>
  <c r="AF170" i="12"/>
  <c r="AA170" i="12"/>
  <c r="V170" i="12"/>
  <c r="Q170" i="12"/>
  <c r="L170" i="12"/>
  <c r="G170" i="12"/>
  <c r="G169" i="12"/>
  <c r="AP168" i="12"/>
  <c r="AK168" i="12"/>
  <c r="AF168" i="12"/>
  <c r="AA168" i="12"/>
  <c r="V168" i="12"/>
  <c r="Q168" i="12"/>
  <c r="L168" i="12"/>
  <c r="G168" i="12"/>
  <c r="AP166" i="12"/>
  <c r="AN166" i="12"/>
  <c r="AM166" i="12"/>
  <c r="AK166" i="12"/>
  <c r="AI166" i="12"/>
  <c r="AH166" i="12"/>
  <c r="AF166" i="12"/>
  <c r="AD166" i="12"/>
  <c r="AC166" i="12"/>
  <c r="AA166" i="12"/>
  <c r="Y166" i="12"/>
  <c r="X166" i="12"/>
  <c r="V166" i="12"/>
  <c r="T166" i="12"/>
  <c r="S166" i="12"/>
  <c r="Q166" i="12"/>
  <c r="O166" i="12"/>
  <c r="N166" i="12"/>
  <c r="L166" i="12"/>
  <c r="J166" i="12"/>
  <c r="I166" i="12"/>
  <c r="G166" i="12"/>
  <c r="E166" i="12"/>
  <c r="D166" i="12"/>
  <c r="AP165" i="12"/>
  <c r="AO165" i="12"/>
  <c r="AN165" i="12"/>
  <c r="AM165" i="12"/>
  <c r="AL165" i="12"/>
  <c r="AK165" i="12"/>
  <c r="AJ165" i="12"/>
  <c r="AI165" i="12"/>
  <c r="AH165" i="12"/>
  <c r="AG165" i="12"/>
  <c r="AF165" i="12"/>
  <c r="AE165" i="12"/>
  <c r="AD165" i="12"/>
  <c r="AC165" i="12"/>
  <c r="AB165" i="12"/>
  <c r="AA165" i="12"/>
  <c r="Z165" i="12"/>
  <c r="Y165" i="12"/>
  <c r="X165" i="12"/>
  <c r="W165" i="12"/>
  <c r="V165" i="12"/>
  <c r="U165" i="12"/>
  <c r="T165" i="12"/>
  <c r="S165" i="12"/>
  <c r="R165" i="12"/>
  <c r="Q165" i="12"/>
  <c r="P165" i="12"/>
  <c r="O165" i="12"/>
  <c r="N165" i="12"/>
  <c r="M165" i="12"/>
  <c r="L165" i="12"/>
  <c r="K165" i="12"/>
  <c r="J165" i="12"/>
  <c r="I165" i="12"/>
  <c r="H165" i="12"/>
  <c r="G165" i="12"/>
  <c r="F165" i="12"/>
  <c r="E165" i="12"/>
  <c r="D165" i="12"/>
  <c r="C165" i="12"/>
  <c r="AP163" i="12"/>
  <c r="AK163" i="12"/>
  <c r="AF163" i="12"/>
  <c r="AA163" i="12"/>
  <c r="V163" i="12"/>
  <c r="Q163" i="12"/>
  <c r="L163" i="12"/>
  <c r="G163" i="12"/>
  <c r="AP162" i="12"/>
  <c r="AK162" i="12"/>
  <c r="AF162" i="12"/>
  <c r="AA162" i="12"/>
  <c r="V162" i="12"/>
  <c r="Q162" i="12"/>
  <c r="L162" i="12"/>
  <c r="G162" i="12"/>
  <c r="AP161" i="12"/>
  <c r="AK161" i="12"/>
  <c r="AF161" i="12"/>
  <c r="AA161" i="12"/>
  <c r="V161" i="12"/>
  <c r="Q161" i="12"/>
  <c r="L161" i="12"/>
  <c r="G161" i="12"/>
  <c r="AP160" i="12"/>
  <c r="AN160" i="12"/>
  <c r="AM160" i="12"/>
  <c r="AK160" i="12"/>
  <c r="AI160" i="12"/>
  <c r="AH160" i="12"/>
  <c r="AF160" i="12"/>
  <c r="AD160" i="12"/>
  <c r="AC160" i="12"/>
  <c r="AA160" i="12"/>
  <c r="Y160" i="12"/>
  <c r="X160" i="12"/>
  <c r="V160" i="12"/>
  <c r="T160" i="12"/>
  <c r="S160" i="12"/>
  <c r="Q160" i="12"/>
  <c r="O160" i="12"/>
  <c r="N160" i="12"/>
  <c r="L160" i="12"/>
  <c r="J160" i="12"/>
  <c r="I160" i="12"/>
  <c r="G160" i="12"/>
  <c r="E160" i="12"/>
  <c r="D160" i="12"/>
  <c r="AP159" i="12"/>
  <c r="AK159" i="12"/>
  <c r="AF159" i="12"/>
  <c r="AA159" i="12"/>
  <c r="V159" i="12"/>
  <c r="Q159" i="12"/>
  <c r="L159" i="12"/>
  <c r="G159" i="12"/>
  <c r="AP158" i="12"/>
  <c r="AK158" i="12"/>
  <c r="AF158" i="12"/>
  <c r="AA158" i="12"/>
  <c r="V158" i="12"/>
  <c r="Q158" i="12"/>
  <c r="L158" i="12"/>
  <c r="G158" i="12"/>
  <c r="AP157" i="12"/>
  <c r="AK157" i="12"/>
  <c r="AF157" i="12"/>
  <c r="AA157" i="12"/>
  <c r="V157" i="12"/>
  <c r="Q157" i="12"/>
  <c r="L157" i="12"/>
  <c r="G157" i="12"/>
  <c r="AP156" i="12"/>
  <c r="AK156" i="12"/>
  <c r="AF156" i="12"/>
  <c r="AA156" i="12"/>
  <c r="V156" i="12"/>
  <c r="Q156" i="12"/>
  <c r="L156" i="12"/>
  <c r="G156" i="12"/>
  <c r="AP155" i="12"/>
  <c r="AN155" i="12"/>
  <c r="AM155" i="12"/>
  <c r="AK155" i="12"/>
  <c r="AI155" i="12"/>
  <c r="AH155" i="12"/>
  <c r="AF155" i="12"/>
  <c r="AD155" i="12"/>
  <c r="AC155" i="12"/>
  <c r="AA155" i="12"/>
  <c r="Y155" i="12"/>
  <c r="X155" i="12"/>
  <c r="V155" i="12"/>
  <c r="T155" i="12"/>
  <c r="S155" i="12"/>
  <c r="Q155" i="12"/>
  <c r="O155" i="12"/>
  <c r="N155" i="12"/>
  <c r="L155" i="12"/>
  <c r="J155" i="12"/>
  <c r="I155" i="12"/>
  <c r="G155" i="12"/>
  <c r="E155" i="12"/>
  <c r="D155" i="12"/>
  <c r="AP154" i="12"/>
  <c r="AK154" i="12"/>
  <c r="AF154" i="12"/>
  <c r="AA154" i="12"/>
  <c r="V154" i="12"/>
  <c r="Q154" i="12"/>
  <c r="L154" i="12"/>
  <c r="G154" i="12"/>
  <c r="AP153" i="12"/>
  <c r="AK153" i="12"/>
  <c r="AF153" i="12"/>
  <c r="AA153" i="12"/>
  <c r="V153" i="12"/>
  <c r="Q153" i="12"/>
  <c r="L153" i="12"/>
  <c r="G153" i="12"/>
  <c r="AP152" i="12"/>
  <c r="AK152" i="12"/>
  <c r="AF152" i="12"/>
  <c r="AA152" i="12"/>
  <c r="V152" i="12"/>
  <c r="Q152" i="12"/>
  <c r="L152" i="12"/>
  <c r="G152" i="12"/>
  <c r="AP151" i="12"/>
  <c r="AK151" i="12"/>
  <c r="AF151" i="12"/>
  <c r="AA151" i="12"/>
  <c r="V151" i="12"/>
  <c r="Q151" i="12"/>
  <c r="L151" i="12"/>
  <c r="G151" i="12"/>
  <c r="AP150" i="12"/>
  <c r="AN150" i="12"/>
  <c r="AM150" i="12"/>
  <c r="AK150" i="12"/>
  <c r="AI150" i="12"/>
  <c r="AH150" i="12"/>
  <c r="AF150" i="12"/>
  <c r="AD150" i="12"/>
  <c r="AC150" i="12"/>
  <c r="AA150" i="12"/>
  <c r="Y150" i="12"/>
  <c r="X150" i="12"/>
  <c r="V150" i="12"/>
  <c r="T150" i="12"/>
  <c r="S150" i="12"/>
  <c r="Q150" i="12"/>
  <c r="O150" i="12"/>
  <c r="N150" i="12"/>
  <c r="L150" i="12"/>
  <c r="J150" i="12"/>
  <c r="I150" i="12"/>
  <c r="G150" i="12"/>
  <c r="E150" i="12"/>
  <c r="D150" i="12"/>
  <c r="AK149" i="12"/>
  <c r="AF149" i="12"/>
  <c r="AA149" i="12"/>
  <c r="V149" i="12"/>
  <c r="Q149" i="12"/>
  <c r="L149" i="12"/>
  <c r="AP148" i="12"/>
  <c r="AK148" i="12"/>
  <c r="AF148" i="12"/>
  <c r="AA148" i="12"/>
  <c r="V148" i="12"/>
  <c r="Q148" i="12"/>
  <c r="L148" i="12"/>
  <c r="G148" i="12"/>
  <c r="AP147" i="12"/>
  <c r="AK147" i="12"/>
  <c r="AF147" i="12"/>
  <c r="AA147" i="12"/>
  <c r="V147" i="12"/>
  <c r="Q147" i="12"/>
  <c r="L147" i="12"/>
  <c r="G147" i="12"/>
  <c r="AP146" i="12"/>
  <c r="AK146" i="12"/>
  <c r="AF146" i="12"/>
  <c r="AA146" i="12"/>
  <c r="V146" i="12"/>
  <c r="Q146" i="12"/>
  <c r="L146" i="12"/>
  <c r="G146" i="12"/>
  <c r="AP145" i="12"/>
  <c r="AK145" i="12"/>
  <c r="AF145" i="12"/>
  <c r="AA145" i="12"/>
  <c r="V145" i="12"/>
  <c r="Q145" i="12"/>
  <c r="L145" i="12"/>
  <c r="G145" i="12"/>
  <c r="AP144" i="12"/>
  <c r="AK144" i="12"/>
  <c r="AF144" i="12"/>
  <c r="AA144" i="12"/>
  <c r="V144" i="12"/>
  <c r="Q144" i="12"/>
  <c r="L144" i="12"/>
  <c r="G144" i="12"/>
  <c r="AP143" i="12"/>
  <c r="AK143" i="12"/>
  <c r="AF143" i="12"/>
  <c r="AA143" i="12"/>
  <c r="V143" i="12"/>
  <c r="Q143" i="12"/>
  <c r="L143" i="12"/>
  <c r="G143" i="12"/>
  <c r="AP142" i="12"/>
  <c r="AK142" i="12"/>
  <c r="AF142" i="12"/>
  <c r="AA142" i="12"/>
  <c r="V142" i="12"/>
  <c r="Q142" i="12"/>
  <c r="L142" i="12"/>
  <c r="G142" i="12"/>
  <c r="AP141" i="12"/>
  <c r="AK141" i="12"/>
  <c r="AF141" i="12"/>
  <c r="AA141" i="12"/>
  <c r="V141" i="12"/>
  <c r="Q141" i="12"/>
  <c r="L141" i="12"/>
  <c r="G141" i="12"/>
  <c r="AP140" i="12"/>
  <c r="AK140" i="12"/>
  <c r="AF140" i="12"/>
  <c r="AA140" i="12"/>
  <c r="V140" i="12"/>
  <c r="Q140" i="12"/>
  <c r="L140" i="12"/>
  <c r="G140" i="12"/>
  <c r="AP139" i="12"/>
  <c r="AK139" i="12"/>
  <c r="AF139" i="12"/>
  <c r="AA139" i="12"/>
  <c r="V139" i="12"/>
  <c r="Q139" i="12"/>
  <c r="L139" i="12"/>
  <c r="G139" i="12"/>
  <c r="AP138" i="12"/>
  <c r="AK138" i="12"/>
  <c r="AF138" i="12"/>
  <c r="AA138" i="12"/>
  <c r="V138" i="12"/>
  <c r="Q138" i="12"/>
  <c r="L138" i="12"/>
  <c r="G138" i="12"/>
  <c r="AP137" i="12"/>
  <c r="AK137" i="12"/>
  <c r="AF137" i="12"/>
  <c r="AA137" i="12"/>
  <c r="V137" i="12"/>
  <c r="Q137" i="12"/>
  <c r="L137" i="12"/>
  <c r="G137" i="12"/>
  <c r="AP136" i="12"/>
  <c r="AK136" i="12"/>
  <c r="AF136" i="12"/>
  <c r="AA136" i="12"/>
  <c r="V136" i="12"/>
  <c r="Q136" i="12"/>
  <c r="L136" i="12"/>
  <c r="G136" i="12"/>
  <c r="AP135" i="12"/>
  <c r="AK135" i="12"/>
  <c r="AF135" i="12"/>
  <c r="AA135" i="12"/>
  <c r="V135" i="12"/>
  <c r="Q135" i="12"/>
  <c r="L135" i="12"/>
  <c r="G135" i="12"/>
  <c r="AP134" i="12"/>
  <c r="AK134" i="12"/>
  <c r="AF134" i="12"/>
  <c r="AA134" i="12"/>
  <c r="V134" i="12"/>
  <c r="Q134" i="12"/>
  <c r="L134" i="12"/>
  <c r="G134" i="12"/>
  <c r="AP133" i="12"/>
  <c r="AK133" i="12"/>
  <c r="AF133" i="12"/>
  <c r="AA133" i="12"/>
  <c r="V133" i="12"/>
  <c r="Q133" i="12"/>
  <c r="L133" i="12"/>
  <c r="G133" i="12"/>
  <c r="AP132" i="12"/>
  <c r="AK132" i="12"/>
  <c r="AF132" i="12"/>
  <c r="AA132" i="12"/>
  <c r="V132" i="12"/>
  <c r="Q132" i="12"/>
  <c r="L132" i="12"/>
  <c r="G132" i="12"/>
  <c r="AP131" i="12"/>
  <c r="AK131" i="12"/>
  <c r="AF131" i="12"/>
  <c r="AA131" i="12"/>
  <c r="V131" i="12"/>
  <c r="Q131" i="12"/>
  <c r="L131" i="12"/>
  <c r="G131" i="12"/>
  <c r="AP130" i="12"/>
  <c r="AK130" i="12"/>
  <c r="AF130" i="12"/>
  <c r="AA130" i="12"/>
  <c r="V130" i="12"/>
  <c r="Q130" i="12"/>
  <c r="L130" i="12"/>
  <c r="G130" i="12"/>
  <c r="AP129" i="12"/>
  <c r="AN129" i="12"/>
  <c r="AM129" i="12"/>
  <c r="AK129" i="12"/>
  <c r="AI129" i="12"/>
  <c r="AH129" i="12"/>
  <c r="AF129" i="12"/>
  <c r="AD129" i="12"/>
  <c r="AC129" i="12"/>
  <c r="AA129" i="12"/>
  <c r="Y129" i="12"/>
  <c r="X129" i="12"/>
  <c r="V129" i="12"/>
  <c r="T129" i="12"/>
  <c r="S129" i="12"/>
  <c r="Q129" i="12"/>
  <c r="O129" i="12"/>
  <c r="N129" i="12"/>
  <c r="L129" i="12"/>
  <c r="J129" i="12"/>
  <c r="I129" i="12"/>
  <c r="G129" i="12"/>
  <c r="E129" i="12"/>
  <c r="D129" i="12"/>
  <c r="AP128" i="12"/>
  <c r="AK128" i="12"/>
  <c r="AF128" i="12"/>
  <c r="AA128" i="12"/>
  <c r="V128" i="12"/>
  <c r="Q128" i="12"/>
  <c r="L128" i="12"/>
  <c r="G128" i="12"/>
  <c r="AP127" i="12"/>
  <c r="AK127" i="12"/>
  <c r="AF127" i="12"/>
  <c r="AA127" i="12"/>
  <c r="V127" i="12"/>
  <c r="Q127" i="12"/>
  <c r="L127" i="12"/>
  <c r="G127" i="12"/>
  <c r="AP126" i="12"/>
  <c r="AK126" i="12"/>
  <c r="AF126" i="12"/>
  <c r="AA126" i="12"/>
  <c r="V126" i="12"/>
  <c r="Q126" i="12"/>
  <c r="L126" i="12"/>
  <c r="G126" i="12"/>
  <c r="AP125" i="12"/>
  <c r="AK125" i="12"/>
  <c r="AF125" i="12"/>
  <c r="AA125" i="12"/>
  <c r="V125" i="12"/>
  <c r="Q125" i="12"/>
  <c r="L125" i="12"/>
  <c r="G125" i="12"/>
  <c r="AP124" i="12"/>
  <c r="AK124" i="12"/>
  <c r="AF124" i="12"/>
  <c r="AA124" i="12"/>
  <c r="V124" i="12"/>
  <c r="Q124" i="12"/>
  <c r="L124" i="12"/>
  <c r="G124" i="12"/>
  <c r="AP123" i="12"/>
  <c r="AK123" i="12"/>
  <c r="AF123" i="12"/>
  <c r="AA123" i="12"/>
  <c r="V123" i="12"/>
  <c r="Q123" i="12"/>
  <c r="L123" i="12"/>
  <c r="G123" i="12"/>
  <c r="AP122" i="12"/>
  <c r="AK122" i="12"/>
  <c r="AF122" i="12"/>
  <c r="AA122" i="12"/>
  <c r="V122" i="12"/>
  <c r="Q122" i="12"/>
  <c r="L122" i="12"/>
  <c r="G122" i="12"/>
  <c r="AP121" i="12"/>
  <c r="AK121" i="12"/>
  <c r="AF121" i="12"/>
  <c r="AA121" i="12"/>
  <c r="V121" i="12"/>
  <c r="Q121" i="12"/>
  <c r="L121" i="12"/>
  <c r="G121" i="12"/>
  <c r="AP120" i="12"/>
  <c r="AK120" i="12"/>
  <c r="AF120" i="12"/>
  <c r="AA120" i="12"/>
  <c r="V120" i="12"/>
  <c r="Q120" i="12"/>
  <c r="L120" i="12"/>
  <c r="G120" i="12"/>
  <c r="AP119" i="12"/>
  <c r="AK119" i="12"/>
  <c r="AF119" i="12"/>
  <c r="AA119" i="12"/>
  <c r="V119" i="12"/>
  <c r="Q119" i="12"/>
  <c r="L119" i="12"/>
  <c r="G119" i="12"/>
  <c r="AP118" i="12"/>
  <c r="AK118" i="12"/>
  <c r="AF118" i="12"/>
  <c r="AA118" i="12"/>
  <c r="V118" i="12"/>
  <c r="Q118" i="12"/>
  <c r="L118" i="12"/>
  <c r="G118" i="12"/>
  <c r="AP117" i="12"/>
  <c r="AK117" i="12"/>
  <c r="AF117" i="12"/>
  <c r="AA117" i="12"/>
  <c r="V117" i="12"/>
  <c r="Q117" i="12"/>
  <c r="L117" i="12"/>
  <c r="G117" i="12"/>
  <c r="AP116" i="12"/>
  <c r="AK116" i="12"/>
  <c r="AF116" i="12"/>
  <c r="AA116" i="12"/>
  <c r="V116" i="12"/>
  <c r="Q116" i="12"/>
  <c r="L116" i="12"/>
  <c r="G116" i="12"/>
  <c r="AP115" i="12"/>
  <c r="AK115" i="12"/>
  <c r="AF115" i="12"/>
  <c r="AA115" i="12"/>
  <c r="V115" i="12"/>
  <c r="Q115" i="12"/>
  <c r="L115" i="12"/>
  <c r="G115" i="12"/>
  <c r="AP114" i="12"/>
  <c r="AK114" i="12"/>
  <c r="AF114" i="12"/>
  <c r="AA114" i="12"/>
  <c r="V114" i="12"/>
  <c r="Q114" i="12"/>
  <c r="L114" i="12"/>
  <c r="G114" i="12"/>
  <c r="AP113" i="12"/>
  <c r="AK113" i="12"/>
  <c r="AF113" i="12"/>
  <c r="AA113" i="12"/>
  <c r="V113" i="12"/>
  <c r="Q113" i="12"/>
  <c r="L113" i="12"/>
  <c r="G113" i="12"/>
  <c r="AP112" i="12"/>
  <c r="AK112" i="12"/>
  <c r="AF112" i="12"/>
  <c r="AA112" i="12"/>
  <c r="V112" i="12"/>
  <c r="Q112" i="12"/>
  <c r="L112" i="12"/>
  <c r="G112" i="12"/>
  <c r="AP111" i="12"/>
  <c r="AK111" i="12"/>
  <c r="AF111" i="12"/>
  <c r="AA111" i="12"/>
  <c r="V111" i="12"/>
  <c r="Q111" i="12"/>
  <c r="L111" i="12"/>
  <c r="G111" i="12"/>
  <c r="AP110" i="12"/>
  <c r="AK110" i="12"/>
  <c r="AF110" i="12"/>
  <c r="AA110" i="12"/>
  <c r="V110" i="12"/>
  <c r="Q110" i="12"/>
  <c r="L110" i="12"/>
  <c r="G110" i="12"/>
  <c r="AP109" i="12"/>
  <c r="AK109" i="12"/>
  <c r="AF109" i="12"/>
  <c r="AA109" i="12"/>
  <c r="V109" i="12"/>
  <c r="Q109" i="12"/>
  <c r="L109" i="12"/>
  <c r="G109" i="12"/>
  <c r="AP108" i="12"/>
  <c r="AK108" i="12"/>
  <c r="AF108" i="12"/>
  <c r="AA108" i="12"/>
  <c r="V108" i="12"/>
  <c r="Q108" i="12"/>
  <c r="L108" i="12"/>
  <c r="G108" i="12"/>
  <c r="AP107" i="12"/>
  <c r="AK107" i="12"/>
  <c r="AF107" i="12"/>
  <c r="AA107" i="12"/>
  <c r="V107" i="12"/>
  <c r="Q107" i="12"/>
  <c r="L107" i="12"/>
  <c r="G107" i="12"/>
  <c r="AP106" i="12"/>
  <c r="AK106" i="12"/>
  <c r="AF106" i="12"/>
  <c r="AA106" i="12"/>
  <c r="V106" i="12"/>
  <c r="Q106" i="12"/>
  <c r="L106" i="12"/>
  <c r="G106" i="12"/>
  <c r="AP105" i="12"/>
  <c r="AK105" i="12"/>
  <c r="AF105" i="12"/>
  <c r="AA105" i="12"/>
  <c r="V105" i="12"/>
  <c r="Q105" i="12"/>
  <c r="L105" i="12"/>
  <c r="G105" i="12"/>
  <c r="AP104" i="12"/>
  <c r="AK104" i="12"/>
  <c r="AF104" i="12"/>
  <c r="AA104" i="12"/>
  <c r="V104" i="12"/>
  <c r="Q104" i="12"/>
  <c r="L104" i="12"/>
  <c r="G104" i="12"/>
  <c r="AP103" i="12"/>
  <c r="AN103" i="12"/>
  <c r="AM103" i="12"/>
  <c r="AK103" i="12"/>
  <c r="AI103" i="12"/>
  <c r="AH103" i="12"/>
  <c r="AF103" i="12"/>
  <c r="AD103" i="12"/>
  <c r="AC103" i="12"/>
  <c r="AA103" i="12"/>
  <c r="Y103" i="12"/>
  <c r="X103" i="12"/>
  <c r="V103" i="12"/>
  <c r="T103" i="12"/>
  <c r="S103" i="12"/>
  <c r="Q103" i="12"/>
  <c r="O103" i="12"/>
  <c r="N103" i="12"/>
  <c r="L103" i="12"/>
  <c r="J103" i="12"/>
  <c r="I103" i="12"/>
  <c r="G103" i="12"/>
  <c r="E103" i="12"/>
  <c r="D103" i="12"/>
  <c r="AP102" i="12"/>
  <c r="AK102" i="12"/>
  <c r="AF102" i="12"/>
  <c r="AA102" i="12"/>
  <c r="V102" i="12"/>
  <c r="Q102" i="12"/>
  <c r="L102" i="12"/>
  <c r="G102" i="12"/>
  <c r="AP101" i="12"/>
  <c r="AK101" i="12"/>
  <c r="AF101" i="12"/>
  <c r="AA101" i="12"/>
  <c r="V101" i="12"/>
  <c r="Q101" i="12"/>
  <c r="L101" i="12"/>
  <c r="G101" i="12"/>
  <c r="AP100" i="12"/>
  <c r="AK100" i="12"/>
  <c r="AF100" i="12"/>
  <c r="AA100" i="12"/>
  <c r="V100" i="12"/>
  <c r="Q100" i="12"/>
  <c r="L100" i="12"/>
  <c r="G100" i="12"/>
  <c r="AP99" i="12"/>
  <c r="AK99" i="12"/>
  <c r="AF99" i="12"/>
  <c r="AA99" i="12"/>
  <c r="V99" i="12"/>
  <c r="Q99" i="12"/>
  <c r="L99" i="12"/>
  <c r="G99" i="12"/>
  <c r="AP98" i="12"/>
  <c r="AK98" i="12"/>
  <c r="AF98" i="12"/>
  <c r="AA98" i="12"/>
  <c r="V98" i="12"/>
  <c r="Q98" i="12"/>
  <c r="L98" i="12"/>
  <c r="G98" i="12"/>
  <c r="AP97" i="12"/>
  <c r="AK97" i="12"/>
  <c r="AF97" i="12"/>
  <c r="AA97" i="12"/>
  <c r="V97" i="12"/>
  <c r="Q97" i="12"/>
  <c r="L97" i="12"/>
  <c r="G97" i="12"/>
  <c r="AP96" i="12"/>
  <c r="AK96" i="12"/>
  <c r="AF96" i="12"/>
  <c r="AA96" i="12"/>
  <c r="V96" i="12"/>
  <c r="Q96" i="12"/>
  <c r="L96" i="12"/>
  <c r="G96" i="12"/>
  <c r="AP95" i="12"/>
  <c r="AK95" i="12"/>
  <c r="AF95" i="12"/>
  <c r="AA95" i="12"/>
  <c r="V95" i="12"/>
  <c r="Q95" i="12"/>
  <c r="L95" i="12"/>
  <c r="G95" i="12"/>
  <c r="AP94" i="12"/>
  <c r="AK94" i="12"/>
  <c r="AF94" i="12"/>
  <c r="AA94" i="12"/>
  <c r="V94" i="12"/>
  <c r="Q94" i="12"/>
  <c r="L94" i="12"/>
  <c r="G94" i="12"/>
  <c r="AP93" i="12"/>
  <c r="AK93" i="12"/>
  <c r="AF93" i="12"/>
  <c r="AA93" i="12"/>
  <c r="V93" i="12"/>
  <c r="Q93" i="12"/>
  <c r="L93" i="12"/>
  <c r="G93" i="12"/>
  <c r="AP92" i="12"/>
  <c r="AK92" i="12"/>
  <c r="AF92" i="12"/>
  <c r="AA92" i="12"/>
  <c r="V92" i="12"/>
  <c r="Q92" i="12"/>
  <c r="L92" i="12"/>
  <c r="G92" i="12"/>
  <c r="AP91" i="12"/>
  <c r="AK91" i="12"/>
  <c r="AF91" i="12"/>
  <c r="AA91" i="12"/>
  <c r="V91" i="12"/>
  <c r="Q91" i="12"/>
  <c r="L91" i="12"/>
  <c r="G91" i="12"/>
  <c r="AP90" i="12"/>
  <c r="AK90" i="12"/>
  <c r="AF90" i="12"/>
  <c r="AA90" i="12"/>
  <c r="V90" i="12"/>
  <c r="Q90" i="12"/>
  <c r="L90" i="12"/>
  <c r="G90" i="12"/>
  <c r="AP89" i="12"/>
  <c r="AK89" i="12"/>
  <c r="AF89" i="12"/>
  <c r="AA89" i="12"/>
  <c r="V89" i="12"/>
  <c r="Q89" i="12"/>
  <c r="L89" i="12"/>
  <c r="G89" i="12"/>
  <c r="AP88" i="12"/>
  <c r="AK88" i="12"/>
  <c r="AF88" i="12"/>
  <c r="AA88" i="12"/>
  <c r="V88" i="12"/>
  <c r="Q88" i="12"/>
  <c r="L88" i="12"/>
  <c r="G88" i="12"/>
  <c r="AP87" i="12"/>
  <c r="AK87" i="12"/>
  <c r="AF87" i="12"/>
  <c r="AA87" i="12"/>
  <c r="V87" i="12"/>
  <c r="Q87" i="12"/>
  <c r="L87" i="12"/>
  <c r="G87" i="12"/>
  <c r="AP86" i="12"/>
  <c r="AK86" i="12"/>
  <c r="AF86" i="12"/>
  <c r="AA86" i="12"/>
  <c r="V86" i="12"/>
  <c r="Q86" i="12"/>
  <c r="L86" i="12"/>
  <c r="G86" i="12"/>
  <c r="AP85" i="12"/>
  <c r="AN85" i="12"/>
  <c r="AM85" i="12"/>
  <c r="AK85" i="12"/>
  <c r="AI85" i="12"/>
  <c r="AH85" i="12"/>
  <c r="AF85" i="12"/>
  <c r="AD85" i="12"/>
  <c r="AC85" i="12"/>
  <c r="AA85" i="12"/>
  <c r="Y85" i="12"/>
  <c r="X85" i="12"/>
  <c r="V85" i="12"/>
  <c r="T85" i="12"/>
  <c r="S85" i="12"/>
  <c r="Q85" i="12"/>
  <c r="O85" i="12"/>
  <c r="N85" i="12"/>
  <c r="L85" i="12"/>
  <c r="J85" i="12"/>
  <c r="I85" i="12"/>
  <c r="G85" i="12"/>
  <c r="E85" i="12"/>
  <c r="D85" i="12"/>
  <c r="AP84" i="12"/>
  <c r="AK84" i="12"/>
  <c r="AF84" i="12"/>
  <c r="AA84" i="12"/>
  <c r="V84" i="12"/>
  <c r="Q84" i="12"/>
  <c r="L84" i="12"/>
  <c r="G84" i="12"/>
  <c r="AP83" i="12"/>
  <c r="AK83" i="12"/>
  <c r="AF83" i="12"/>
  <c r="AA83" i="12"/>
  <c r="V83" i="12"/>
  <c r="Q83" i="12"/>
  <c r="L83" i="12"/>
  <c r="G83" i="12"/>
  <c r="AP82" i="12"/>
  <c r="AK82" i="12"/>
  <c r="AF82" i="12"/>
  <c r="AA82" i="12"/>
  <c r="V82" i="12"/>
  <c r="Q82" i="12"/>
  <c r="L82" i="12"/>
  <c r="G82" i="12"/>
  <c r="AP81" i="12"/>
  <c r="AK81" i="12"/>
  <c r="AF81" i="12"/>
  <c r="AA81" i="12"/>
  <c r="V81" i="12"/>
  <c r="Q81" i="12"/>
  <c r="L81" i="12"/>
  <c r="G81" i="12"/>
  <c r="AP80" i="12"/>
  <c r="AK80" i="12"/>
  <c r="AF80" i="12"/>
  <c r="AA80" i="12"/>
  <c r="V80" i="12"/>
  <c r="Q80" i="12"/>
  <c r="L80" i="12"/>
  <c r="G80" i="12"/>
  <c r="AP79" i="12"/>
  <c r="AK79" i="12"/>
  <c r="AF79" i="12"/>
  <c r="AA79" i="12"/>
  <c r="V79" i="12"/>
  <c r="Q79" i="12"/>
  <c r="L79" i="12"/>
  <c r="G79" i="12"/>
  <c r="AP78" i="12"/>
  <c r="AK78" i="12"/>
  <c r="AF78" i="12"/>
  <c r="AA78" i="12"/>
  <c r="V78" i="12"/>
  <c r="Q78" i="12"/>
  <c r="L78" i="12"/>
  <c r="G78" i="12"/>
  <c r="AP77" i="12"/>
  <c r="AK77" i="12"/>
  <c r="AF77" i="12"/>
  <c r="AA77" i="12"/>
  <c r="V77" i="12"/>
  <c r="Q77" i="12"/>
  <c r="L77" i="12"/>
  <c r="G77" i="12"/>
  <c r="AP76" i="12"/>
  <c r="AK76" i="12"/>
  <c r="AF76" i="12"/>
  <c r="AA76" i="12"/>
  <c r="V76" i="12"/>
  <c r="Q76" i="12"/>
  <c r="L76" i="12"/>
  <c r="G76" i="12"/>
  <c r="AP75" i="12"/>
  <c r="AK75" i="12"/>
  <c r="AF75" i="12"/>
  <c r="AA75" i="12"/>
  <c r="V75" i="12"/>
  <c r="Q75" i="12"/>
  <c r="L75" i="12"/>
  <c r="G75" i="12"/>
  <c r="AP74" i="12"/>
  <c r="AK74" i="12"/>
  <c r="AF74" i="12"/>
  <c r="AA74" i="12"/>
  <c r="V74" i="12"/>
  <c r="Q74" i="12"/>
  <c r="L74" i="12"/>
  <c r="G74" i="12"/>
  <c r="AP73" i="12"/>
  <c r="AK73" i="12"/>
  <c r="AF73" i="12"/>
  <c r="AA73" i="12"/>
  <c r="V73" i="12"/>
  <c r="Q73" i="12"/>
  <c r="L73" i="12"/>
  <c r="G73" i="12"/>
  <c r="AP72" i="12"/>
  <c r="AK72" i="12"/>
  <c r="AF72" i="12"/>
  <c r="AA72" i="12"/>
  <c r="V72" i="12"/>
  <c r="Q72" i="12"/>
  <c r="L72" i="12"/>
  <c r="G72" i="12"/>
  <c r="AP71" i="12"/>
  <c r="AK71" i="12"/>
  <c r="AF71" i="12"/>
  <c r="AA71" i="12"/>
  <c r="V71" i="12"/>
  <c r="Q71" i="12"/>
  <c r="L71" i="12"/>
  <c r="G71" i="12"/>
  <c r="AP70" i="12"/>
  <c r="AK70" i="12"/>
  <c r="AF70" i="12"/>
  <c r="AA70" i="12"/>
  <c r="V70" i="12"/>
  <c r="Q70" i="12"/>
  <c r="L70" i="12"/>
  <c r="G70" i="12"/>
  <c r="AP69" i="12"/>
  <c r="AK69" i="12"/>
  <c r="AF69" i="12"/>
  <c r="AA69" i="12"/>
  <c r="V69" i="12"/>
  <c r="Q69" i="12"/>
  <c r="L69" i="12"/>
  <c r="G69" i="12"/>
  <c r="AP68" i="12"/>
  <c r="AK68" i="12"/>
  <c r="AF68" i="12"/>
  <c r="AA68" i="12"/>
  <c r="V68" i="12"/>
  <c r="Q68" i="12"/>
  <c r="L68" i="12"/>
  <c r="G68" i="12"/>
  <c r="AP67" i="12"/>
  <c r="AK67" i="12"/>
  <c r="AF67" i="12"/>
  <c r="AA67" i="12"/>
  <c r="V67" i="12"/>
  <c r="Q67" i="12"/>
  <c r="L67" i="12"/>
  <c r="G67" i="12"/>
  <c r="AP66" i="12"/>
  <c r="AK66" i="12"/>
  <c r="AF66" i="12"/>
  <c r="AA66" i="12"/>
  <c r="V66" i="12"/>
  <c r="Q66" i="12"/>
  <c r="L66" i="12"/>
  <c r="G66" i="12"/>
  <c r="AP65" i="12"/>
  <c r="AN65" i="12"/>
  <c r="AM65" i="12"/>
  <c r="AK65" i="12"/>
  <c r="AI65" i="12"/>
  <c r="AH65" i="12"/>
  <c r="AF65" i="12"/>
  <c r="AD65" i="12"/>
  <c r="AC65" i="12"/>
  <c r="AA65" i="12"/>
  <c r="Y65" i="12"/>
  <c r="X65" i="12"/>
  <c r="V65" i="12"/>
  <c r="T65" i="12"/>
  <c r="S65" i="12"/>
  <c r="Q65" i="12"/>
  <c r="O65" i="12"/>
  <c r="N65" i="12"/>
  <c r="L65" i="12"/>
  <c r="J65" i="12"/>
  <c r="I65" i="12"/>
  <c r="G65" i="12"/>
  <c r="E65" i="12"/>
  <c r="D65" i="12"/>
  <c r="AP64" i="12"/>
  <c r="AK64" i="12"/>
  <c r="AF64" i="12"/>
  <c r="AA64" i="12"/>
  <c r="V64" i="12"/>
  <c r="Q64" i="12"/>
  <c r="L64" i="12"/>
  <c r="G64" i="12"/>
  <c r="AP63" i="12"/>
  <c r="AK63" i="12"/>
  <c r="AF63" i="12"/>
  <c r="AA63" i="12"/>
  <c r="V63" i="12"/>
  <c r="Q63" i="12"/>
  <c r="L63" i="12"/>
  <c r="G63" i="12"/>
  <c r="AP62" i="12"/>
  <c r="AK62" i="12"/>
  <c r="AF62" i="12"/>
  <c r="AA62" i="12"/>
  <c r="V62" i="12"/>
  <c r="Q62" i="12"/>
  <c r="L62" i="12"/>
  <c r="G62" i="12"/>
  <c r="AP61" i="12"/>
  <c r="AK61" i="12"/>
  <c r="AF61" i="12"/>
  <c r="AA61" i="12"/>
  <c r="V61" i="12"/>
  <c r="Q61" i="12"/>
  <c r="L61" i="12"/>
  <c r="G61" i="12"/>
  <c r="AP60" i="12"/>
  <c r="AK60" i="12"/>
  <c r="AF60" i="12"/>
  <c r="AA60" i="12"/>
  <c r="V60" i="12"/>
  <c r="Q60" i="12"/>
  <c r="L60" i="12"/>
  <c r="G60" i="12"/>
  <c r="AP59" i="12"/>
  <c r="AK59" i="12"/>
  <c r="AF59" i="12"/>
  <c r="AA59" i="12"/>
  <c r="V59" i="12"/>
  <c r="Q59" i="12"/>
  <c r="L59" i="12"/>
  <c r="G59" i="12"/>
  <c r="AP58" i="12"/>
  <c r="AK58" i="12"/>
  <c r="AF58" i="12"/>
  <c r="AA58" i="12"/>
  <c r="V58" i="12"/>
  <c r="Q58" i="12"/>
  <c r="L58" i="12"/>
  <c r="G58" i="12"/>
  <c r="AP57" i="12"/>
  <c r="AK57" i="12"/>
  <c r="AF57" i="12"/>
  <c r="AA57" i="12"/>
  <c r="V57" i="12"/>
  <c r="Q57" i="12"/>
  <c r="L57" i="12"/>
  <c r="G57" i="12"/>
  <c r="AP56" i="12"/>
  <c r="AK56" i="12"/>
  <c r="AF56" i="12"/>
  <c r="AA56" i="12"/>
  <c r="V56" i="12"/>
  <c r="Q56" i="12"/>
  <c r="L56" i="12"/>
  <c r="G56" i="12"/>
  <c r="AP55" i="12"/>
  <c r="AK55" i="12"/>
  <c r="AF55" i="12"/>
  <c r="AA55" i="12"/>
  <c r="V55" i="12"/>
  <c r="Q55" i="12"/>
  <c r="L55" i="12"/>
  <c r="G55" i="12"/>
  <c r="AP54" i="12"/>
  <c r="AK54" i="12"/>
  <c r="AF54" i="12"/>
  <c r="AA54" i="12"/>
  <c r="V54" i="12"/>
  <c r="Q54" i="12"/>
  <c r="L54" i="12"/>
  <c r="G54" i="12"/>
  <c r="AP53" i="12"/>
  <c r="AK53" i="12"/>
  <c r="AF53" i="12"/>
  <c r="AA53" i="12"/>
  <c r="V53" i="12"/>
  <c r="Q53" i="12"/>
  <c r="L53" i="12"/>
  <c r="G53" i="12"/>
  <c r="AP52" i="12"/>
  <c r="AK52" i="12"/>
  <c r="AF52" i="12"/>
  <c r="AA52" i="12"/>
  <c r="V52" i="12"/>
  <c r="Q52" i="12"/>
  <c r="L52" i="12"/>
  <c r="G52" i="12"/>
  <c r="AP51" i="12"/>
  <c r="AN51" i="12"/>
  <c r="AM51" i="12"/>
  <c r="AK51" i="12"/>
  <c r="AI51" i="12"/>
  <c r="AH51" i="12"/>
  <c r="AF51" i="12"/>
  <c r="AD51" i="12"/>
  <c r="AC51" i="12"/>
  <c r="AA51" i="12"/>
  <c r="Y51" i="12"/>
  <c r="X51" i="12"/>
  <c r="V51" i="12"/>
  <c r="T51" i="12"/>
  <c r="S51" i="12"/>
  <c r="Q51" i="12"/>
  <c r="O51" i="12"/>
  <c r="N51" i="12"/>
  <c r="L51" i="12"/>
  <c r="J51" i="12"/>
  <c r="I51" i="12"/>
  <c r="G51" i="12"/>
  <c r="E51" i="12"/>
  <c r="D51" i="12"/>
  <c r="AP50" i="12"/>
  <c r="AK50" i="12"/>
  <c r="AF50" i="12"/>
  <c r="AA50" i="12"/>
  <c r="V50" i="12"/>
  <c r="Q50" i="12"/>
  <c r="L50" i="12"/>
  <c r="G50" i="12"/>
  <c r="AP49" i="12"/>
  <c r="AK49" i="12"/>
  <c r="AF49" i="12"/>
  <c r="AA49" i="12"/>
  <c r="V49" i="12"/>
  <c r="Q49" i="12"/>
  <c r="L49" i="12"/>
  <c r="G49" i="12"/>
  <c r="AP48" i="12"/>
  <c r="AK48" i="12"/>
  <c r="AF48" i="12"/>
  <c r="AA48" i="12"/>
  <c r="V48" i="12"/>
  <c r="Q48" i="12"/>
  <c r="L48" i="12"/>
  <c r="G48" i="12"/>
  <c r="AP47" i="12"/>
  <c r="AK47" i="12"/>
  <c r="AF47" i="12"/>
  <c r="AA47" i="12"/>
  <c r="V47" i="12"/>
  <c r="Q47" i="12"/>
  <c r="L47" i="12"/>
  <c r="G47" i="12"/>
  <c r="AP46" i="12"/>
  <c r="AK46" i="12"/>
  <c r="AF46" i="12"/>
  <c r="AA46" i="12"/>
  <c r="V46" i="12"/>
  <c r="Q46" i="12"/>
  <c r="L46" i="12"/>
  <c r="G46" i="12"/>
  <c r="AP45" i="12"/>
  <c r="AK45" i="12"/>
  <c r="AF45" i="12"/>
  <c r="AA45" i="12"/>
  <c r="V45" i="12"/>
  <c r="Q45" i="12"/>
  <c r="L45" i="12"/>
  <c r="G45" i="12"/>
  <c r="AP44" i="12"/>
  <c r="AK44" i="12"/>
  <c r="AF44" i="12"/>
  <c r="AA44" i="12"/>
  <c r="V44" i="12"/>
  <c r="Q44" i="12"/>
  <c r="L44" i="12"/>
  <c r="G44" i="12"/>
  <c r="AP43" i="12"/>
  <c r="AN43" i="12"/>
  <c r="AM43" i="12"/>
  <c r="AK43" i="12"/>
  <c r="AI43" i="12"/>
  <c r="AH43" i="12"/>
  <c r="AF43" i="12"/>
  <c r="AD43" i="12"/>
  <c r="AC43" i="12"/>
  <c r="AA43" i="12"/>
  <c r="Y43" i="12"/>
  <c r="X43" i="12"/>
  <c r="V43" i="12"/>
  <c r="T43" i="12"/>
  <c r="S43" i="12"/>
  <c r="Q43" i="12"/>
  <c r="O43" i="12"/>
  <c r="N43" i="12"/>
  <c r="L43" i="12"/>
  <c r="J43" i="12"/>
  <c r="I43" i="12"/>
  <c r="G43" i="12"/>
  <c r="E43" i="12"/>
  <c r="D43" i="12"/>
  <c r="AP42" i="12"/>
  <c r="AK42" i="12"/>
  <c r="AF42" i="12"/>
  <c r="AA42" i="12"/>
  <c r="V42" i="12"/>
  <c r="Q42" i="12"/>
  <c r="L42" i="12"/>
  <c r="G42" i="12"/>
  <c r="AP41" i="12"/>
  <c r="AK41" i="12"/>
  <c r="AF41" i="12"/>
  <c r="AA41" i="12"/>
  <c r="V41" i="12"/>
  <c r="Q41" i="12"/>
  <c r="L41" i="12"/>
  <c r="G41" i="12"/>
  <c r="AP40" i="12"/>
  <c r="AK40" i="12"/>
  <c r="AF40" i="12"/>
  <c r="AA40" i="12"/>
  <c r="V40" i="12"/>
  <c r="Q40" i="12"/>
  <c r="L40" i="12"/>
  <c r="G40" i="12"/>
  <c r="AP39" i="12"/>
  <c r="AK39" i="12"/>
  <c r="AF39" i="12"/>
  <c r="AA39" i="12"/>
  <c r="V39" i="12"/>
  <c r="Q39" i="12"/>
  <c r="L39" i="12"/>
  <c r="G39" i="12"/>
  <c r="AP38" i="12"/>
  <c r="AK38" i="12"/>
  <c r="AF38" i="12"/>
  <c r="AA38" i="12"/>
  <c r="V38" i="12"/>
  <c r="Q38" i="12"/>
  <c r="L38" i="12"/>
  <c r="G38" i="12"/>
  <c r="AP37" i="12"/>
  <c r="AK37" i="12"/>
  <c r="AF37" i="12"/>
  <c r="AA37" i="12"/>
  <c r="V37" i="12"/>
  <c r="Q37" i="12"/>
  <c r="L37" i="12"/>
  <c r="G37" i="12"/>
  <c r="AP36" i="12"/>
  <c r="AK36" i="12"/>
  <c r="AF36" i="12"/>
  <c r="AA36" i="12"/>
  <c r="V36" i="12"/>
  <c r="Q36" i="12"/>
  <c r="L36" i="12"/>
  <c r="G36" i="12"/>
  <c r="AP35" i="12"/>
  <c r="AK35" i="12"/>
  <c r="AF35" i="12"/>
  <c r="AA35" i="12"/>
  <c r="V35" i="12"/>
  <c r="Q35" i="12"/>
  <c r="L35" i="12"/>
  <c r="G35" i="12"/>
  <c r="AP34" i="12"/>
  <c r="AK34" i="12"/>
  <c r="AF34" i="12"/>
  <c r="AA34" i="12"/>
  <c r="V34" i="12"/>
  <c r="Q34" i="12"/>
  <c r="L34" i="12"/>
  <c r="G34" i="12"/>
  <c r="AP33" i="12"/>
  <c r="AK33" i="12"/>
  <c r="AF33" i="12"/>
  <c r="AA33" i="12"/>
  <c r="V33" i="12"/>
  <c r="Q33" i="12"/>
  <c r="L33" i="12"/>
  <c r="G33" i="12"/>
  <c r="AP32" i="12"/>
  <c r="AK32" i="12"/>
  <c r="AF32" i="12"/>
  <c r="AA32" i="12"/>
  <c r="V32" i="12"/>
  <c r="Q32" i="12"/>
  <c r="L32" i="12"/>
  <c r="G32" i="12"/>
  <c r="AP31" i="12"/>
  <c r="AK31" i="12"/>
  <c r="AF31" i="12"/>
  <c r="AA31" i="12"/>
  <c r="V31" i="12"/>
  <c r="Q31" i="12"/>
  <c r="L31" i="12"/>
  <c r="G31" i="12"/>
  <c r="AP30" i="12"/>
  <c r="AK30" i="12"/>
  <c r="AF30" i="12"/>
  <c r="AA30" i="12"/>
  <c r="V30" i="12"/>
  <c r="Q30" i="12"/>
  <c r="L30" i="12"/>
  <c r="G30" i="12"/>
  <c r="AP29" i="12"/>
  <c r="AK29" i="12"/>
  <c r="AF29" i="12"/>
  <c r="AA29" i="12"/>
  <c r="V29" i="12"/>
  <c r="Q29" i="12"/>
  <c r="L29" i="12"/>
  <c r="G29" i="12"/>
  <c r="AP28" i="12"/>
  <c r="AK28" i="12"/>
  <c r="AF28" i="12"/>
  <c r="AA28" i="12"/>
  <c r="V28" i="12"/>
  <c r="Q28" i="12"/>
  <c r="L28" i="12"/>
  <c r="G28" i="12"/>
  <c r="AP27" i="12"/>
  <c r="AN27" i="12"/>
  <c r="AM27" i="12"/>
  <c r="AK27" i="12"/>
  <c r="AI27" i="12"/>
  <c r="AH27" i="12"/>
  <c r="AF27" i="12"/>
  <c r="AD27" i="12"/>
  <c r="AC27" i="12"/>
  <c r="AA27" i="12"/>
  <c r="Y27" i="12"/>
  <c r="X27" i="12"/>
  <c r="V27" i="12"/>
  <c r="T27" i="12"/>
  <c r="S27" i="12"/>
  <c r="Q27" i="12"/>
  <c r="O27" i="12"/>
  <c r="N27" i="12"/>
  <c r="L27" i="12"/>
  <c r="J27" i="12"/>
  <c r="I27" i="12"/>
  <c r="G27" i="12"/>
  <c r="E27" i="12"/>
  <c r="D27" i="12"/>
  <c r="AP26" i="12"/>
  <c r="AK26" i="12"/>
  <c r="AF26" i="12"/>
  <c r="AA26" i="12"/>
  <c r="V26" i="12"/>
  <c r="Q26" i="12"/>
  <c r="L26" i="12"/>
  <c r="G26" i="12"/>
  <c r="AP25" i="12"/>
  <c r="AK25" i="12"/>
  <c r="AF25" i="12"/>
  <c r="AA25" i="12"/>
  <c r="V25" i="12"/>
  <c r="Q25" i="12"/>
  <c r="L25" i="12"/>
  <c r="G25" i="12"/>
  <c r="AP24" i="12"/>
  <c r="AK24" i="12"/>
  <c r="AF24" i="12"/>
  <c r="AA24" i="12"/>
  <c r="V24" i="12"/>
  <c r="Q24" i="12"/>
  <c r="L24" i="12"/>
  <c r="G24" i="12"/>
  <c r="AP23" i="12"/>
  <c r="AK23" i="12"/>
  <c r="AF23" i="12"/>
  <c r="AA23" i="12"/>
  <c r="V23" i="12"/>
  <c r="Q23" i="12"/>
  <c r="L23" i="12"/>
  <c r="G23" i="12"/>
  <c r="AP22" i="12"/>
  <c r="AK22" i="12"/>
  <c r="AF22" i="12"/>
  <c r="AA22" i="12"/>
  <c r="V22" i="12"/>
  <c r="Q22" i="12"/>
  <c r="L22" i="12"/>
  <c r="G22" i="12"/>
  <c r="AP21" i="12"/>
  <c r="AK21" i="12"/>
  <c r="AF21" i="12"/>
  <c r="AA21" i="12"/>
  <c r="V21" i="12"/>
  <c r="Q21" i="12"/>
  <c r="L21" i="12"/>
  <c r="G21" i="12"/>
  <c r="AP20" i="12"/>
  <c r="AK20" i="12"/>
  <c r="AF20" i="12"/>
  <c r="AA20" i="12"/>
  <c r="V20" i="12"/>
  <c r="Q20" i="12"/>
  <c r="L20" i="12"/>
  <c r="G20" i="12"/>
  <c r="AP19" i="12"/>
  <c r="AN19" i="12"/>
  <c r="AM19" i="12"/>
  <c r="AK19" i="12"/>
  <c r="AI19" i="12"/>
  <c r="AH19" i="12"/>
  <c r="AF19" i="12"/>
  <c r="AD19" i="12"/>
  <c r="AC19" i="12"/>
  <c r="AA19" i="12"/>
  <c r="Y19" i="12"/>
  <c r="X19" i="12"/>
  <c r="V19" i="12"/>
  <c r="T19" i="12"/>
  <c r="S19" i="12"/>
  <c r="Q19" i="12"/>
  <c r="O19" i="12"/>
  <c r="N19" i="12"/>
  <c r="L19" i="12"/>
  <c r="J19" i="12"/>
  <c r="I19" i="12"/>
  <c r="G19" i="12"/>
  <c r="E19" i="12"/>
  <c r="D19" i="12"/>
  <c r="AP18" i="12"/>
  <c r="AK18" i="12"/>
  <c r="AF18" i="12"/>
  <c r="AA18" i="12"/>
  <c r="V18" i="12"/>
  <c r="Q18" i="12"/>
  <c r="L18" i="12"/>
  <c r="G18" i="12"/>
  <c r="AP17" i="12"/>
  <c r="AK17" i="12"/>
  <c r="AF17" i="12"/>
  <c r="AA17" i="12"/>
  <c r="V17" i="12"/>
  <c r="Q17" i="12"/>
  <c r="L17" i="12"/>
  <c r="G17" i="12"/>
  <c r="AP16" i="12"/>
  <c r="AK16" i="12"/>
  <c r="AF16" i="12"/>
  <c r="AA16" i="12"/>
  <c r="V16" i="12"/>
  <c r="Q16" i="12"/>
  <c r="L16" i="12"/>
  <c r="G16" i="12"/>
  <c r="AP15" i="12"/>
  <c r="AK15" i="12"/>
  <c r="AF15" i="12"/>
  <c r="AA15" i="12"/>
  <c r="V15" i="12"/>
  <c r="Q15" i="12"/>
  <c r="L15" i="12"/>
  <c r="G15" i="12"/>
  <c r="AP14" i="12"/>
  <c r="AK14" i="12"/>
  <c r="AF14" i="12"/>
  <c r="AA14" i="12"/>
  <c r="V14" i="12"/>
  <c r="Q14" i="12"/>
  <c r="L14" i="12"/>
  <c r="G14" i="12"/>
  <c r="AP13" i="12"/>
  <c r="AK13" i="12"/>
  <c r="AF13" i="12"/>
  <c r="AA13" i="12"/>
  <c r="V13" i="12"/>
  <c r="Q13" i="12"/>
  <c r="L13" i="12"/>
  <c r="G13" i="12"/>
  <c r="AP12" i="12"/>
  <c r="AK12" i="12"/>
  <c r="AF12" i="12"/>
  <c r="AA12" i="12"/>
  <c r="V12" i="12"/>
  <c r="Q12" i="12"/>
  <c r="L12" i="12"/>
  <c r="G12" i="12"/>
  <c r="AP11" i="12"/>
  <c r="AN11" i="12"/>
  <c r="AM11" i="12"/>
  <c r="AK11" i="12"/>
  <c r="AI11" i="12"/>
  <c r="AH11" i="12"/>
  <c r="AF11" i="12"/>
  <c r="AD11" i="12"/>
  <c r="AC11" i="12"/>
  <c r="AA11" i="12"/>
  <c r="Y11" i="12"/>
  <c r="X11" i="12"/>
  <c r="V11" i="12"/>
  <c r="T11" i="12"/>
  <c r="S11" i="12"/>
  <c r="Q11" i="12"/>
  <c r="O11" i="12"/>
  <c r="N11" i="12"/>
  <c r="L11" i="12"/>
  <c r="J11" i="12"/>
  <c r="I11" i="12"/>
  <c r="G11" i="12"/>
  <c r="E11" i="12"/>
  <c r="D11" i="12"/>
  <c r="AP10" i="12"/>
  <c r="AK10" i="12"/>
  <c r="AF10" i="12"/>
  <c r="AA10" i="12"/>
  <c r="V10" i="12"/>
  <c r="Q10" i="12"/>
  <c r="L10" i="12"/>
  <c r="G10" i="12"/>
  <c r="AP9" i="12"/>
  <c r="AK9" i="12"/>
  <c r="AF9" i="12"/>
  <c r="AA9" i="12"/>
  <c r="V9" i="12"/>
  <c r="Q9" i="12"/>
  <c r="L9" i="12"/>
  <c r="G9" i="12"/>
  <c r="AP8" i="12"/>
  <c r="AN8" i="12"/>
  <c r="AM8" i="12"/>
  <c r="AK8" i="12"/>
  <c r="AI8" i="12"/>
  <c r="AH8" i="12"/>
  <c r="AF8" i="12"/>
  <c r="AD8" i="12"/>
  <c r="AC8" i="12"/>
  <c r="AA8" i="12"/>
  <c r="Y8" i="12"/>
  <c r="X8" i="12"/>
  <c r="V8" i="12"/>
  <c r="T8" i="12"/>
  <c r="S8" i="12"/>
  <c r="Q8" i="12"/>
  <c r="O8" i="12"/>
  <c r="N8" i="12"/>
  <c r="L8" i="12"/>
  <c r="J8" i="12"/>
  <c r="I8" i="12"/>
  <c r="G8" i="12"/>
  <c r="E8" i="12"/>
  <c r="D8" i="12"/>
  <c r="AP7" i="12"/>
  <c r="AK7" i="12"/>
  <c r="AF7" i="12"/>
  <c r="AA7" i="12"/>
  <c r="V7" i="12"/>
  <c r="Q7" i="12"/>
  <c r="L7" i="12"/>
  <c r="G7" i="12"/>
  <c r="AP6" i="12"/>
  <c r="AN6" i="12"/>
  <c r="AM6" i="12"/>
  <c r="AK6" i="12"/>
  <c r="AI6" i="12"/>
  <c r="AH6" i="12"/>
  <c r="AF6" i="12"/>
  <c r="AD6" i="12"/>
  <c r="AC6" i="12"/>
  <c r="AA6" i="12"/>
  <c r="Y6" i="12"/>
  <c r="X6" i="12"/>
  <c r="V6" i="12"/>
  <c r="T6" i="12"/>
  <c r="S6" i="12"/>
  <c r="Q6" i="12"/>
  <c r="O6" i="12"/>
  <c r="N6" i="12"/>
  <c r="L6" i="12"/>
  <c r="J6" i="12"/>
  <c r="I6" i="12"/>
  <c r="G6" i="12"/>
  <c r="E6" i="12"/>
  <c r="D6" i="12"/>
  <c r="I182" i="10"/>
  <c r="H182" i="10"/>
  <c r="G182" i="10"/>
  <c r="G181" i="10"/>
  <c r="G178" i="10"/>
  <c r="E178" i="10"/>
  <c r="D178" i="10"/>
  <c r="G177" i="10"/>
  <c r="E177" i="10"/>
  <c r="D177" i="10"/>
  <c r="C177" i="10"/>
  <c r="G175" i="10"/>
  <c r="G174" i="10"/>
  <c r="G173" i="10"/>
  <c r="G172" i="10"/>
  <c r="E172" i="10"/>
  <c r="D172" i="10"/>
  <c r="G171" i="10"/>
  <c r="G170" i="10"/>
  <c r="G169" i="10"/>
  <c r="G168" i="10"/>
  <c r="G167" i="10"/>
  <c r="E167" i="10"/>
  <c r="D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E146" i="10"/>
  <c r="D146" i="10"/>
  <c r="G145" i="10"/>
  <c r="G144" i="10"/>
  <c r="G143" i="10"/>
  <c r="G142" i="10"/>
  <c r="G141" i="10"/>
  <c r="G140" i="10"/>
  <c r="G139" i="10"/>
  <c r="G138" i="10"/>
  <c r="G137" i="10"/>
  <c r="G136" i="10"/>
  <c r="G135" i="10"/>
  <c r="G134" i="10"/>
  <c r="G133" i="10"/>
  <c r="G132" i="10"/>
  <c r="G131" i="10"/>
  <c r="G130" i="10"/>
  <c r="G129" i="10"/>
  <c r="G128" i="10"/>
  <c r="G127" i="10"/>
  <c r="G126" i="10"/>
  <c r="G125" i="10"/>
  <c r="G124" i="10"/>
  <c r="G123" i="10"/>
  <c r="G122" i="10"/>
  <c r="G121" i="10"/>
  <c r="G120" i="10"/>
  <c r="G119" i="10"/>
  <c r="G118" i="10"/>
  <c r="G117" i="10"/>
  <c r="E117" i="10"/>
  <c r="D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E98" i="10"/>
  <c r="D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E78" i="10"/>
  <c r="D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E64" i="10"/>
  <c r="D64" i="10"/>
  <c r="G63" i="10"/>
  <c r="G62" i="10"/>
  <c r="G61" i="10"/>
  <c r="G60" i="10"/>
  <c r="G59" i="10"/>
  <c r="G58" i="10"/>
  <c r="G57" i="10"/>
  <c r="G56" i="10"/>
  <c r="E56" i="10"/>
  <c r="D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E40" i="10"/>
  <c r="D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E28" i="10"/>
  <c r="D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E15" i="10"/>
  <c r="D15" i="10"/>
  <c r="G14" i="10"/>
  <c r="G13" i="10"/>
  <c r="G12" i="10"/>
  <c r="G11" i="10"/>
  <c r="G10" i="10"/>
  <c r="E10" i="10"/>
  <c r="D10" i="10"/>
  <c r="G9" i="10"/>
  <c r="G8" i="10"/>
  <c r="G7" i="10"/>
  <c r="G6" i="10"/>
  <c r="G5" i="10"/>
  <c r="G4" i="10"/>
  <c r="E4" i="10"/>
  <c r="D4" i="10"/>
  <c r="I66" i="9"/>
  <c r="I65" i="9"/>
  <c r="I64" i="9"/>
  <c r="I62" i="9"/>
  <c r="G62" i="9"/>
  <c r="F62" i="9"/>
  <c r="E62" i="9"/>
  <c r="D62" i="9"/>
  <c r="I61" i="9"/>
  <c r="G61" i="9"/>
  <c r="F61" i="9"/>
  <c r="E61" i="9"/>
  <c r="D61" i="9"/>
  <c r="C61" i="9"/>
  <c r="I60" i="9"/>
  <c r="I59" i="9"/>
  <c r="I58" i="9"/>
  <c r="I57" i="9"/>
  <c r="I56" i="9"/>
  <c r="G56" i="9"/>
  <c r="F56" i="9"/>
  <c r="E56" i="9"/>
  <c r="I55" i="9"/>
  <c r="I54" i="9"/>
  <c r="I53" i="9"/>
  <c r="I52" i="9"/>
  <c r="I51" i="9"/>
  <c r="I50" i="9"/>
  <c r="G50" i="9"/>
  <c r="F50" i="9"/>
  <c r="E50" i="9"/>
  <c r="I49" i="9"/>
  <c r="I48" i="9"/>
  <c r="I47" i="9"/>
  <c r="I46" i="9"/>
  <c r="I45" i="9"/>
  <c r="I44" i="9"/>
  <c r="I43" i="9"/>
  <c r="I42" i="9"/>
  <c r="I41" i="9"/>
  <c r="G41" i="9"/>
  <c r="F41" i="9"/>
  <c r="E41" i="9"/>
  <c r="I40" i="9"/>
  <c r="I39" i="9"/>
  <c r="I38" i="9"/>
  <c r="I37" i="9"/>
  <c r="I36" i="9"/>
  <c r="G36" i="9"/>
  <c r="F36" i="9"/>
  <c r="E36" i="9"/>
  <c r="I35" i="9"/>
  <c r="I34" i="9"/>
  <c r="I33" i="9"/>
  <c r="I32" i="9"/>
  <c r="I31" i="9"/>
  <c r="G31" i="9"/>
  <c r="F31" i="9"/>
  <c r="E31" i="9"/>
  <c r="I30" i="9"/>
  <c r="I29" i="9"/>
  <c r="G29" i="9"/>
  <c r="F29" i="9"/>
  <c r="E29" i="9"/>
  <c r="I28" i="9"/>
  <c r="I27" i="9"/>
  <c r="I26" i="9"/>
  <c r="G26" i="9"/>
  <c r="F26" i="9"/>
  <c r="E26" i="9"/>
  <c r="I25" i="9"/>
  <c r="I24" i="9"/>
  <c r="I23" i="9"/>
  <c r="I22" i="9"/>
  <c r="G22" i="9"/>
  <c r="F22" i="9"/>
  <c r="E22" i="9"/>
  <c r="I21" i="9"/>
  <c r="I20" i="9"/>
  <c r="I19" i="9"/>
  <c r="I18" i="9"/>
  <c r="I17" i="9"/>
  <c r="I16" i="9"/>
  <c r="G16" i="9"/>
  <c r="F16" i="9"/>
  <c r="E16" i="9"/>
  <c r="I15" i="9"/>
  <c r="I14" i="9"/>
  <c r="I13" i="9"/>
  <c r="I12" i="9"/>
  <c r="I11" i="9"/>
  <c r="I10" i="9"/>
  <c r="G10" i="9"/>
  <c r="F10" i="9"/>
  <c r="E10" i="9"/>
  <c r="I9" i="9"/>
  <c r="I8" i="9"/>
  <c r="I7" i="9"/>
  <c r="I6" i="9"/>
  <c r="I5" i="9"/>
  <c r="I4" i="9"/>
  <c r="G4" i="9"/>
  <c r="F4" i="9"/>
  <c r="E4" i="9"/>
  <c r="G21" i="14"/>
  <c r="F21" i="14"/>
  <c r="C21" i="14"/>
  <c r="B21" i="14"/>
  <c r="G20" i="14"/>
  <c r="F20" i="14"/>
  <c r="C20" i="14"/>
  <c r="B20" i="14"/>
  <c r="G19" i="14"/>
  <c r="F19" i="14"/>
  <c r="C19" i="14"/>
  <c r="B19" i="14"/>
  <c r="G18" i="14"/>
  <c r="F18" i="14"/>
  <c r="C18" i="14"/>
  <c r="B18" i="14"/>
  <c r="G17" i="14"/>
  <c r="F17" i="14"/>
  <c r="C17" i="14"/>
  <c r="B17" i="14"/>
  <c r="G16" i="14"/>
  <c r="F16" i="14"/>
  <c r="C16" i="14"/>
  <c r="B16" i="14"/>
  <c r="G15" i="14"/>
  <c r="F15" i="14"/>
  <c r="C15" i="14"/>
  <c r="B15" i="14"/>
  <c r="G14" i="14"/>
  <c r="F14" i="14"/>
  <c r="C14" i="14"/>
  <c r="B14" i="14"/>
  <c r="G13" i="14"/>
  <c r="F13" i="14"/>
  <c r="C13" i="14"/>
  <c r="B13" i="14"/>
  <c r="G12" i="14"/>
  <c r="F12" i="14"/>
  <c r="C12" i="14"/>
  <c r="B12" i="14"/>
  <c r="G11" i="14"/>
  <c r="F11" i="14"/>
  <c r="C11" i="14"/>
  <c r="B11" i="14"/>
  <c r="G10" i="14"/>
  <c r="F10" i="14"/>
  <c r="C10" i="14"/>
  <c r="B10" i="14"/>
  <c r="G9" i="14"/>
  <c r="F9" i="14"/>
  <c r="C9" i="14"/>
  <c r="B9" i="14"/>
  <c r="G8" i="14"/>
  <c r="F8" i="14"/>
  <c r="C8" i="14"/>
  <c r="B8" i="14"/>
  <c r="G7" i="14"/>
  <c r="F7" i="14"/>
  <c r="C7" i="14"/>
  <c r="B7" i="14"/>
  <c r="G6" i="14"/>
  <c r="F6" i="14"/>
  <c r="C6" i="14"/>
  <c r="B6" i="14"/>
  <c r="G5" i="14"/>
  <c r="F5" i="14"/>
  <c r="C5" i="14"/>
  <c r="B5" i="14"/>
  <c r="G4" i="14"/>
  <c r="F4" i="14"/>
  <c r="C4" i="14"/>
  <c r="B4" i="14"/>
  <c r="M1991" i="25"/>
  <c r="L1991" i="25"/>
  <c r="K1991" i="25"/>
  <c r="J1991" i="25"/>
  <c r="I1991" i="25"/>
  <c r="H1991" i="25"/>
  <c r="G1991" i="25"/>
  <c r="F1991" i="25"/>
  <c r="E1991" i="25"/>
  <c r="D1991" i="25"/>
  <c r="C1991" i="25"/>
  <c r="M1984" i="25"/>
  <c r="L1984" i="25"/>
  <c r="K1984" i="25"/>
  <c r="J1984" i="25"/>
  <c r="I1984" i="25"/>
  <c r="H1984" i="25"/>
  <c r="G1984" i="25"/>
  <c r="F1984" i="25"/>
  <c r="E1984" i="25"/>
  <c r="D1984" i="25"/>
  <c r="C1984" i="25"/>
  <c r="M1977" i="25"/>
  <c r="L1977" i="25"/>
  <c r="K1977" i="25"/>
  <c r="J1977" i="25"/>
  <c r="I1977" i="25"/>
  <c r="H1977" i="25"/>
  <c r="G1977" i="25"/>
  <c r="F1977" i="25"/>
  <c r="E1977" i="25"/>
  <c r="D1977" i="25"/>
  <c r="C1977" i="25"/>
  <c r="M1976" i="25"/>
  <c r="L1976" i="25"/>
  <c r="K1976" i="25"/>
  <c r="J1976" i="25"/>
  <c r="I1976" i="25"/>
  <c r="H1976" i="25"/>
  <c r="G1976" i="25"/>
  <c r="F1976" i="25"/>
  <c r="E1976" i="25"/>
  <c r="D1976" i="25"/>
  <c r="C1976" i="25"/>
  <c r="M1970" i="25"/>
  <c r="L1970" i="25"/>
  <c r="K1970" i="25"/>
  <c r="J1970" i="25"/>
  <c r="I1970" i="25"/>
  <c r="H1970" i="25"/>
  <c r="G1970" i="25"/>
  <c r="F1970" i="25"/>
  <c r="E1970" i="25"/>
  <c r="D1970" i="25"/>
  <c r="C1970" i="25"/>
  <c r="M1969" i="25"/>
  <c r="L1969" i="25"/>
  <c r="K1969" i="25"/>
  <c r="J1969" i="25"/>
  <c r="I1969" i="25"/>
  <c r="H1969" i="25"/>
  <c r="G1969" i="25"/>
  <c r="F1969" i="25"/>
  <c r="E1969" i="25"/>
  <c r="D1969" i="25"/>
  <c r="C1969" i="25"/>
  <c r="M1962" i="25"/>
  <c r="L1962" i="25"/>
  <c r="K1962" i="25"/>
  <c r="J1962" i="25"/>
  <c r="I1962" i="25"/>
  <c r="H1962" i="25"/>
  <c r="G1962" i="25"/>
  <c r="F1962" i="25"/>
  <c r="E1962" i="25"/>
  <c r="D1962" i="25"/>
  <c r="C1962" i="25"/>
  <c r="M1961" i="25"/>
  <c r="L1961" i="25"/>
  <c r="K1961" i="25"/>
  <c r="J1961" i="25"/>
  <c r="I1961" i="25"/>
  <c r="H1961" i="25"/>
  <c r="G1961" i="25"/>
  <c r="F1961" i="25"/>
  <c r="E1961" i="25"/>
  <c r="D1961" i="25"/>
  <c r="C1961" i="25"/>
  <c r="M1955" i="25"/>
  <c r="L1955" i="25"/>
  <c r="K1955" i="25"/>
  <c r="J1955" i="25"/>
  <c r="I1955" i="25"/>
  <c r="H1955" i="25"/>
  <c r="G1955" i="25"/>
  <c r="F1955" i="25"/>
  <c r="E1955" i="25"/>
  <c r="D1955" i="25"/>
  <c r="C1955" i="25"/>
  <c r="M1954" i="25"/>
  <c r="L1954" i="25"/>
  <c r="K1954" i="25"/>
  <c r="J1954" i="25"/>
  <c r="I1954" i="25"/>
  <c r="H1954" i="25"/>
  <c r="G1954" i="25"/>
  <c r="F1954" i="25"/>
  <c r="E1954" i="25"/>
  <c r="D1954" i="25"/>
  <c r="C1954" i="25"/>
  <c r="M1946" i="25"/>
  <c r="L1946" i="25"/>
  <c r="K1946" i="25"/>
  <c r="J1946" i="25"/>
  <c r="I1946" i="25"/>
  <c r="H1946" i="25"/>
  <c r="G1946" i="25"/>
  <c r="F1946" i="25"/>
  <c r="E1946" i="25"/>
  <c r="D1946" i="25"/>
  <c r="C1946" i="25"/>
  <c r="M1939" i="25"/>
  <c r="L1939" i="25"/>
  <c r="K1939" i="25"/>
  <c r="J1939" i="25"/>
  <c r="I1939" i="25"/>
  <c r="H1939" i="25"/>
  <c r="G1939" i="25"/>
  <c r="F1939" i="25"/>
  <c r="E1939" i="25"/>
  <c r="D1939" i="25"/>
  <c r="C1939" i="25"/>
  <c r="M1931" i="25"/>
  <c r="L1931" i="25"/>
  <c r="K1931" i="25"/>
  <c r="J1931" i="25"/>
  <c r="I1931" i="25"/>
  <c r="H1931" i="25"/>
  <c r="G1931" i="25"/>
  <c r="F1931" i="25"/>
  <c r="E1931" i="25"/>
  <c r="D1931" i="25"/>
  <c r="C1931" i="25"/>
  <c r="M1924" i="25"/>
  <c r="L1924" i="25"/>
  <c r="K1924" i="25"/>
  <c r="J1924" i="25"/>
  <c r="I1924" i="25"/>
  <c r="H1924" i="25"/>
  <c r="G1924" i="25"/>
  <c r="F1924" i="25"/>
  <c r="E1924" i="25"/>
  <c r="D1924" i="25"/>
  <c r="C1924" i="25"/>
  <c r="M1916" i="25"/>
  <c r="L1916" i="25"/>
  <c r="K1916" i="25"/>
  <c r="J1916" i="25"/>
  <c r="I1916" i="25"/>
  <c r="H1916" i="25"/>
  <c r="G1916" i="25"/>
  <c r="F1916" i="25"/>
  <c r="E1916" i="25"/>
  <c r="D1916" i="25"/>
  <c r="C1916" i="25"/>
  <c r="M1909" i="25"/>
  <c r="L1909" i="25"/>
  <c r="K1909" i="25"/>
  <c r="J1909" i="25"/>
  <c r="I1909" i="25"/>
  <c r="H1909" i="25"/>
  <c r="G1909" i="25"/>
  <c r="F1909" i="25"/>
  <c r="E1909" i="25"/>
  <c r="D1909" i="25"/>
  <c r="C1909" i="25"/>
  <c r="M1901" i="25"/>
  <c r="L1901" i="25"/>
  <c r="K1901" i="25"/>
  <c r="J1901" i="25"/>
  <c r="I1901" i="25"/>
  <c r="H1901" i="25"/>
  <c r="G1901" i="25"/>
  <c r="F1901" i="25"/>
  <c r="E1901" i="25"/>
  <c r="D1901" i="25"/>
  <c r="C1901" i="25"/>
  <c r="M1894" i="25"/>
  <c r="L1894" i="25"/>
  <c r="K1894" i="25"/>
  <c r="J1894" i="25"/>
  <c r="I1894" i="25"/>
  <c r="H1894" i="25"/>
  <c r="G1894" i="25"/>
  <c r="F1894" i="25"/>
  <c r="E1894" i="25"/>
  <c r="D1894" i="25"/>
  <c r="C1894" i="25"/>
  <c r="M1871" i="25"/>
  <c r="L1871" i="25"/>
  <c r="K1871" i="25"/>
  <c r="J1871" i="25"/>
  <c r="I1871" i="25"/>
  <c r="H1871" i="25"/>
  <c r="G1871" i="25"/>
  <c r="F1871" i="25"/>
  <c r="E1871" i="25"/>
  <c r="D1871" i="25"/>
  <c r="C1871" i="25"/>
  <c r="M1870" i="25"/>
  <c r="L1870" i="25"/>
  <c r="K1870" i="25"/>
  <c r="J1870" i="25"/>
  <c r="I1870" i="25"/>
  <c r="H1870" i="25"/>
  <c r="G1870" i="25"/>
  <c r="F1870" i="25"/>
  <c r="E1870" i="25"/>
  <c r="D1870" i="25"/>
  <c r="C1870" i="25"/>
  <c r="M1869" i="25"/>
  <c r="L1869" i="25"/>
  <c r="K1869" i="25"/>
  <c r="J1869" i="25"/>
  <c r="I1869" i="25"/>
  <c r="H1869" i="25"/>
  <c r="G1869" i="25"/>
  <c r="F1869" i="25"/>
  <c r="E1869" i="25"/>
  <c r="D1869" i="25"/>
  <c r="C1869" i="25"/>
  <c r="M1864" i="25"/>
  <c r="L1864" i="25"/>
  <c r="K1864" i="25"/>
  <c r="J1864" i="25"/>
  <c r="I1864" i="25"/>
  <c r="H1864" i="25"/>
  <c r="G1864" i="25"/>
  <c r="F1864" i="25"/>
  <c r="E1864" i="25"/>
  <c r="D1864" i="25"/>
  <c r="C1864" i="25"/>
  <c r="M1863" i="25"/>
  <c r="L1863" i="25"/>
  <c r="K1863" i="25"/>
  <c r="J1863" i="25"/>
  <c r="I1863" i="25"/>
  <c r="H1863" i="25"/>
  <c r="G1863" i="25"/>
  <c r="F1863" i="25"/>
  <c r="E1863" i="25"/>
  <c r="D1863" i="25"/>
  <c r="C1863" i="25"/>
  <c r="M1862" i="25"/>
  <c r="L1862" i="25"/>
  <c r="K1862" i="25"/>
  <c r="J1862" i="25"/>
  <c r="I1862" i="25"/>
  <c r="H1862" i="25"/>
  <c r="G1862" i="25"/>
  <c r="F1862" i="25"/>
  <c r="E1862" i="25"/>
  <c r="D1862" i="25"/>
  <c r="C1862" i="25"/>
  <c r="M1855" i="25"/>
  <c r="L1855" i="25"/>
  <c r="K1855" i="25"/>
  <c r="J1855" i="25"/>
  <c r="I1855" i="25"/>
  <c r="H1855" i="25"/>
  <c r="G1855" i="25"/>
  <c r="F1855" i="25"/>
  <c r="E1855" i="25"/>
  <c r="D1855" i="25"/>
  <c r="C1855" i="25"/>
  <c r="M1854" i="25"/>
  <c r="L1854" i="25"/>
  <c r="K1854" i="25"/>
  <c r="J1854" i="25"/>
  <c r="I1854" i="25"/>
  <c r="H1854" i="25"/>
  <c r="G1854" i="25"/>
  <c r="F1854" i="25"/>
  <c r="E1854" i="25"/>
  <c r="D1854" i="25"/>
  <c r="C1854" i="25"/>
  <c r="M1848" i="25"/>
  <c r="L1848" i="25"/>
  <c r="K1848" i="25"/>
  <c r="J1848" i="25"/>
  <c r="I1848" i="25"/>
  <c r="H1848" i="25"/>
  <c r="G1848" i="25"/>
  <c r="F1848" i="25"/>
  <c r="E1848" i="25"/>
  <c r="D1848" i="25"/>
  <c r="C1848" i="25"/>
  <c r="M1847" i="25"/>
  <c r="L1847" i="25"/>
  <c r="K1847" i="25"/>
  <c r="J1847" i="25"/>
  <c r="I1847" i="25"/>
  <c r="H1847" i="25"/>
  <c r="G1847" i="25"/>
  <c r="F1847" i="25"/>
  <c r="E1847" i="25"/>
  <c r="D1847" i="25"/>
  <c r="C1847" i="25"/>
  <c r="M1825" i="25"/>
  <c r="L1825" i="25"/>
  <c r="K1825" i="25"/>
  <c r="J1825" i="25"/>
  <c r="I1825" i="25"/>
  <c r="H1825" i="25"/>
  <c r="G1825" i="25"/>
  <c r="F1825" i="25"/>
  <c r="E1825" i="25"/>
  <c r="D1825" i="25"/>
  <c r="C1825" i="25"/>
  <c r="M1824" i="25"/>
  <c r="L1824" i="25"/>
  <c r="K1824" i="25"/>
  <c r="J1824" i="25"/>
  <c r="I1824" i="25"/>
  <c r="H1824" i="25"/>
  <c r="G1824" i="25"/>
  <c r="F1824" i="25"/>
  <c r="E1824" i="25"/>
  <c r="D1824" i="25"/>
  <c r="C1824" i="25"/>
  <c r="M1823" i="25"/>
  <c r="L1823" i="25"/>
  <c r="K1823" i="25"/>
  <c r="J1823" i="25"/>
  <c r="I1823" i="25"/>
  <c r="H1823" i="25"/>
  <c r="G1823" i="25"/>
  <c r="F1823" i="25"/>
  <c r="E1823" i="25"/>
  <c r="D1823" i="25"/>
  <c r="C1823" i="25"/>
  <c r="M1822" i="25"/>
  <c r="L1822" i="25"/>
  <c r="K1822" i="25"/>
  <c r="J1822" i="25"/>
  <c r="I1822" i="25"/>
  <c r="H1822" i="25"/>
  <c r="G1822" i="25"/>
  <c r="F1822" i="25"/>
  <c r="E1822" i="25"/>
  <c r="D1822" i="25"/>
  <c r="C1822" i="25"/>
  <c r="M1818" i="25"/>
  <c r="L1818" i="25"/>
  <c r="K1818" i="25"/>
  <c r="J1818" i="25"/>
  <c r="I1818" i="25"/>
  <c r="H1818" i="25"/>
  <c r="G1818" i="25"/>
  <c r="F1818" i="25"/>
  <c r="E1818" i="25"/>
  <c r="D1818" i="25"/>
  <c r="C1818" i="25"/>
  <c r="M1817" i="25"/>
  <c r="L1817" i="25"/>
  <c r="K1817" i="25"/>
  <c r="J1817" i="25"/>
  <c r="I1817" i="25"/>
  <c r="H1817" i="25"/>
  <c r="G1817" i="25"/>
  <c r="F1817" i="25"/>
  <c r="E1817" i="25"/>
  <c r="D1817" i="25"/>
  <c r="C1817" i="25"/>
  <c r="M1816" i="25"/>
  <c r="L1816" i="25"/>
  <c r="K1816" i="25"/>
  <c r="J1816" i="25"/>
  <c r="I1816" i="25"/>
  <c r="H1816" i="25"/>
  <c r="G1816" i="25"/>
  <c r="F1816" i="25"/>
  <c r="E1816" i="25"/>
  <c r="D1816" i="25"/>
  <c r="C1816" i="25"/>
  <c r="M1815" i="25"/>
  <c r="L1815" i="25"/>
  <c r="K1815" i="25"/>
  <c r="J1815" i="25"/>
  <c r="I1815" i="25"/>
  <c r="H1815" i="25"/>
  <c r="G1815" i="25"/>
  <c r="F1815" i="25"/>
  <c r="E1815" i="25"/>
  <c r="D1815" i="25"/>
  <c r="C1815" i="25"/>
  <c r="M1808" i="25"/>
  <c r="L1808" i="25"/>
  <c r="K1808" i="25"/>
  <c r="J1808" i="25"/>
  <c r="I1808" i="25"/>
  <c r="H1808" i="25"/>
  <c r="G1808" i="25"/>
  <c r="F1808" i="25"/>
  <c r="E1808" i="25"/>
  <c r="D1808" i="25"/>
  <c r="C1808" i="25"/>
  <c r="M1807" i="25"/>
  <c r="L1807" i="25"/>
  <c r="K1807" i="25"/>
  <c r="J1807" i="25"/>
  <c r="I1807" i="25"/>
  <c r="H1807" i="25"/>
  <c r="G1807" i="25"/>
  <c r="F1807" i="25"/>
  <c r="E1807" i="25"/>
  <c r="D1807" i="25"/>
  <c r="C1807" i="25"/>
  <c r="M1806" i="25"/>
  <c r="L1806" i="25"/>
  <c r="K1806" i="25"/>
  <c r="J1806" i="25"/>
  <c r="I1806" i="25"/>
  <c r="H1806" i="25"/>
  <c r="G1806" i="25"/>
  <c r="F1806" i="25"/>
  <c r="E1806" i="25"/>
  <c r="D1806" i="25"/>
  <c r="C1806" i="25"/>
  <c r="M1801" i="25"/>
  <c r="L1801" i="25"/>
  <c r="K1801" i="25"/>
  <c r="J1801" i="25"/>
  <c r="I1801" i="25"/>
  <c r="H1801" i="25"/>
  <c r="G1801" i="25"/>
  <c r="F1801" i="25"/>
  <c r="E1801" i="25"/>
  <c r="D1801" i="25"/>
  <c r="C1801" i="25"/>
  <c r="M1800" i="25"/>
  <c r="L1800" i="25"/>
  <c r="K1800" i="25"/>
  <c r="J1800" i="25"/>
  <c r="I1800" i="25"/>
  <c r="H1800" i="25"/>
  <c r="G1800" i="25"/>
  <c r="F1800" i="25"/>
  <c r="E1800" i="25"/>
  <c r="D1800" i="25"/>
  <c r="C1800" i="25"/>
  <c r="M1799" i="25"/>
  <c r="L1799" i="25"/>
  <c r="K1799" i="25"/>
  <c r="J1799" i="25"/>
  <c r="I1799" i="25"/>
  <c r="H1799" i="25"/>
  <c r="G1799" i="25"/>
  <c r="F1799" i="25"/>
  <c r="E1799" i="25"/>
  <c r="D1799" i="25"/>
  <c r="C1799" i="25"/>
  <c r="M1776" i="25"/>
  <c r="L1776" i="25"/>
  <c r="K1776" i="25"/>
  <c r="J1776" i="25"/>
  <c r="I1776" i="25"/>
  <c r="H1776" i="25"/>
  <c r="G1776" i="25"/>
  <c r="F1776" i="25"/>
  <c r="E1776" i="25"/>
  <c r="D1776" i="25"/>
  <c r="C1776" i="25"/>
  <c r="M1775" i="25"/>
  <c r="L1775" i="25"/>
  <c r="K1775" i="25"/>
  <c r="J1775" i="25"/>
  <c r="I1775" i="25"/>
  <c r="H1775" i="25"/>
  <c r="G1775" i="25"/>
  <c r="F1775" i="25"/>
  <c r="E1775" i="25"/>
  <c r="D1775" i="25"/>
  <c r="C1775" i="25"/>
  <c r="M1774" i="25"/>
  <c r="L1774" i="25"/>
  <c r="K1774" i="25"/>
  <c r="J1774" i="25"/>
  <c r="I1774" i="25"/>
  <c r="H1774" i="25"/>
  <c r="G1774" i="25"/>
  <c r="F1774" i="25"/>
  <c r="E1774" i="25"/>
  <c r="D1774" i="25"/>
  <c r="C1774" i="25"/>
  <c r="M1769" i="25"/>
  <c r="L1769" i="25"/>
  <c r="K1769" i="25"/>
  <c r="J1769" i="25"/>
  <c r="I1769" i="25"/>
  <c r="H1769" i="25"/>
  <c r="G1769" i="25"/>
  <c r="F1769" i="25"/>
  <c r="E1769" i="25"/>
  <c r="D1769" i="25"/>
  <c r="C1769" i="25"/>
  <c r="M1768" i="25"/>
  <c r="L1768" i="25"/>
  <c r="K1768" i="25"/>
  <c r="J1768" i="25"/>
  <c r="I1768" i="25"/>
  <c r="H1768" i="25"/>
  <c r="G1768" i="25"/>
  <c r="F1768" i="25"/>
  <c r="E1768" i="25"/>
  <c r="D1768" i="25"/>
  <c r="C1768" i="25"/>
  <c r="M1767" i="25"/>
  <c r="L1767" i="25"/>
  <c r="K1767" i="25"/>
  <c r="J1767" i="25"/>
  <c r="I1767" i="25"/>
  <c r="H1767" i="25"/>
  <c r="G1767" i="25"/>
  <c r="F1767" i="25"/>
  <c r="E1767" i="25"/>
  <c r="D1767" i="25"/>
  <c r="C1767" i="25"/>
  <c r="M1760" i="25"/>
  <c r="L1760" i="25"/>
  <c r="K1760" i="25"/>
  <c r="J1760" i="25"/>
  <c r="I1760" i="25"/>
  <c r="H1760" i="25"/>
  <c r="G1760" i="25"/>
  <c r="F1760" i="25"/>
  <c r="E1760" i="25"/>
  <c r="D1760" i="25"/>
  <c r="C1760" i="25"/>
  <c r="M1759" i="25"/>
  <c r="L1759" i="25"/>
  <c r="K1759" i="25"/>
  <c r="J1759" i="25"/>
  <c r="I1759" i="25"/>
  <c r="H1759" i="25"/>
  <c r="G1759" i="25"/>
  <c r="F1759" i="25"/>
  <c r="E1759" i="25"/>
  <c r="D1759" i="25"/>
  <c r="C1759" i="25"/>
  <c r="M1753" i="25"/>
  <c r="L1753" i="25"/>
  <c r="K1753" i="25"/>
  <c r="J1753" i="25"/>
  <c r="I1753" i="25"/>
  <c r="H1753" i="25"/>
  <c r="G1753" i="25"/>
  <c r="F1753" i="25"/>
  <c r="E1753" i="25"/>
  <c r="D1753" i="25"/>
  <c r="C1753" i="25"/>
  <c r="M1752" i="25"/>
  <c r="L1752" i="25"/>
  <c r="K1752" i="25"/>
  <c r="J1752" i="25"/>
  <c r="I1752" i="25"/>
  <c r="H1752" i="25"/>
  <c r="G1752" i="25"/>
  <c r="F1752" i="25"/>
  <c r="E1752" i="25"/>
  <c r="D1752" i="25"/>
  <c r="C1752" i="25"/>
  <c r="M1745" i="25"/>
  <c r="L1745" i="25"/>
  <c r="K1745" i="25"/>
  <c r="J1745" i="25"/>
  <c r="I1745" i="25"/>
  <c r="H1745" i="25"/>
  <c r="G1745" i="25"/>
  <c r="F1745" i="25"/>
  <c r="E1745" i="25"/>
  <c r="D1745" i="25"/>
  <c r="C1745" i="25"/>
  <c r="M1744" i="25"/>
  <c r="L1744" i="25"/>
  <c r="K1744" i="25"/>
  <c r="J1744" i="25"/>
  <c r="I1744" i="25"/>
  <c r="H1744" i="25"/>
  <c r="G1744" i="25"/>
  <c r="F1744" i="25"/>
  <c r="E1744" i="25"/>
  <c r="D1744" i="25"/>
  <c r="C1744" i="25"/>
  <c r="M1738" i="25"/>
  <c r="L1738" i="25"/>
  <c r="K1738" i="25"/>
  <c r="J1738" i="25"/>
  <c r="I1738" i="25"/>
  <c r="H1738" i="25"/>
  <c r="G1738" i="25"/>
  <c r="F1738" i="25"/>
  <c r="E1738" i="25"/>
  <c r="D1738" i="25"/>
  <c r="C1738" i="25"/>
  <c r="M1737" i="25"/>
  <c r="L1737" i="25"/>
  <c r="K1737" i="25"/>
  <c r="J1737" i="25"/>
  <c r="I1737" i="25"/>
  <c r="H1737" i="25"/>
  <c r="G1737" i="25"/>
  <c r="F1737" i="25"/>
  <c r="E1737" i="25"/>
  <c r="D1737" i="25"/>
  <c r="C1737" i="25"/>
  <c r="M1730" i="25"/>
  <c r="L1730" i="25"/>
  <c r="K1730" i="25"/>
  <c r="J1730" i="25"/>
  <c r="I1730" i="25"/>
  <c r="H1730" i="25"/>
  <c r="G1730" i="25"/>
  <c r="F1730" i="25"/>
  <c r="E1730" i="25"/>
  <c r="D1730" i="25"/>
  <c r="C1730" i="25"/>
  <c r="M1729" i="25"/>
  <c r="L1729" i="25"/>
  <c r="K1729" i="25"/>
  <c r="J1729" i="25"/>
  <c r="I1729" i="25"/>
  <c r="H1729" i="25"/>
  <c r="G1729" i="25"/>
  <c r="F1729" i="25"/>
  <c r="E1729" i="25"/>
  <c r="D1729" i="25"/>
  <c r="C1729" i="25"/>
  <c r="M1724" i="25"/>
  <c r="L1724" i="25"/>
  <c r="K1724" i="25"/>
  <c r="J1724" i="25"/>
  <c r="I1724" i="25"/>
  <c r="H1724" i="25"/>
  <c r="G1724" i="25"/>
  <c r="F1724" i="25"/>
  <c r="E1724" i="25"/>
  <c r="D1724" i="25"/>
  <c r="C1724" i="25"/>
  <c r="M1723" i="25"/>
  <c r="L1723" i="25"/>
  <c r="K1723" i="25"/>
  <c r="J1723" i="25"/>
  <c r="I1723" i="25"/>
  <c r="H1723" i="25"/>
  <c r="G1723" i="25"/>
  <c r="F1723" i="25"/>
  <c r="E1723" i="25"/>
  <c r="D1723" i="25"/>
  <c r="C1723" i="25"/>
  <c r="M1722" i="25"/>
  <c r="L1722" i="25"/>
  <c r="K1722" i="25"/>
  <c r="J1722" i="25"/>
  <c r="I1722" i="25"/>
  <c r="H1722" i="25"/>
  <c r="G1722" i="25"/>
  <c r="F1722" i="25"/>
  <c r="E1722" i="25"/>
  <c r="D1722" i="25"/>
  <c r="C1722" i="25"/>
  <c r="M1714" i="25"/>
  <c r="L1714" i="25"/>
  <c r="K1714" i="25"/>
  <c r="J1714" i="25"/>
  <c r="I1714" i="25"/>
  <c r="H1714" i="25"/>
  <c r="G1714" i="25"/>
  <c r="F1714" i="25"/>
  <c r="E1714" i="25"/>
  <c r="D1714" i="25"/>
  <c r="C1714" i="25"/>
  <c r="M1707" i="25"/>
  <c r="L1707" i="25"/>
  <c r="K1707" i="25"/>
  <c r="J1707" i="25"/>
  <c r="I1707" i="25"/>
  <c r="H1707" i="25"/>
  <c r="G1707" i="25"/>
  <c r="F1707" i="25"/>
  <c r="E1707" i="25"/>
  <c r="D1707" i="25"/>
  <c r="C1707" i="25"/>
  <c r="M1686" i="25"/>
  <c r="L1686" i="25"/>
  <c r="K1686" i="25"/>
  <c r="J1686" i="25"/>
  <c r="I1686" i="25"/>
  <c r="H1686" i="25"/>
  <c r="G1686" i="25"/>
  <c r="F1686" i="25"/>
  <c r="E1686" i="25"/>
  <c r="D1686" i="25"/>
  <c r="C1686" i="25"/>
  <c r="M1685" i="25"/>
  <c r="L1685" i="25"/>
  <c r="K1685" i="25"/>
  <c r="J1685" i="25"/>
  <c r="I1685" i="25"/>
  <c r="H1685" i="25"/>
  <c r="G1685" i="25"/>
  <c r="F1685" i="25"/>
  <c r="E1685" i="25"/>
  <c r="D1685" i="25"/>
  <c r="C1685" i="25"/>
  <c r="M1684" i="25"/>
  <c r="L1684" i="25"/>
  <c r="K1684" i="25"/>
  <c r="J1684" i="25"/>
  <c r="I1684" i="25"/>
  <c r="H1684" i="25"/>
  <c r="G1684" i="25"/>
  <c r="F1684" i="25"/>
  <c r="E1684" i="25"/>
  <c r="D1684" i="25"/>
  <c r="C1684" i="25"/>
  <c r="M1678" i="25"/>
  <c r="L1678" i="25"/>
  <c r="K1678" i="25"/>
  <c r="J1678" i="25"/>
  <c r="I1678" i="25"/>
  <c r="H1678" i="25"/>
  <c r="G1678" i="25"/>
  <c r="F1678" i="25"/>
  <c r="E1678" i="25"/>
  <c r="D1678" i="25"/>
  <c r="C1678" i="25"/>
  <c r="M1677" i="25"/>
  <c r="L1677" i="25"/>
  <c r="K1677" i="25"/>
  <c r="J1677" i="25"/>
  <c r="I1677" i="25"/>
  <c r="H1677" i="25"/>
  <c r="G1677" i="25"/>
  <c r="F1677" i="25"/>
  <c r="E1677" i="25"/>
  <c r="D1677" i="25"/>
  <c r="C1677" i="25"/>
  <c r="M1676" i="25"/>
  <c r="L1676" i="25"/>
  <c r="K1676" i="25"/>
  <c r="J1676" i="25"/>
  <c r="I1676" i="25"/>
  <c r="H1676" i="25"/>
  <c r="G1676" i="25"/>
  <c r="F1676" i="25"/>
  <c r="E1676" i="25"/>
  <c r="D1676" i="25"/>
  <c r="C1676" i="25"/>
  <c r="M1671" i="25"/>
  <c r="L1671" i="25"/>
  <c r="K1671" i="25"/>
  <c r="J1671" i="25"/>
  <c r="I1671" i="25"/>
  <c r="H1671" i="25"/>
  <c r="G1671" i="25"/>
  <c r="F1671" i="25"/>
  <c r="E1671" i="25"/>
  <c r="D1671" i="25"/>
  <c r="C1671" i="25"/>
  <c r="M1670" i="25"/>
  <c r="L1670" i="25"/>
  <c r="K1670" i="25"/>
  <c r="J1670" i="25"/>
  <c r="I1670" i="25"/>
  <c r="H1670" i="25"/>
  <c r="G1670" i="25"/>
  <c r="F1670" i="25"/>
  <c r="E1670" i="25"/>
  <c r="D1670" i="25"/>
  <c r="C1670" i="25"/>
  <c r="M1669" i="25"/>
  <c r="L1669" i="25"/>
  <c r="K1669" i="25"/>
  <c r="J1669" i="25"/>
  <c r="I1669" i="25"/>
  <c r="H1669" i="25"/>
  <c r="G1669" i="25"/>
  <c r="F1669" i="25"/>
  <c r="E1669" i="25"/>
  <c r="D1669" i="25"/>
  <c r="C1669" i="25"/>
  <c r="M1661" i="25"/>
  <c r="L1661" i="25"/>
  <c r="K1661" i="25"/>
  <c r="J1661" i="25"/>
  <c r="I1661" i="25"/>
  <c r="H1661" i="25"/>
  <c r="G1661" i="25"/>
  <c r="F1661" i="25"/>
  <c r="E1661" i="25"/>
  <c r="D1661" i="25"/>
  <c r="C1661" i="25"/>
  <c r="M1654" i="25"/>
  <c r="L1654" i="25"/>
  <c r="K1654" i="25"/>
  <c r="J1654" i="25"/>
  <c r="I1654" i="25"/>
  <c r="H1654" i="25"/>
  <c r="G1654" i="25"/>
  <c r="F1654" i="25"/>
  <c r="E1654" i="25"/>
  <c r="D1654" i="25"/>
  <c r="C1654" i="25"/>
  <c r="M1648" i="25"/>
  <c r="L1648" i="25"/>
  <c r="K1648" i="25"/>
  <c r="J1648" i="25"/>
  <c r="I1648" i="25"/>
  <c r="H1648" i="25"/>
  <c r="G1648" i="25"/>
  <c r="F1648" i="25"/>
  <c r="E1648" i="25"/>
  <c r="D1648" i="25"/>
  <c r="C1648" i="25"/>
  <c r="M1647" i="25"/>
  <c r="L1647" i="25"/>
  <c r="K1647" i="25"/>
  <c r="J1647" i="25"/>
  <c r="I1647" i="25"/>
  <c r="H1647" i="25"/>
  <c r="G1647" i="25"/>
  <c r="F1647" i="25"/>
  <c r="E1647" i="25"/>
  <c r="D1647" i="25"/>
  <c r="C1647" i="25"/>
  <c r="M1646" i="25"/>
  <c r="L1646" i="25"/>
  <c r="K1646" i="25"/>
  <c r="J1646" i="25"/>
  <c r="I1646" i="25"/>
  <c r="H1646" i="25"/>
  <c r="G1646" i="25"/>
  <c r="F1646" i="25"/>
  <c r="E1646" i="25"/>
  <c r="D1646" i="25"/>
  <c r="C1646" i="25"/>
  <c r="M1645" i="25"/>
  <c r="L1645" i="25"/>
  <c r="K1645" i="25"/>
  <c r="J1645" i="25"/>
  <c r="I1645" i="25"/>
  <c r="H1645" i="25"/>
  <c r="G1645" i="25"/>
  <c r="F1645" i="25"/>
  <c r="E1645" i="25"/>
  <c r="D1645" i="25"/>
  <c r="C1645" i="25"/>
  <c r="M1641" i="25"/>
  <c r="L1641" i="25"/>
  <c r="K1641" i="25"/>
  <c r="J1641" i="25"/>
  <c r="I1641" i="25"/>
  <c r="H1641" i="25"/>
  <c r="G1641" i="25"/>
  <c r="F1641" i="25"/>
  <c r="E1641" i="25"/>
  <c r="D1641" i="25"/>
  <c r="C1641" i="25"/>
  <c r="M1640" i="25"/>
  <c r="L1640" i="25"/>
  <c r="K1640" i="25"/>
  <c r="J1640" i="25"/>
  <c r="I1640" i="25"/>
  <c r="H1640" i="25"/>
  <c r="G1640" i="25"/>
  <c r="F1640" i="25"/>
  <c r="E1640" i="25"/>
  <c r="D1640" i="25"/>
  <c r="C1640" i="25"/>
  <c r="M1639" i="25"/>
  <c r="L1639" i="25"/>
  <c r="K1639" i="25"/>
  <c r="J1639" i="25"/>
  <c r="I1639" i="25"/>
  <c r="H1639" i="25"/>
  <c r="G1639" i="25"/>
  <c r="F1639" i="25"/>
  <c r="E1639" i="25"/>
  <c r="D1639" i="25"/>
  <c r="C1639" i="25"/>
  <c r="M1638" i="25"/>
  <c r="L1638" i="25"/>
  <c r="K1638" i="25"/>
  <c r="J1638" i="25"/>
  <c r="I1638" i="25"/>
  <c r="H1638" i="25"/>
  <c r="G1638" i="25"/>
  <c r="F1638" i="25"/>
  <c r="D1638" i="25"/>
  <c r="C1638" i="25"/>
  <c r="M1631" i="25"/>
  <c r="L1631" i="25"/>
  <c r="K1631" i="25"/>
  <c r="J1631" i="25"/>
  <c r="I1631" i="25"/>
  <c r="H1631" i="25"/>
  <c r="G1631" i="25"/>
  <c r="F1631" i="25"/>
  <c r="E1631" i="25"/>
  <c r="D1631" i="25"/>
  <c r="C1631" i="25"/>
  <c r="M1630" i="25"/>
  <c r="L1630" i="25"/>
  <c r="K1630" i="25"/>
  <c r="J1630" i="25"/>
  <c r="I1630" i="25"/>
  <c r="H1630" i="25"/>
  <c r="G1630" i="25"/>
  <c r="F1630" i="25"/>
  <c r="E1630" i="25"/>
  <c r="D1630" i="25"/>
  <c r="C1630" i="25"/>
  <c r="M1629" i="25"/>
  <c r="L1629" i="25"/>
  <c r="K1629" i="25"/>
  <c r="J1629" i="25"/>
  <c r="I1629" i="25"/>
  <c r="H1629" i="25"/>
  <c r="G1629" i="25"/>
  <c r="F1629" i="25"/>
  <c r="E1629" i="25"/>
  <c r="D1629" i="25"/>
  <c r="C1629" i="25"/>
  <c r="M1628" i="25"/>
  <c r="L1628" i="25"/>
  <c r="K1628" i="25"/>
  <c r="J1628" i="25"/>
  <c r="I1628" i="25"/>
  <c r="H1628" i="25"/>
  <c r="G1628" i="25"/>
  <c r="F1628" i="25"/>
  <c r="E1628" i="25"/>
  <c r="D1628" i="25"/>
  <c r="C1628" i="25"/>
  <c r="M1624" i="25"/>
  <c r="L1624" i="25"/>
  <c r="K1624" i="25"/>
  <c r="J1624" i="25"/>
  <c r="I1624" i="25"/>
  <c r="H1624" i="25"/>
  <c r="G1624" i="25"/>
  <c r="F1624" i="25"/>
  <c r="E1624" i="25"/>
  <c r="D1624" i="25"/>
  <c r="C1624" i="25"/>
  <c r="M1623" i="25"/>
  <c r="L1623" i="25"/>
  <c r="K1623" i="25"/>
  <c r="J1623" i="25"/>
  <c r="I1623" i="25"/>
  <c r="H1623" i="25"/>
  <c r="G1623" i="25"/>
  <c r="F1623" i="25"/>
  <c r="E1623" i="25"/>
  <c r="D1623" i="25"/>
  <c r="C1623" i="25"/>
  <c r="M1622" i="25"/>
  <c r="L1622" i="25"/>
  <c r="K1622" i="25"/>
  <c r="J1622" i="25"/>
  <c r="I1622" i="25"/>
  <c r="H1622" i="25"/>
  <c r="G1622" i="25"/>
  <c r="F1622" i="25"/>
  <c r="E1622" i="25"/>
  <c r="D1622" i="25"/>
  <c r="C1622" i="25"/>
  <c r="M1621" i="25"/>
  <c r="L1621" i="25"/>
  <c r="K1621" i="25"/>
  <c r="J1621" i="25"/>
  <c r="I1621" i="25"/>
  <c r="H1621" i="25"/>
  <c r="G1621" i="25"/>
  <c r="F1621" i="25"/>
  <c r="E1621" i="25"/>
  <c r="D1621" i="25"/>
  <c r="C1621" i="25"/>
  <c r="M1615" i="25"/>
  <c r="L1615" i="25"/>
  <c r="K1615" i="25"/>
  <c r="J1615" i="25"/>
  <c r="I1615" i="25"/>
  <c r="H1615" i="25"/>
  <c r="G1615" i="25"/>
  <c r="F1615" i="25"/>
  <c r="E1615" i="25"/>
  <c r="D1615" i="25"/>
  <c r="C1615" i="25"/>
  <c r="M1614" i="25"/>
  <c r="L1614" i="25"/>
  <c r="K1614" i="25"/>
  <c r="J1614" i="25"/>
  <c r="I1614" i="25"/>
  <c r="H1614" i="25"/>
  <c r="G1614" i="25"/>
  <c r="F1614" i="25"/>
  <c r="E1614" i="25"/>
  <c r="D1614" i="25"/>
  <c r="C1614" i="25"/>
  <c r="M1613" i="25"/>
  <c r="L1613" i="25"/>
  <c r="K1613" i="25"/>
  <c r="J1613" i="25"/>
  <c r="I1613" i="25"/>
  <c r="H1613" i="25"/>
  <c r="G1613" i="25"/>
  <c r="F1613" i="25"/>
  <c r="E1613" i="25"/>
  <c r="D1613" i="25"/>
  <c r="C1613" i="25"/>
  <c r="M1608" i="25"/>
  <c r="L1608" i="25"/>
  <c r="K1608" i="25"/>
  <c r="J1608" i="25"/>
  <c r="I1608" i="25"/>
  <c r="H1608" i="25"/>
  <c r="G1608" i="25"/>
  <c r="F1608" i="25"/>
  <c r="E1608" i="25"/>
  <c r="D1608" i="25"/>
  <c r="C1608" i="25"/>
  <c r="M1607" i="25"/>
  <c r="L1607" i="25"/>
  <c r="K1607" i="25"/>
  <c r="J1607" i="25"/>
  <c r="I1607" i="25"/>
  <c r="H1607" i="25"/>
  <c r="G1607" i="25"/>
  <c r="F1607" i="25"/>
  <c r="E1607" i="25"/>
  <c r="D1607" i="25"/>
  <c r="C1607" i="25"/>
  <c r="M1606" i="25"/>
  <c r="L1606" i="25"/>
  <c r="K1606" i="25"/>
  <c r="J1606" i="25"/>
  <c r="I1606" i="25"/>
  <c r="H1606" i="25"/>
  <c r="G1606" i="25"/>
  <c r="F1606" i="25"/>
  <c r="E1606" i="25"/>
  <c r="D1606" i="25"/>
  <c r="C1606" i="25"/>
  <c r="M1598" i="25"/>
  <c r="L1598" i="25"/>
  <c r="K1598" i="25"/>
  <c r="J1598" i="25"/>
  <c r="I1598" i="25"/>
  <c r="H1598" i="25"/>
  <c r="G1598" i="25"/>
  <c r="F1598" i="25"/>
  <c r="E1598" i="25"/>
  <c r="D1598" i="25"/>
  <c r="C1598" i="25"/>
  <c r="M1591" i="25"/>
  <c r="L1591" i="25"/>
  <c r="K1591" i="25"/>
  <c r="J1591" i="25"/>
  <c r="I1591" i="25"/>
  <c r="H1591" i="25"/>
  <c r="G1591" i="25"/>
  <c r="F1591" i="25"/>
  <c r="E1591" i="25"/>
  <c r="D1591" i="25"/>
  <c r="C1591" i="25"/>
  <c r="M1585" i="25"/>
  <c r="L1585" i="25"/>
  <c r="K1585" i="25"/>
  <c r="J1585" i="25"/>
  <c r="I1585" i="25"/>
  <c r="H1585" i="25"/>
  <c r="G1585" i="25"/>
  <c r="F1585" i="25"/>
  <c r="E1585" i="25"/>
  <c r="D1585" i="25"/>
  <c r="C1585" i="25"/>
  <c r="M1584" i="25"/>
  <c r="L1584" i="25"/>
  <c r="K1584" i="25"/>
  <c r="J1584" i="25"/>
  <c r="I1584" i="25"/>
  <c r="H1584" i="25"/>
  <c r="G1584" i="25"/>
  <c r="F1584" i="25"/>
  <c r="E1584" i="25"/>
  <c r="D1584" i="25"/>
  <c r="C1584" i="25"/>
  <c r="M1583" i="25"/>
  <c r="L1583" i="25"/>
  <c r="K1583" i="25"/>
  <c r="J1583" i="25"/>
  <c r="I1583" i="25"/>
  <c r="H1583" i="25"/>
  <c r="G1583" i="25"/>
  <c r="F1583" i="25"/>
  <c r="E1583" i="25"/>
  <c r="D1583" i="25"/>
  <c r="C1583" i="25"/>
  <c r="M1582" i="25"/>
  <c r="L1582" i="25"/>
  <c r="K1582" i="25"/>
  <c r="J1582" i="25"/>
  <c r="I1582" i="25"/>
  <c r="H1582" i="25"/>
  <c r="G1582" i="25"/>
  <c r="F1582" i="25"/>
  <c r="E1582" i="25"/>
  <c r="D1582" i="25"/>
  <c r="C1582" i="25"/>
  <c r="M1578" i="25"/>
  <c r="L1578" i="25"/>
  <c r="K1578" i="25"/>
  <c r="J1578" i="25"/>
  <c r="I1578" i="25"/>
  <c r="H1578" i="25"/>
  <c r="G1578" i="25"/>
  <c r="F1578" i="25"/>
  <c r="E1578" i="25"/>
  <c r="D1578" i="25"/>
  <c r="C1578" i="25"/>
  <c r="M1577" i="25"/>
  <c r="L1577" i="25"/>
  <c r="K1577" i="25"/>
  <c r="J1577" i="25"/>
  <c r="I1577" i="25"/>
  <c r="H1577" i="25"/>
  <c r="G1577" i="25"/>
  <c r="F1577" i="25"/>
  <c r="E1577" i="25"/>
  <c r="D1577" i="25"/>
  <c r="C1577" i="25"/>
  <c r="M1576" i="25"/>
  <c r="L1576" i="25"/>
  <c r="K1576" i="25"/>
  <c r="J1576" i="25"/>
  <c r="I1576" i="25"/>
  <c r="H1576" i="25"/>
  <c r="G1576" i="25"/>
  <c r="F1576" i="25"/>
  <c r="E1576" i="25"/>
  <c r="D1576" i="25"/>
  <c r="C1576" i="25"/>
  <c r="M1575" i="25"/>
  <c r="L1575" i="25"/>
  <c r="K1575" i="25"/>
  <c r="J1575" i="25"/>
  <c r="I1575" i="25"/>
  <c r="H1575" i="25"/>
  <c r="G1575" i="25"/>
  <c r="F1575" i="25"/>
  <c r="E1575" i="25"/>
  <c r="D1575" i="25"/>
  <c r="C1575" i="25"/>
  <c r="M1567" i="25"/>
  <c r="L1567" i="25"/>
  <c r="K1567" i="25"/>
  <c r="J1567" i="25"/>
  <c r="I1567" i="25"/>
  <c r="H1567" i="25"/>
  <c r="G1567" i="25"/>
  <c r="F1567" i="25"/>
  <c r="E1567" i="25"/>
  <c r="D1567" i="25"/>
  <c r="C1567" i="25"/>
  <c r="M1566" i="25"/>
  <c r="L1566" i="25"/>
  <c r="K1566" i="25"/>
  <c r="J1566" i="25"/>
  <c r="I1566" i="25"/>
  <c r="H1566" i="25"/>
  <c r="G1566" i="25"/>
  <c r="F1566" i="25"/>
  <c r="E1566" i="25"/>
  <c r="D1566" i="25"/>
  <c r="C1566" i="25"/>
  <c r="M1560" i="25"/>
  <c r="L1560" i="25"/>
  <c r="K1560" i="25"/>
  <c r="J1560" i="25"/>
  <c r="I1560" i="25"/>
  <c r="H1560" i="25"/>
  <c r="G1560" i="25"/>
  <c r="F1560" i="25"/>
  <c r="E1560" i="25"/>
  <c r="D1560" i="25"/>
  <c r="C1560" i="25"/>
  <c r="M1559" i="25"/>
  <c r="L1559" i="25"/>
  <c r="K1559" i="25"/>
  <c r="J1559" i="25"/>
  <c r="I1559" i="25"/>
  <c r="H1559" i="25"/>
  <c r="G1559" i="25"/>
  <c r="F1559" i="25"/>
  <c r="E1559" i="25"/>
  <c r="D1559" i="25"/>
  <c r="C1559" i="25"/>
  <c r="M1554" i="25"/>
  <c r="L1554" i="25"/>
  <c r="K1554" i="25"/>
  <c r="J1554" i="25"/>
  <c r="I1554" i="25"/>
  <c r="H1554" i="25"/>
  <c r="G1554" i="25"/>
  <c r="F1554" i="25"/>
  <c r="E1554" i="25"/>
  <c r="D1554" i="25"/>
  <c r="C1554" i="25"/>
  <c r="M1553" i="25"/>
  <c r="L1553" i="25"/>
  <c r="K1553" i="25"/>
  <c r="J1553" i="25"/>
  <c r="I1553" i="25"/>
  <c r="H1553" i="25"/>
  <c r="G1553" i="25"/>
  <c r="F1553" i="25"/>
  <c r="E1553" i="25"/>
  <c r="D1553" i="25"/>
  <c r="C1553" i="25"/>
  <c r="M1552" i="25"/>
  <c r="L1552" i="25"/>
  <c r="K1552" i="25"/>
  <c r="J1552" i="25"/>
  <c r="I1552" i="25"/>
  <c r="H1552" i="25"/>
  <c r="G1552" i="25"/>
  <c r="F1552" i="25"/>
  <c r="E1552" i="25"/>
  <c r="D1552" i="25"/>
  <c r="C1552" i="25"/>
  <c r="M1551" i="25"/>
  <c r="L1551" i="25"/>
  <c r="K1551" i="25"/>
  <c r="J1551" i="25"/>
  <c r="I1551" i="25"/>
  <c r="H1551" i="25"/>
  <c r="G1551" i="25"/>
  <c r="F1551" i="25"/>
  <c r="E1551" i="25"/>
  <c r="D1551" i="25"/>
  <c r="C1551" i="25"/>
  <c r="M1542" i="25"/>
  <c r="L1542" i="25"/>
  <c r="K1542" i="25"/>
  <c r="J1542" i="25"/>
  <c r="I1542" i="25"/>
  <c r="H1542" i="25"/>
  <c r="G1542" i="25"/>
  <c r="F1542" i="25"/>
  <c r="E1542" i="25"/>
  <c r="D1542" i="25"/>
  <c r="C1542" i="25"/>
  <c r="M1535" i="25"/>
  <c r="L1535" i="25"/>
  <c r="K1535" i="25"/>
  <c r="J1535" i="25"/>
  <c r="I1535" i="25"/>
  <c r="H1535" i="25"/>
  <c r="G1535" i="25"/>
  <c r="F1535" i="25"/>
  <c r="E1535" i="25"/>
  <c r="D1535" i="25"/>
  <c r="C1535" i="25"/>
  <c r="M1530" i="25"/>
  <c r="L1530" i="25"/>
  <c r="K1530" i="25"/>
  <c r="J1530" i="25"/>
  <c r="I1530" i="25"/>
  <c r="H1530" i="25"/>
  <c r="G1530" i="25"/>
  <c r="F1530" i="25"/>
  <c r="E1530" i="25"/>
  <c r="D1530" i="25"/>
  <c r="C1530" i="25"/>
  <c r="M1529" i="25"/>
  <c r="L1529" i="25"/>
  <c r="K1529" i="25"/>
  <c r="J1529" i="25"/>
  <c r="I1529" i="25"/>
  <c r="H1529" i="25"/>
  <c r="G1529" i="25"/>
  <c r="F1529" i="25"/>
  <c r="E1529" i="25"/>
  <c r="D1529" i="25"/>
  <c r="C1529" i="25"/>
  <c r="M1528" i="25"/>
  <c r="L1528" i="25"/>
  <c r="K1528" i="25"/>
  <c r="J1528" i="25"/>
  <c r="I1528" i="25"/>
  <c r="H1528" i="25"/>
  <c r="G1528" i="25"/>
  <c r="F1528" i="25"/>
  <c r="E1528" i="25"/>
  <c r="D1528" i="25"/>
  <c r="C1528" i="25"/>
  <c r="M1527" i="25"/>
  <c r="L1527" i="25"/>
  <c r="K1527" i="25"/>
  <c r="J1527" i="25"/>
  <c r="I1527" i="25"/>
  <c r="H1527" i="25"/>
  <c r="G1527" i="25"/>
  <c r="F1527" i="25"/>
  <c r="E1527" i="25"/>
  <c r="D1527" i="25"/>
  <c r="C1527" i="25"/>
  <c r="M1523" i="25"/>
  <c r="L1523" i="25"/>
  <c r="K1523" i="25"/>
  <c r="J1523" i="25"/>
  <c r="I1523" i="25"/>
  <c r="H1523" i="25"/>
  <c r="G1523" i="25"/>
  <c r="F1523" i="25"/>
  <c r="E1523" i="25"/>
  <c r="D1523" i="25"/>
  <c r="C1523" i="25"/>
  <c r="M1522" i="25"/>
  <c r="L1522" i="25"/>
  <c r="K1522" i="25"/>
  <c r="J1522" i="25"/>
  <c r="I1522" i="25"/>
  <c r="H1522" i="25"/>
  <c r="G1522" i="25"/>
  <c r="F1522" i="25"/>
  <c r="E1522" i="25"/>
  <c r="D1522" i="25"/>
  <c r="C1522" i="25"/>
  <c r="M1521" i="25"/>
  <c r="L1521" i="25"/>
  <c r="K1521" i="25"/>
  <c r="J1521" i="25"/>
  <c r="I1521" i="25"/>
  <c r="H1521" i="25"/>
  <c r="G1521" i="25"/>
  <c r="F1521" i="25"/>
  <c r="E1521" i="25"/>
  <c r="D1521" i="25"/>
  <c r="C1521" i="25"/>
  <c r="M1520" i="25"/>
  <c r="L1520" i="25"/>
  <c r="K1520" i="25"/>
  <c r="J1520" i="25"/>
  <c r="I1520" i="25"/>
  <c r="H1520" i="25"/>
  <c r="G1520" i="25"/>
  <c r="F1520" i="25"/>
  <c r="E1520" i="25"/>
  <c r="D1520" i="25"/>
  <c r="C1520" i="25"/>
  <c r="M1475" i="25"/>
  <c r="L1475" i="25"/>
  <c r="K1475" i="25"/>
  <c r="J1475" i="25"/>
  <c r="I1475" i="25"/>
  <c r="H1475" i="25"/>
  <c r="G1475" i="25"/>
  <c r="F1475" i="25"/>
  <c r="E1475" i="25"/>
  <c r="D1475" i="25"/>
  <c r="C1475" i="25"/>
  <c r="M1474" i="25"/>
  <c r="L1474" i="25"/>
  <c r="K1474" i="25"/>
  <c r="J1474" i="25"/>
  <c r="I1474" i="25"/>
  <c r="H1474" i="25"/>
  <c r="G1474" i="25"/>
  <c r="F1474" i="25"/>
  <c r="E1474" i="25"/>
  <c r="D1474" i="25"/>
  <c r="C1474" i="25"/>
  <c r="M1473" i="25"/>
  <c r="L1473" i="25"/>
  <c r="K1473" i="25"/>
  <c r="J1473" i="25"/>
  <c r="I1473" i="25"/>
  <c r="H1473" i="25"/>
  <c r="G1473" i="25"/>
  <c r="F1473" i="25"/>
  <c r="E1473" i="25"/>
  <c r="D1473" i="25"/>
  <c r="C1473" i="25"/>
  <c r="M1468" i="25"/>
  <c r="L1468" i="25"/>
  <c r="K1468" i="25"/>
  <c r="J1468" i="25"/>
  <c r="I1468" i="25"/>
  <c r="H1468" i="25"/>
  <c r="G1468" i="25"/>
  <c r="F1468" i="25"/>
  <c r="E1468" i="25"/>
  <c r="D1468" i="25"/>
  <c r="C1468" i="25"/>
  <c r="M1467" i="25"/>
  <c r="L1467" i="25"/>
  <c r="K1467" i="25"/>
  <c r="J1467" i="25"/>
  <c r="I1467" i="25"/>
  <c r="H1467" i="25"/>
  <c r="G1467" i="25"/>
  <c r="F1467" i="25"/>
  <c r="E1467" i="25"/>
  <c r="D1467" i="25"/>
  <c r="C1467" i="25"/>
  <c r="M1466" i="25"/>
  <c r="L1466" i="25"/>
  <c r="K1466" i="25"/>
  <c r="J1466" i="25"/>
  <c r="I1466" i="25"/>
  <c r="H1466" i="25"/>
  <c r="G1466" i="25"/>
  <c r="F1466" i="25"/>
  <c r="E1466" i="25"/>
  <c r="D1466" i="25"/>
  <c r="C1466" i="25"/>
  <c r="M1459" i="25"/>
  <c r="L1459" i="25"/>
  <c r="K1459" i="25"/>
  <c r="J1459" i="25"/>
  <c r="I1459" i="25"/>
  <c r="H1459" i="25"/>
  <c r="G1459" i="25"/>
  <c r="F1459" i="25"/>
  <c r="E1459" i="25"/>
  <c r="D1459" i="25"/>
  <c r="C1459" i="25"/>
  <c r="M1458" i="25"/>
  <c r="L1458" i="25"/>
  <c r="K1458" i="25"/>
  <c r="J1458" i="25"/>
  <c r="I1458" i="25"/>
  <c r="H1458" i="25"/>
  <c r="G1458" i="25"/>
  <c r="F1458" i="25"/>
  <c r="E1458" i="25"/>
  <c r="D1458" i="25"/>
  <c r="C1458" i="25"/>
  <c r="M1457" i="25"/>
  <c r="L1457" i="25"/>
  <c r="K1457" i="25"/>
  <c r="J1457" i="25"/>
  <c r="I1457" i="25"/>
  <c r="H1457" i="25"/>
  <c r="G1457" i="25"/>
  <c r="F1457" i="25"/>
  <c r="E1457" i="25"/>
  <c r="D1457" i="25"/>
  <c r="C1457" i="25"/>
  <c r="M1448" i="25"/>
  <c r="L1448" i="25"/>
  <c r="K1448" i="25"/>
  <c r="J1448" i="25"/>
  <c r="I1448" i="25"/>
  <c r="H1448" i="25"/>
  <c r="G1448" i="25"/>
  <c r="F1448" i="25"/>
  <c r="E1448" i="25"/>
  <c r="D1448" i="25"/>
  <c r="C1448" i="25"/>
  <c r="M1441" i="25"/>
  <c r="L1441" i="25"/>
  <c r="K1441" i="25"/>
  <c r="J1441" i="25"/>
  <c r="I1441" i="25"/>
  <c r="H1441" i="25"/>
  <c r="G1441" i="25"/>
  <c r="F1441" i="25"/>
  <c r="E1441" i="25"/>
  <c r="D1441" i="25"/>
  <c r="C1441" i="25"/>
  <c r="M1435" i="25"/>
  <c r="L1435" i="25"/>
  <c r="K1435" i="25"/>
  <c r="J1435" i="25"/>
  <c r="I1435" i="25"/>
  <c r="H1435" i="25"/>
  <c r="G1435" i="25"/>
  <c r="F1435" i="25"/>
  <c r="E1435" i="25"/>
  <c r="D1435" i="25"/>
  <c r="C1435" i="25"/>
  <c r="M1434" i="25"/>
  <c r="L1434" i="25"/>
  <c r="K1434" i="25"/>
  <c r="J1434" i="25"/>
  <c r="I1434" i="25"/>
  <c r="H1434" i="25"/>
  <c r="G1434" i="25"/>
  <c r="F1434" i="25"/>
  <c r="E1434" i="25"/>
  <c r="D1434" i="25"/>
  <c r="C1434" i="25"/>
  <c r="M1433" i="25"/>
  <c r="L1433" i="25"/>
  <c r="K1433" i="25"/>
  <c r="J1433" i="25"/>
  <c r="I1433" i="25"/>
  <c r="H1433" i="25"/>
  <c r="G1433" i="25"/>
  <c r="F1433" i="25"/>
  <c r="E1433" i="25"/>
  <c r="D1433" i="25"/>
  <c r="C1433" i="25"/>
  <c r="M1428" i="25"/>
  <c r="L1428" i="25"/>
  <c r="K1428" i="25"/>
  <c r="J1428" i="25"/>
  <c r="I1428" i="25"/>
  <c r="H1428" i="25"/>
  <c r="G1428" i="25"/>
  <c r="F1428" i="25"/>
  <c r="E1428" i="25"/>
  <c r="D1428" i="25"/>
  <c r="C1428" i="25"/>
  <c r="M1427" i="25"/>
  <c r="L1427" i="25"/>
  <c r="K1427" i="25"/>
  <c r="J1427" i="25"/>
  <c r="I1427" i="25"/>
  <c r="H1427" i="25"/>
  <c r="G1427" i="25"/>
  <c r="F1427" i="25"/>
  <c r="E1427" i="25"/>
  <c r="D1427" i="25"/>
  <c r="C1427" i="25"/>
  <c r="M1426" i="25"/>
  <c r="L1426" i="25"/>
  <c r="K1426" i="25"/>
  <c r="J1426" i="25"/>
  <c r="I1426" i="25"/>
  <c r="H1426" i="25"/>
  <c r="G1426" i="25"/>
  <c r="F1426" i="25"/>
  <c r="E1426" i="25"/>
  <c r="D1426" i="25"/>
  <c r="C1426" i="25"/>
  <c r="M1404" i="25"/>
  <c r="L1404" i="25"/>
  <c r="K1404" i="25"/>
  <c r="J1404" i="25"/>
  <c r="I1404" i="25"/>
  <c r="H1404" i="25"/>
  <c r="G1404" i="25"/>
  <c r="F1404" i="25"/>
  <c r="E1404" i="25"/>
  <c r="D1404" i="25"/>
  <c r="C1404" i="25"/>
  <c r="M1403" i="25"/>
  <c r="L1403" i="25"/>
  <c r="K1403" i="25"/>
  <c r="J1403" i="25"/>
  <c r="I1403" i="25"/>
  <c r="H1403" i="25"/>
  <c r="G1403" i="25"/>
  <c r="F1403" i="25"/>
  <c r="E1403" i="25"/>
  <c r="D1403" i="25"/>
  <c r="C1403" i="25"/>
  <c r="M1402" i="25"/>
  <c r="L1402" i="25"/>
  <c r="K1402" i="25"/>
  <c r="J1402" i="25"/>
  <c r="I1402" i="25"/>
  <c r="H1402" i="25"/>
  <c r="G1402" i="25"/>
  <c r="F1402" i="25"/>
  <c r="E1402" i="25"/>
  <c r="D1402" i="25"/>
  <c r="C1402" i="25"/>
  <c r="M1397" i="25"/>
  <c r="L1397" i="25"/>
  <c r="K1397" i="25"/>
  <c r="J1397" i="25"/>
  <c r="I1397" i="25"/>
  <c r="H1397" i="25"/>
  <c r="G1397" i="25"/>
  <c r="F1397" i="25"/>
  <c r="E1397" i="25"/>
  <c r="D1397" i="25"/>
  <c r="C1397" i="25"/>
  <c r="M1396" i="25"/>
  <c r="L1396" i="25"/>
  <c r="K1396" i="25"/>
  <c r="J1396" i="25"/>
  <c r="I1396" i="25"/>
  <c r="H1396" i="25"/>
  <c r="G1396" i="25"/>
  <c r="F1396" i="25"/>
  <c r="E1396" i="25"/>
  <c r="D1396" i="25"/>
  <c r="C1396" i="25"/>
  <c r="M1395" i="25"/>
  <c r="L1395" i="25"/>
  <c r="K1395" i="25"/>
  <c r="J1395" i="25"/>
  <c r="I1395" i="25"/>
  <c r="H1395" i="25"/>
  <c r="G1395" i="25"/>
  <c r="F1395" i="25"/>
  <c r="E1395" i="25"/>
  <c r="D1395" i="25"/>
  <c r="C1395" i="25"/>
  <c r="M1387" i="25"/>
  <c r="L1387" i="25"/>
  <c r="K1387" i="25"/>
  <c r="J1387" i="25"/>
  <c r="I1387" i="25"/>
  <c r="H1387" i="25"/>
  <c r="G1387" i="25"/>
  <c r="F1387" i="25"/>
  <c r="E1387" i="25"/>
  <c r="D1387" i="25"/>
  <c r="C1387" i="25"/>
  <c r="M1380" i="25"/>
  <c r="L1380" i="25"/>
  <c r="K1380" i="25"/>
  <c r="J1380" i="25"/>
  <c r="I1380" i="25"/>
  <c r="H1380" i="25"/>
  <c r="G1380" i="25"/>
  <c r="F1380" i="25"/>
  <c r="E1380" i="25"/>
  <c r="D1380" i="25"/>
  <c r="C1380" i="25"/>
  <c r="M1373" i="25"/>
  <c r="L1373" i="25"/>
  <c r="K1373" i="25"/>
  <c r="J1373" i="25"/>
  <c r="I1373" i="25"/>
  <c r="H1373" i="25"/>
  <c r="G1373" i="25"/>
  <c r="F1373" i="25"/>
  <c r="E1373" i="25"/>
  <c r="D1373" i="25"/>
  <c r="C1373" i="25"/>
  <c r="M1372" i="25"/>
  <c r="L1372" i="25"/>
  <c r="K1372" i="25"/>
  <c r="J1372" i="25"/>
  <c r="I1372" i="25"/>
  <c r="H1372" i="25"/>
  <c r="G1372" i="25"/>
  <c r="F1372" i="25"/>
  <c r="E1372" i="25"/>
  <c r="D1372" i="25"/>
  <c r="C1372" i="25"/>
  <c r="M1371" i="25"/>
  <c r="L1371" i="25"/>
  <c r="K1371" i="25"/>
  <c r="J1371" i="25"/>
  <c r="I1371" i="25"/>
  <c r="H1371" i="25"/>
  <c r="G1371" i="25"/>
  <c r="F1371" i="25"/>
  <c r="E1371" i="25"/>
  <c r="D1371" i="25"/>
  <c r="C1371" i="25"/>
  <c r="M1366" i="25"/>
  <c r="L1366" i="25"/>
  <c r="K1366" i="25"/>
  <c r="J1366" i="25"/>
  <c r="I1366" i="25"/>
  <c r="H1366" i="25"/>
  <c r="G1366" i="25"/>
  <c r="F1366" i="25"/>
  <c r="E1366" i="25"/>
  <c r="D1366" i="25"/>
  <c r="C1366" i="25"/>
  <c r="M1365" i="25"/>
  <c r="L1365" i="25"/>
  <c r="K1365" i="25"/>
  <c r="J1365" i="25"/>
  <c r="I1365" i="25"/>
  <c r="H1365" i="25"/>
  <c r="G1365" i="25"/>
  <c r="F1365" i="25"/>
  <c r="E1365" i="25"/>
  <c r="D1365" i="25"/>
  <c r="C1365" i="25"/>
  <c r="M1364" i="25"/>
  <c r="L1364" i="25"/>
  <c r="K1364" i="25"/>
  <c r="J1364" i="25"/>
  <c r="I1364" i="25"/>
  <c r="H1364" i="25"/>
  <c r="G1364" i="25"/>
  <c r="F1364" i="25"/>
  <c r="E1364" i="25"/>
  <c r="D1364" i="25"/>
  <c r="C1364" i="25"/>
  <c r="M1356" i="25"/>
  <c r="L1356" i="25"/>
  <c r="K1356" i="25"/>
  <c r="J1356" i="25"/>
  <c r="I1356" i="25"/>
  <c r="H1356" i="25"/>
  <c r="G1356" i="25"/>
  <c r="F1356" i="25"/>
  <c r="E1356" i="25"/>
  <c r="D1356" i="25"/>
  <c r="C1356" i="25"/>
  <c r="M1349" i="25"/>
  <c r="L1349" i="25"/>
  <c r="K1349" i="25"/>
  <c r="J1349" i="25"/>
  <c r="I1349" i="25"/>
  <c r="H1349" i="25"/>
  <c r="G1349" i="25"/>
  <c r="F1349" i="25"/>
  <c r="E1349" i="25"/>
  <c r="D1349" i="25"/>
  <c r="C1349" i="25"/>
  <c r="M1341" i="25"/>
  <c r="L1341" i="25"/>
  <c r="K1341" i="25"/>
  <c r="J1341" i="25"/>
  <c r="I1341" i="25"/>
  <c r="H1341" i="25"/>
  <c r="G1341" i="25"/>
  <c r="F1341" i="25"/>
  <c r="E1341" i="25"/>
  <c r="D1341" i="25"/>
  <c r="C1341" i="25"/>
  <c r="M1334" i="25"/>
  <c r="L1334" i="25"/>
  <c r="K1334" i="25"/>
  <c r="J1334" i="25"/>
  <c r="I1334" i="25"/>
  <c r="H1334" i="25"/>
  <c r="G1334" i="25"/>
  <c r="F1334" i="25"/>
  <c r="E1334" i="25"/>
  <c r="D1334" i="25"/>
  <c r="C1334" i="25"/>
  <c r="M1327" i="25"/>
  <c r="L1327" i="25"/>
  <c r="K1327" i="25"/>
  <c r="J1327" i="25"/>
  <c r="I1327" i="25"/>
  <c r="H1327" i="25"/>
  <c r="G1327" i="25"/>
  <c r="F1327" i="25"/>
  <c r="E1327" i="25"/>
  <c r="D1327" i="25"/>
  <c r="C1327" i="25"/>
  <c r="M1326" i="25"/>
  <c r="L1326" i="25"/>
  <c r="K1326" i="25"/>
  <c r="J1326" i="25"/>
  <c r="I1326" i="25"/>
  <c r="H1326" i="25"/>
  <c r="G1326" i="25"/>
  <c r="F1326" i="25"/>
  <c r="E1326" i="25"/>
  <c r="D1326" i="25"/>
  <c r="C1326" i="25"/>
  <c r="M1325" i="25"/>
  <c r="L1325" i="25"/>
  <c r="K1325" i="25"/>
  <c r="J1325" i="25"/>
  <c r="I1325" i="25"/>
  <c r="H1325" i="25"/>
  <c r="G1325" i="25"/>
  <c r="F1325" i="25"/>
  <c r="E1325" i="25"/>
  <c r="D1325" i="25"/>
  <c r="C1325" i="25"/>
  <c r="M1320" i="25"/>
  <c r="L1320" i="25"/>
  <c r="K1320" i="25"/>
  <c r="J1320" i="25"/>
  <c r="I1320" i="25"/>
  <c r="H1320" i="25"/>
  <c r="G1320" i="25"/>
  <c r="F1320" i="25"/>
  <c r="E1320" i="25"/>
  <c r="D1320" i="25"/>
  <c r="C1320" i="25"/>
  <c r="X1319" i="25"/>
  <c r="W1319" i="25"/>
  <c r="V1319" i="25"/>
  <c r="U1319" i="25"/>
  <c r="T1319" i="25"/>
  <c r="S1319" i="25"/>
  <c r="R1319" i="25"/>
  <c r="Q1319" i="25"/>
  <c r="P1319" i="25"/>
  <c r="O1319" i="25"/>
  <c r="N1319" i="25"/>
  <c r="M1319" i="25"/>
  <c r="L1319" i="25"/>
  <c r="K1319" i="25"/>
  <c r="J1319" i="25"/>
  <c r="I1319" i="25"/>
  <c r="H1319" i="25"/>
  <c r="G1319" i="25"/>
  <c r="F1319" i="25"/>
  <c r="E1319" i="25"/>
  <c r="D1319" i="25"/>
  <c r="C1319" i="25"/>
  <c r="X1318" i="25"/>
  <c r="W1318" i="25"/>
  <c r="V1318" i="25"/>
  <c r="U1318" i="25"/>
  <c r="T1318" i="25"/>
  <c r="S1318" i="25"/>
  <c r="R1318" i="25"/>
  <c r="Q1318" i="25"/>
  <c r="P1318" i="25"/>
  <c r="O1318" i="25"/>
  <c r="N1318" i="25"/>
  <c r="M1318" i="25"/>
  <c r="L1318" i="25"/>
  <c r="K1318" i="25"/>
  <c r="J1318" i="25"/>
  <c r="I1318" i="25"/>
  <c r="H1318" i="25"/>
  <c r="G1318" i="25"/>
  <c r="F1318" i="25"/>
  <c r="E1318" i="25"/>
  <c r="D1318" i="25"/>
  <c r="C1318" i="25"/>
  <c r="X1317" i="25"/>
  <c r="W1317" i="25"/>
  <c r="V1317" i="25"/>
  <c r="U1317" i="25"/>
  <c r="T1317" i="25"/>
  <c r="S1317" i="25"/>
  <c r="R1317" i="25"/>
  <c r="Q1317" i="25"/>
  <c r="P1317" i="25"/>
  <c r="O1317" i="25"/>
  <c r="N1317" i="25"/>
  <c r="M1309" i="25"/>
  <c r="L1309" i="25"/>
  <c r="K1309" i="25"/>
  <c r="J1309" i="25"/>
  <c r="I1309" i="25"/>
  <c r="H1309" i="25"/>
  <c r="G1309" i="25"/>
  <c r="F1309" i="25"/>
  <c r="E1309" i="25"/>
  <c r="D1309" i="25"/>
  <c r="C1309" i="25"/>
  <c r="M1302" i="25"/>
  <c r="L1302" i="25"/>
  <c r="K1302" i="25"/>
  <c r="J1302" i="25"/>
  <c r="I1302" i="25"/>
  <c r="H1302" i="25"/>
  <c r="G1302" i="25"/>
  <c r="F1302" i="25"/>
  <c r="E1302" i="25"/>
  <c r="D1302" i="25"/>
  <c r="C1302" i="25"/>
  <c r="M1266" i="25"/>
  <c r="L1266" i="25"/>
  <c r="K1266" i="25"/>
  <c r="J1266" i="25"/>
  <c r="I1266" i="25"/>
  <c r="H1266" i="25"/>
  <c r="G1266" i="25"/>
  <c r="F1266" i="25"/>
  <c r="E1266" i="25"/>
  <c r="D1266" i="25"/>
  <c r="C1266" i="25"/>
  <c r="M1265" i="25"/>
  <c r="L1265" i="25"/>
  <c r="K1265" i="25"/>
  <c r="J1265" i="25"/>
  <c r="I1265" i="25"/>
  <c r="H1265" i="25"/>
  <c r="G1265" i="25"/>
  <c r="F1265" i="25"/>
  <c r="E1265" i="25"/>
  <c r="D1265" i="25"/>
  <c r="C1265" i="25"/>
  <c r="M1264" i="25"/>
  <c r="L1264" i="25"/>
  <c r="K1264" i="25"/>
  <c r="J1264" i="25"/>
  <c r="I1264" i="25"/>
  <c r="H1264" i="25"/>
  <c r="G1264" i="25"/>
  <c r="F1264" i="25"/>
  <c r="E1264" i="25"/>
  <c r="D1264" i="25"/>
  <c r="C1264" i="25"/>
  <c r="M1263" i="25"/>
  <c r="L1263" i="25"/>
  <c r="K1263" i="25"/>
  <c r="J1263" i="25"/>
  <c r="I1263" i="25"/>
  <c r="H1263" i="25"/>
  <c r="G1263" i="25"/>
  <c r="F1263" i="25"/>
  <c r="E1263" i="25"/>
  <c r="D1263" i="25"/>
  <c r="C1263" i="25"/>
  <c r="M1259" i="25"/>
  <c r="L1259" i="25"/>
  <c r="K1259" i="25"/>
  <c r="J1259" i="25"/>
  <c r="I1259" i="25"/>
  <c r="H1259" i="25"/>
  <c r="G1259" i="25"/>
  <c r="F1259" i="25"/>
  <c r="E1259" i="25"/>
  <c r="D1259" i="25"/>
  <c r="C1259" i="25"/>
  <c r="M1258" i="25"/>
  <c r="L1258" i="25"/>
  <c r="K1258" i="25"/>
  <c r="J1258" i="25"/>
  <c r="I1258" i="25"/>
  <c r="H1258" i="25"/>
  <c r="G1258" i="25"/>
  <c r="F1258" i="25"/>
  <c r="E1258" i="25"/>
  <c r="D1258" i="25"/>
  <c r="C1258" i="25"/>
  <c r="M1257" i="25"/>
  <c r="L1257" i="25"/>
  <c r="K1257" i="25"/>
  <c r="J1257" i="25"/>
  <c r="I1257" i="25"/>
  <c r="H1257" i="25"/>
  <c r="G1257" i="25"/>
  <c r="F1257" i="25"/>
  <c r="E1257" i="25"/>
  <c r="D1257" i="25"/>
  <c r="C1257" i="25"/>
  <c r="M1256" i="25"/>
  <c r="L1256" i="25"/>
  <c r="K1256" i="25"/>
  <c r="J1256" i="25"/>
  <c r="I1256" i="25"/>
  <c r="H1256" i="25"/>
  <c r="G1256" i="25"/>
  <c r="F1256" i="25"/>
  <c r="E1256" i="25"/>
  <c r="D1256" i="25"/>
  <c r="C1256" i="25"/>
  <c r="O46" i="25"/>
  <c r="O45" i="25"/>
  <c r="Q44" i="25"/>
  <c r="R43" i="25"/>
  <c r="Q43" i="25"/>
  <c r="Q42" i="25"/>
  <c r="Q41" i="25"/>
  <c r="Q40" i="25"/>
  <c r="P40" i="25"/>
  <c r="O40" i="25"/>
  <c r="P38" i="25"/>
  <c r="O38" i="25"/>
  <c r="P37" i="25"/>
  <c r="P36" i="25"/>
  <c r="O36" i="25"/>
  <c r="P33" i="25"/>
  <c r="P32" i="25"/>
  <c r="C66" i="1" l="1"/>
  <c r="H77" i="1"/>
  <c r="H78" i="1" s="1"/>
  <c r="J40" i="5"/>
  <c r="F14" i="24"/>
  <c r="C25" i="24" l="1"/>
  <c r="C14" i="24"/>
  <c r="F13" i="24"/>
  <c r="C24" i="24"/>
  <c r="C18" i="24"/>
  <c r="G11" i="24"/>
  <c r="C23" i="24"/>
  <c r="C22" i="24"/>
  <c r="C17" i="24"/>
  <c r="C21" i="24"/>
  <c r="C27" i="24"/>
  <c r="C16" i="24"/>
  <c r="C20" i="24"/>
  <c r="C26" i="24"/>
  <c r="C15" i="24"/>
  <c r="C19" i="24"/>
  <c r="B72" i="1"/>
  <c r="B71" i="1"/>
  <c r="B70" i="1"/>
  <c r="B69" i="1"/>
  <c r="B68" i="1"/>
  <c r="D19" i="24" l="1"/>
  <c r="E19" i="24" s="1"/>
  <c r="D20" i="24"/>
  <c r="E20" i="24" s="1"/>
  <c r="I31" i="24"/>
  <c r="D27" i="24"/>
  <c r="E27" i="24" s="1"/>
  <c r="D17" i="24"/>
  <c r="E17" i="24" s="1"/>
  <c r="D23" i="24"/>
  <c r="E23" i="24" s="1"/>
  <c r="D24" i="24"/>
  <c r="E24" i="24" s="1"/>
  <c r="D15" i="24"/>
  <c r="E15" i="24" s="1"/>
  <c r="D26" i="24"/>
  <c r="E26" i="24" s="1"/>
  <c r="D16" i="24"/>
  <c r="E16" i="24" s="1"/>
  <c r="E21" i="24"/>
  <c r="D21" i="24"/>
  <c r="D22" i="24"/>
  <c r="E22" i="24" s="1"/>
  <c r="E18" i="24"/>
  <c r="D18" i="24"/>
  <c r="B73" i="1"/>
  <c r="D14" i="24"/>
  <c r="C28" i="24"/>
  <c r="C31" i="24" s="1"/>
  <c r="D25" i="24"/>
  <c r="E25" i="24"/>
  <c r="C32" i="24" l="1"/>
  <c r="D79" i="1"/>
  <c r="D42" i="24"/>
  <c r="D43" i="24" s="1"/>
  <c r="D28" i="24"/>
  <c r="D31" i="24" s="1"/>
  <c r="D32" i="24" s="1"/>
  <c r="E14" i="24"/>
  <c r="E28" i="24" s="1"/>
  <c r="E31" i="24" s="1"/>
  <c r="E32" i="24" s="1"/>
  <c r="J42" i="5" l="1"/>
  <c r="J44" i="5" s="1"/>
  <c r="D81" i="1"/>
</calcChain>
</file>

<file path=xl/sharedStrings.xml><?xml version="1.0" encoding="utf-8"?>
<sst xmlns="http://schemas.openxmlformats.org/spreadsheetml/2006/main" count="6514" uniqueCount="940">
  <si>
    <t>Abirhajira</t>
  </si>
  <si>
    <t>A) Residential</t>
  </si>
  <si>
    <t>Plot Grade</t>
  </si>
  <si>
    <t>Up to 200</t>
  </si>
  <si>
    <t>201 - 400</t>
  </si>
  <si>
    <t>401-600</t>
  </si>
  <si>
    <t>601-800</t>
  </si>
  <si>
    <t>801-1,000</t>
  </si>
  <si>
    <t>1,001-1,500</t>
  </si>
  <si>
    <t>1,501-2,000</t>
  </si>
  <si>
    <t>2,001-3,000</t>
  </si>
  <si>
    <t>3001-5000</t>
  </si>
  <si>
    <t>5,001-10,000</t>
  </si>
  <si>
    <t>≥10,001</t>
  </si>
  <si>
    <t>1st</t>
  </si>
  <si>
    <t>2nd</t>
  </si>
  <si>
    <t>3rd</t>
  </si>
  <si>
    <t>4th</t>
  </si>
  <si>
    <t>NOT APPLICABLE</t>
  </si>
  <si>
    <t>B) Commercial</t>
  </si>
  <si>
    <t>Adama</t>
  </si>
  <si>
    <t>Addis Zemen</t>
  </si>
  <si>
    <t>Adi Shehu</t>
  </si>
  <si>
    <t>Adigrat</t>
  </si>
  <si>
    <t>Adigudem</t>
  </si>
  <si>
    <t>Agaro</t>
  </si>
  <si>
    <t>Agula'e</t>
  </si>
  <si>
    <t>Ahse'a</t>
  </si>
  <si>
    <t>Aleta Wondo</t>
  </si>
  <si>
    <t>B)Commercial</t>
  </si>
  <si>
    <t>Amba Giyorgis</t>
  </si>
  <si>
    <t>Ambo</t>
  </si>
  <si>
    <t>Anger Gute</t>
  </si>
  <si>
    <t>Ayra</t>
  </si>
  <si>
    <t>Arba Minch</t>
  </si>
  <si>
    <t>Arbaya</t>
  </si>
  <si>
    <t>Asayta</t>
  </si>
  <si>
    <t>Assela</t>
  </si>
  <si>
    <t>Assosa</t>
  </si>
  <si>
    <t>A) Resdential</t>
  </si>
  <si>
    <t>Atsbi</t>
  </si>
  <si>
    <t>Awash Melkassa</t>
  </si>
  <si>
    <t>Axum</t>
  </si>
  <si>
    <t>Bahirdar</t>
  </si>
  <si>
    <t>B) Commerial</t>
  </si>
  <si>
    <t>Bako</t>
  </si>
  <si>
    <t>Resdential &amp; Commercial</t>
  </si>
  <si>
    <t>Begi</t>
  </si>
  <si>
    <t>Bale Goba</t>
  </si>
  <si>
    <t>Bale Robe</t>
  </si>
  <si>
    <t>Bati</t>
  </si>
  <si>
    <t>B)commercial</t>
  </si>
  <si>
    <t>Bekoji</t>
  </si>
  <si>
    <t>Bila</t>
  </si>
  <si>
    <t>Bishoftu</t>
  </si>
  <si>
    <t>Bizet</t>
  </si>
  <si>
    <t>Bonga</t>
  </si>
  <si>
    <t>Bule Hora</t>
  </si>
  <si>
    <t>Burayu (Anfo)</t>
  </si>
  <si>
    <t xml:space="preserve">Burayu </t>
  </si>
  <si>
    <t>Butajira</t>
  </si>
  <si>
    <t>Chagni</t>
  </si>
  <si>
    <t>Chiro</t>
  </si>
  <si>
    <t>Daye (Bensa)</t>
  </si>
  <si>
    <t>Debre Birhan</t>
  </si>
  <si>
    <t>Debre Markos</t>
  </si>
  <si>
    <t>Debre Tabor</t>
  </si>
  <si>
    <t>Dejen</t>
  </si>
  <si>
    <t>Dembecha</t>
  </si>
  <si>
    <t>Dembi Dollo</t>
  </si>
  <si>
    <t>Dera</t>
  </si>
  <si>
    <t>Desse</t>
  </si>
  <si>
    <t>Dilla</t>
  </si>
  <si>
    <t>Diredawa</t>
  </si>
  <si>
    <t>Dukem</t>
  </si>
  <si>
    <t>Durame</t>
  </si>
  <si>
    <t>Ebinat</t>
  </si>
  <si>
    <t>Edaga Hamus</t>
  </si>
  <si>
    <t>Enticho</t>
  </si>
  <si>
    <t>Eteya</t>
  </si>
  <si>
    <t>Fatsi</t>
  </si>
  <si>
    <t>Feresmay</t>
  </si>
  <si>
    <t>Finote selam</t>
  </si>
  <si>
    <t>Fireweini</t>
  </si>
  <si>
    <t>Fincha</t>
  </si>
  <si>
    <t>Fitche</t>
  </si>
  <si>
    <t>Gambela</t>
  </si>
  <si>
    <t>Gedo</t>
  </si>
  <si>
    <t>Gida</t>
  </si>
  <si>
    <t>Gelan</t>
  </si>
  <si>
    <t>Genda Wuha</t>
  </si>
  <si>
    <t>Genet Adebabay</t>
  </si>
  <si>
    <t>Gidami</t>
  </si>
  <si>
    <t>Resdential &amp;  Commercial</t>
  </si>
  <si>
    <t>Gijet</t>
  </si>
  <si>
    <t>Gilgelbeles</t>
  </si>
  <si>
    <t>Ghimbi</t>
  </si>
  <si>
    <t>Gondor</t>
  </si>
  <si>
    <t>Gore</t>
  </si>
  <si>
    <t>Guduru</t>
  </si>
  <si>
    <t>Guhala</t>
  </si>
  <si>
    <t>Guliso</t>
  </si>
  <si>
    <t>Residential &amp; Commercial</t>
  </si>
  <si>
    <t>Harar</t>
  </si>
  <si>
    <t>Hawassa</t>
  </si>
  <si>
    <t>Hawzen</t>
  </si>
  <si>
    <t>Hiwane</t>
  </si>
  <si>
    <t>Holeta</t>
  </si>
  <si>
    <t>Hossana</t>
  </si>
  <si>
    <t>Humera</t>
  </si>
  <si>
    <t>Jijiga</t>
  </si>
  <si>
    <t>Jimma</t>
  </si>
  <si>
    <t>Kimir Dingay</t>
  </si>
  <si>
    <t>kombolcha</t>
  </si>
  <si>
    <t>kombolcha New</t>
  </si>
  <si>
    <t>Korem</t>
  </si>
  <si>
    <t>Legetafo</t>
  </si>
  <si>
    <t>LEKU</t>
  </si>
  <si>
    <t>LIMMU</t>
  </si>
  <si>
    <t>A) RESIDENTIAL</t>
  </si>
  <si>
    <t>MAICHEW</t>
  </si>
  <si>
    <t>MAIKNETAL</t>
  </si>
  <si>
    <t>MAKSEGNIT</t>
  </si>
  <si>
    <t>MARAYA</t>
  </si>
  <si>
    <t>MASHA</t>
  </si>
  <si>
    <t>Mekele</t>
  </si>
  <si>
    <t>MEKI</t>
  </si>
  <si>
    <t>MEKONI</t>
  </si>
  <si>
    <t>MENDI</t>
  </si>
  <si>
    <t>METEHARA</t>
  </si>
  <si>
    <t>Mettu</t>
  </si>
  <si>
    <t>Mizan</t>
  </si>
  <si>
    <t>Moyale</t>
  </si>
  <si>
    <t>MODJO</t>
  </si>
  <si>
    <t>NAEDER ADET</t>
  </si>
  <si>
    <t>NEDJO</t>
  </si>
  <si>
    <t>NEGELLE BORENA</t>
  </si>
  <si>
    <t>NEKEMTE</t>
  </si>
  <si>
    <t>SAMRE</t>
  </si>
  <si>
    <t>SANJA</t>
  </si>
  <si>
    <t>SEBETA/ALEMGENA</t>
  </si>
  <si>
    <t>SEBETA/ALEMGENA(FURI)</t>
  </si>
  <si>
    <t>SELEKLEKA</t>
  </si>
  <si>
    <t>SENDAFA</t>
  </si>
  <si>
    <t>SHAMBU</t>
  </si>
  <si>
    <t>Shashemene</t>
  </si>
  <si>
    <t>SHERARO</t>
  </si>
  <si>
    <t>SHIRE ENDASILASSIE</t>
  </si>
  <si>
    <t>SIMADA</t>
  </si>
  <si>
    <t>SOROKA</t>
  </si>
  <si>
    <t>SULULTA</t>
  </si>
  <si>
    <t>Tepi</t>
  </si>
  <si>
    <t>TULU BOLO</t>
  </si>
  <si>
    <t>WOLLAYTA SODO</t>
  </si>
  <si>
    <t>WOLDIA</t>
  </si>
  <si>
    <t>WELENCHITI</t>
  </si>
  <si>
    <t>WOLISO</t>
  </si>
  <si>
    <t>Wolkite</t>
  </si>
  <si>
    <t>WERIELEKE</t>
  </si>
  <si>
    <t>WERKAMBA</t>
  </si>
  <si>
    <t>WUQRO</t>
  </si>
  <si>
    <t>YECHILA</t>
  </si>
  <si>
    <t>YIRGA CHEFE</t>
  </si>
  <si>
    <t>YIRGALEM</t>
  </si>
  <si>
    <t>ZWAY</t>
  </si>
  <si>
    <t>Ranges of Replacement cost rates for properties located in Addis Ababa</t>
  </si>
  <si>
    <t>Building Types</t>
  </si>
  <si>
    <t>Range of replacement cost rate</t>
  </si>
  <si>
    <t>Range used only for management purpose</t>
  </si>
  <si>
    <t>The diffrence</t>
  </si>
  <si>
    <t>Max</t>
  </si>
  <si>
    <t>Min</t>
  </si>
  <si>
    <t>Remark</t>
  </si>
  <si>
    <t>G+1 and G+2</t>
  </si>
  <si>
    <r>
      <rPr>
        <sz val="11"/>
        <color theme="1"/>
        <rFont val="Calibri"/>
        <charset val="134"/>
        <scheme val="minor"/>
      </rPr>
      <t>Birr/m</t>
    </r>
    <r>
      <rPr>
        <sz val="11"/>
        <color theme="1"/>
        <rFont val="Calibri"/>
        <charset val="134"/>
      </rPr>
      <t>²</t>
    </r>
  </si>
  <si>
    <t>G+3 and G+4</t>
  </si>
  <si>
    <t>G+5 and G+6</t>
  </si>
  <si>
    <t>G+7 and G+8</t>
  </si>
  <si>
    <t>G+9 and G+10</t>
  </si>
  <si>
    <t>G+11 to G+16</t>
  </si>
  <si>
    <t>G+17 to G+22</t>
  </si>
  <si>
    <t>G+23 and above</t>
  </si>
  <si>
    <t>Villa Higher</t>
  </si>
  <si>
    <t>Lower Villa</t>
  </si>
  <si>
    <t>Multipurpose Halls H&lt;= 4m</t>
  </si>
  <si>
    <t>H=4.5</t>
  </si>
  <si>
    <t>H=5.5</t>
  </si>
  <si>
    <r>
      <rPr>
        <sz val="11"/>
        <color theme="1"/>
        <rFont val="Calibri"/>
        <charset val="134"/>
        <scheme val="minor"/>
      </rPr>
      <t>Birr/m</t>
    </r>
    <r>
      <rPr>
        <sz val="11"/>
        <color theme="1"/>
        <rFont val="Calibri"/>
        <charset val="134"/>
      </rPr>
      <t>³</t>
    </r>
  </si>
  <si>
    <t>H=6.5</t>
  </si>
  <si>
    <t>H=7.5</t>
  </si>
  <si>
    <t>H=8.5</t>
  </si>
  <si>
    <t>H=10.5</t>
  </si>
  <si>
    <t>H=11.5</t>
  </si>
  <si>
    <t>ITEM NO.</t>
  </si>
  <si>
    <t>Building components</t>
  </si>
  <si>
    <t>Foundation</t>
  </si>
  <si>
    <t>Factors</t>
  </si>
  <si>
    <t xml:space="preserve">1.1 Earth Work But no cart away </t>
  </si>
  <si>
    <t>1.2 Earth Work Foundation &amp; cart away</t>
  </si>
  <si>
    <t>1.3 Earth Work Foundation, hardcore, mass concrete, stone masonry</t>
  </si>
  <si>
    <t>1.4 Earth Work Foundation, hardcore, mass concrete, stone masonry BGL &amp; AGL</t>
  </si>
  <si>
    <t>Structure</t>
  </si>
  <si>
    <t>Block Work (Internal)</t>
  </si>
  <si>
    <t>3.1 Chicka</t>
  </si>
  <si>
    <t>3.2 Poor Chika</t>
  </si>
  <si>
    <t>3.3 HCB but no R.C structure and plastering</t>
  </si>
  <si>
    <t>3.4 Stone masonry with cement-chicka mortar mix</t>
  </si>
  <si>
    <t>3.5 CIS Wall</t>
  </si>
  <si>
    <t>Block Work (External)</t>
  </si>
  <si>
    <t>4.1 Chicka</t>
  </si>
  <si>
    <t>4.2 Poor Chika</t>
  </si>
  <si>
    <t>4.3 HCB but no R.C structure and plastering</t>
  </si>
  <si>
    <t>4.4 Stone masonry with cement-chicka mortar mix</t>
  </si>
  <si>
    <t>4.5 CIS Wall</t>
  </si>
  <si>
    <t>Roofing</t>
  </si>
  <si>
    <t>5.1 CIS G-35 on wood</t>
  </si>
  <si>
    <t>5.2 CIS G-32 on wood</t>
  </si>
  <si>
    <t>5.3 CIS G-30  on wood</t>
  </si>
  <si>
    <t>Joinery</t>
  </si>
  <si>
    <t>6.1 Internal wooden door made of Low quality wood</t>
  </si>
  <si>
    <t>6.2 As item No.1 above but made of Poor Quality wood</t>
  </si>
  <si>
    <t>Metal Works</t>
  </si>
  <si>
    <t xml:space="preserve">7.1  LTZ or RHS </t>
  </si>
  <si>
    <t>Floor Finish</t>
  </si>
  <si>
    <t>8.1 Cement Screed</t>
  </si>
  <si>
    <t>8.2 Cement Tile</t>
  </si>
  <si>
    <t>8.3 Terrazzo</t>
  </si>
  <si>
    <t xml:space="preserve">8.4 Poor quality wooden </t>
  </si>
  <si>
    <t>Wall Finish (Internal)</t>
  </si>
  <si>
    <t xml:space="preserve">9.1 Pointed   HCB                              </t>
  </si>
  <si>
    <t>9.2 Painted</t>
  </si>
  <si>
    <t xml:space="preserve">9.3 Plastered </t>
  </si>
  <si>
    <t>9.4 Plastering &amp; Painting</t>
  </si>
  <si>
    <t>Wall Finish (External)</t>
  </si>
  <si>
    <t>10.1 Pointed HCB</t>
  </si>
  <si>
    <t>10.2 Painted</t>
  </si>
  <si>
    <t xml:space="preserve">10.3 Plastered </t>
  </si>
  <si>
    <t xml:space="preserve">10.4 Rendered </t>
  </si>
  <si>
    <t xml:space="preserve">10.5 Rendered &amp; Painted </t>
  </si>
  <si>
    <t xml:space="preserve">10.6 Ambo stone clad over ‘chicka’ wall </t>
  </si>
  <si>
    <t xml:space="preserve">10.7 Brick clad over ‘chicka’ wall </t>
  </si>
  <si>
    <t xml:space="preserve">10.8 Pointed Stone </t>
  </si>
  <si>
    <t>Ceiling Finish</t>
  </si>
  <si>
    <t xml:space="preserve">11.1 Hardboard not painted </t>
  </si>
  <si>
    <t>11.2 Abujedi not Painted</t>
  </si>
  <si>
    <t>11.3 Painting</t>
  </si>
  <si>
    <t xml:space="preserve">11.4 Plywood not painted </t>
  </si>
  <si>
    <t xml:space="preserve">11.5 Chip wood not painted </t>
  </si>
  <si>
    <t xml:space="preserve">Electrical </t>
  </si>
  <si>
    <t>12.1 Class A</t>
  </si>
  <si>
    <t>12.2 Class B</t>
  </si>
  <si>
    <t>12.3 Class C</t>
  </si>
  <si>
    <t>12.4 Class D</t>
  </si>
  <si>
    <t>12.5 Class E</t>
  </si>
  <si>
    <t>Factor sum</t>
  </si>
  <si>
    <t>Plinth Area/ Volumetric Rate (Ra=79.87flv+695.33)</t>
  </si>
  <si>
    <t>Depreciation %</t>
  </si>
  <si>
    <t xml:space="preserve">Plinth Area/ Volumetric </t>
  </si>
  <si>
    <t>Total</t>
  </si>
  <si>
    <t>1.1 Foundation Work in: Earthwortk,Hard-core,Mass concrete floor with C-15,Stone masnory AGL and BGL</t>
  </si>
  <si>
    <t>1.2 Foundation work as Item No.1 above but with mass concrete of higher class (c-20)</t>
  </si>
  <si>
    <t>1.3 Foundation work as Item No.2 above but with R.C. grade beam</t>
  </si>
  <si>
    <t>1.4 Foundation work as Item No.1 above but with R.C. floor slab and R.C grade beam</t>
  </si>
  <si>
    <t>1.4 Foundation work as Item No.4 above but with R.C. foundation column and R.C Footing</t>
  </si>
  <si>
    <t>2.1 Structure for mud and CIS-on- wooden walls</t>
  </si>
  <si>
    <t>2.2 .R.C structure (Elevation colums and tie beam)</t>
  </si>
  <si>
    <t>2.3 As item no.2 above but for R.C roof slab</t>
  </si>
  <si>
    <t xml:space="preserve">Block Work </t>
  </si>
  <si>
    <t>3.1 Internal</t>
  </si>
  <si>
    <t>3.1.1 Chicka</t>
  </si>
  <si>
    <t>3.1.2 CIS G-32</t>
  </si>
  <si>
    <t>3.1.3 CIS G-30</t>
  </si>
  <si>
    <t>3.1.4 CIS G-28</t>
  </si>
  <si>
    <t>3.1.5 HCB 15 cm thick</t>
  </si>
  <si>
    <t>3.1.6 Brick 12cm thick</t>
  </si>
  <si>
    <t>3.1.7 stone 40cm thick</t>
  </si>
  <si>
    <t>3.1.8 Chip wood-double</t>
  </si>
  <si>
    <t>3.1.9 Alumimium</t>
  </si>
  <si>
    <t>3.1.10 HCB 10 cm thick</t>
  </si>
  <si>
    <t>3.1.11 Hard board fixed to zigba frame (one face)</t>
  </si>
  <si>
    <t>3.1.12 Ditto as above but both side coverd</t>
  </si>
  <si>
    <t>3.2 External</t>
  </si>
  <si>
    <t>3.2.1 Chicka</t>
  </si>
  <si>
    <t>3.2.2 CIS G-32</t>
  </si>
  <si>
    <t>3.2.3 CIS G-30</t>
  </si>
  <si>
    <t>3.2.4 CIS G-28</t>
  </si>
  <si>
    <t>3.2.5 EGA on steel</t>
  </si>
  <si>
    <t>3.2.6 HCB 20 cm thick</t>
  </si>
  <si>
    <t>3.2.7 Brick 25cm thick</t>
  </si>
  <si>
    <t>3.2.8 stone 40cm thick</t>
  </si>
  <si>
    <t>3.2.9 stone 50cm thick</t>
  </si>
  <si>
    <t>3.2.10 Alumimium</t>
  </si>
  <si>
    <t>3.2.11 Curtin wall made with special frame &amp; 4mm cored polycarbonate treated against UV rail</t>
  </si>
  <si>
    <t>4.1 CIS G-32 on wood</t>
  </si>
  <si>
    <t>4.2 CIS G-30 on wood</t>
  </si>
  <si>
    <t>4.3 CIS G-28 on wood</t>
  </si>
  <si>
    <t>4.4 EGA on steel</t>
  </si>
  <si>
    <t xml:space="preserve">4.5 EGA on wood </t>
  </si>
  <si>
    <t>4.6 CIS G-28 on steel</t>
  </si>
  <si>
    <t>4.7 Cement roof tile</t>
  </si>
  <si>
    <t>4.8 R.C without water-proof material (Accessible)</t>
  </si>
  <si>
    <t>4.9 R.C without water-proof material (in Accessible)</t>
  </si>
  <si>
    <t>4.10 R.C with water-proof material (Accessible)</t>
  </si>
  <si>
    <t>4.11 R.C with water-proof material (in Accessible)</t>
  </si>
  <si>
    <t>4.11 Metal sheet roofing with sand coating on wood (Imported)</t>
  </si>
  <si>
    <t>4.12 Metal sheet roofing with sand coating on wood (local)</t>
  </si>
  <si>
    <t>4.13Metal sheet roofing with sand coating on steel (Imported)</t>
  </si>
  <si>
    <t>4.14 Metal sheet roofing with sand coating on steel (local)</t>
  </si>
  <si>
    <t>5.1 Internal wooden door made of Low quality wood</t>
  </si>
  <si>
    <t>5.2 As item No.1 above but made of medium Quality wood</t>
  </si>
  <si>
    <t>5.3 As item No.2 above but with built-in cup board</t>
  </si>
  <si>
    <t>5.4 As item No.1 above but made of Quality wood</t>
  </si>
  <si>
    <t>5.5 As item No.4 above but with built-in cup board</t>
  </si>
  <si>
    <t>5.6 As item No.1 above but made of best Quality wood</t>
  </si>
  <si>
    <t>5.7 As item No.6 above but with built-in cup board</t>
  </si>
  <si>
    <t>6.1 LTZ or RHS profile for external openings with clear glass</t>
  </si>
  <si>
    <t>6.2 LTZ with 4mm- frosted glass</t>
  </si>
  <si>
    <t>6.3 Ditto but with 4mm-tinted glass</t>
  </si>
  <si>
    <t>6.4 Ditto but with 6mm-tinted glass</t>
  </si>
  <si>
    <t>6.5 Secco profile for external openings with clear glass</t>
  </si>
  <si>
    <t>6.6 Secco with 4mm-frosted glass</t>
  </si>
  <si>
    <t>6.7 Ditto but with 4mm-tinted glass</t>
  </si>
  <si>
    <t>6.8 Ditto but with 6mm-tinted glass</t>
  </si>
  <si>
    <t>6.9 Imitation with clear glass</t>
  </si>
  <si>
    <t>6.10 Imitation with 4mm frosted glass</t>
  </si>
  <si>
    <t>6.11 Imitation with 4mm tinted glass</t>
  </si>
  <si>
    <t>6.12 Imitation with 6mm tinted glass</t>
  </si>
  <si>
    <t>6.13 Aluminium profile for external opening</t>
  </si>
  <si>
    <t>7.1 Cement Screed</t>
  </si>
  <si>
    <t>7.2 Cement Tile</t>
  </si>
  <si>
    <t>7.3 Terrazzo Tile</t>
  </si>
  <si>
    <t>7.4 PVC tile</t>
  </si>
  <si>
    <t>7.5 Ceramic medium quality Porcelain</t>
  </si>
  <si>
    <t xml:space="preserve">7.6 Ceramic best quality </t>
  </si>
  <si>
    <t>7.7 Porcelain</t>
  </si>
  <si>
    <t>7.8 Marble chip lower quality</t>
  </si>
  <si>
    <t>7.9 Marble chip best quality</t>
  </si>
  <si>
    <t>7.10 Harar marble</t>
  </si>
  <si>
    <t>7.11 Mankush marble</t>
  </si>
  <si>
    <t>7.12 Parquet lower quality on screed</t>
  </si>
  <si>
    <t>7.13 Parquet best quality on screed</t>
  </si>
  <si>
    <t>7.14 Parquet quality on screed</t>
  </si>
  <si>
    <t>7.15 Parquet medium quality on screed</t>
  </si>
  <si>
    <t>7.16 Parquet poor quality on wooden frame</t>
  </si>
  <si>
    <t>7.17 Granite</t>
  </si>
  <si>
    <t>7.18 Mosaic</t>
  </si>
  <si>
    <t>Wall Finish</t>
  </si>
  <si>
    <t xml:space="preserve"> 8.1 Internal</t>
  </si>
  <si>
    <t>8.1.1 plasterd</t>
  </si>
  <si>
    <t>8.1.2 Plasterd and painted</t>
  </si>
  <si>
    <t>8.1.3 Pointed HCB</t>
  </si>
  <si>
    <t xml:space="preserve">8.1.4 Pointed dressed stone </t>
  </si>
  <si>
    <t>8.1.5 Pointed brick</t>
  </si>
  <si>
    <t>8.1.6 Plasterd and Addis I wall paper</t>
  </si>
  <si>
    <t>8.1.7 Mosaic</t>
  </si>
  <si>
    <t>8.1.8a Imported, high quality ceramic</t>
  </si>
  <si>
    <t>8.1.8b Imported, quality ceramic</t>
  </si>
  <si>
    <t>8.1.8c Imported, medium quality ceramic</t>
  </si>
  <si>
    <t>8.1.8d Lower quality ceramic</t>
  </si>
  <si>
    <t>8.1.9 Pointed and painted HCB</t>
  </si>
  <si>
    <t>8.1.10 Pointed and painted Brick</t>
  </si>
  <si>
    <t>8.1.11 Harar marble</t>
  </si>
  <si>
    <t xml:space="preserve">8.1.12 Mankush marble </t>
  </si>
  <si>
    <t>8.1.13Timber</t>
  </si>
  <si>
    <t>8.1.14 Boka marble wall cladding</t>
  </si>
  <si>
    <t>8.1.15 Granite</t>
  </si>
  <si>
    <t>8.2 External</t>
  </si>
  <si>
    <t>8.2.1 Plastering</t>
  </si>
  <si>
    <t>8.2.2 Plasterd and painted</t>
  </si>
  <si>
    <t>8.2.3 Pointed HCB</t>
  </si>
  <si>
    <t>8.2.4 Pointed stone</t>
  </si>
  <si>
    <t>8.2.5 pointed brick cladding</t>
  </si>
  <si>
    <t>8.2.6 Not pointed brick cladding</t>
  </si>
  <si>
    <t>8.2.7 pointed ambo cladding</t>
  </si>
  <si>
    <t>8.2.8 Not pointed ambo cladding</t>
  </si>
  <si>
    <t>8.2.9 Dressed stone cladding</t>
  </si>
  <si>
    <t>8.2.10 pointing brick</t>
  </si>
  <si>
    <t xml:space="preserve">8.2.11 Rendred </t>
  </si>
  <si>
    <t>8.2.12 Rendred and painted</t>
  </si>
  <si>
    <t>8.2.13 Platered and Addis dicor wall paper</t>
  </si>
  <si>
    <t>8.2.14 Mosaic</t>
  </si>
  <si>
    <t>8.2.15a Best quality ceramic</t>
  </si>
  <si>
    <t>8.2.15b Quality ceramic</t>
  </si>
  <si>
    <t>8.2.15c Medium quality ceramic</t>
  </si>
  <si>
    <t>8.2.15d lower quality ceramic</t>
  </si>
  <si>
    <t>8.2.16 Pointing and painting HCB</t>
  </si>
  <si>
    <t>8.2.17 Pointing and painting Brick</t>
  </si>
  <si>
    <t>8.2.18 Harar marble</t>
  </si>
  <si>
    <t>8.2.19 Mankush marble</t>
  </si>
  <si>
    <t>8.2.20 Timber</t>
  </si>
  <si>
    <t>8.2.21 Granite</t>
  </si>
  <si>
    <t>8.2.22 Boka multi-color</t>
  </si>
  <si>
    <t>8.2.23 Quartize paint</t>
  </si>
  <si>
    <t>8.2.24Mineral paint</t>
  </si>
  <si>
    <t>8.2.25 Granite paint</t>
  </si>
  <si>
    <t xml:space="preserve">9.1 Adujedid painted </t>
  </si>
  <si>
    <t xml:space="preserve">9.2 Hard board paited </t>
  </si>
  <si>
    <t xml:space="preserve">9.3 Adujedid not painted </t>
  </si>
  <si>
    <t xml:space="preserve">9.4 Hard board not paited </t>
  </si>
  <si>
    <t>9.5 Chip wood not painted</t>
  </si>
  <si>
    <t>9.6 Chip wood painted</t>
  </si>
  <si>
    <t>9.7 Chip wood and addis décor</t>
  </si>
  <si>
    <t>9.8 Plastic panel</t>
  </si>
  <si>
    <t>9.9 Normal acoustic</t>
  </si>
  <si>
    <t>9.10 best acostic</t>
  </si>
  <si>
    <t>9.11 Aluminium</t>
  </si>
  <si>
    <t>9.12 Best quality parquet</t>
  </si>
  <si>
    <t>9.13 Medium quality parquet</t>
  </si>
  <si>
    <t>9.14 Gypsum board ceiling</t>
  </si>
  <si>
    <t>9.15 Platered</t>
  </si>
  <si>
    <t>9.16 Plasterd and Addis décor ceiling paper</t>
  </si>
  <si>
    <t>9.17 Plastred and painted</t>
  </si>
  <si>
    <t xml:space="preserve">9.18 Playwood </t>
  </si>
  <si>
    <t>9.19 Painted Playwood</t>
  </si>
  <si>
    <t>9.20 Ribbed sheet</t>
  </si>
  <si>
    <t>10.1 Low quality</t>
  </si>
  <si>
    <t>10.2 Medium quality</t>
  </si>
  <si>
    <t>10.3 Quality</t>
  </si>
  <si>
    <t>10.4 Best quality</t>
  </si>
  <si>
    <t>Sanitary instalation</t>
  </si>
  <si>
    <t>11.1 Low quality</t>
  </si>
  <si>
    <t>11.2 Medium quality</t>
  </si>
  <si>
    <t>11.3 Quality</t>
  </si>
  <si>
    <t>11.4 Best quality</t>
  </si>
  <si>
    <t>G+1 &amp; G+2</t>
  </si>
  <si>
    <t>G+3 &amp; G+4</t>
  </si>
  <si>
    <t>G+5 &amp; G+6</t>
  </si>
  <si>
    <t>G+7 &amp; G+8</t>
  </si>
  <si>
    <t>G+9 &amp; G+10</t>
  </si>
  <si>
    <t>G+23 &amp; Above</t>
  </si>
  <si>
    <t xml:space="preserve">1.1 Foundation </t>
  </si>
  <si>
    <t>2.1 .R.C structure (Elevation colums and suspended beam)</t>
  </si>
  <si>
    <t>3.1.1 HCB 15 cm thick</t>
  </si>
  <si>
    <t>3.1.2 Brick 12cm thick</t>
  </si>
  <si>
    <t>3.1.3 stone 40cm thick</t>
  </si>
  <si>
    <t>3.1.4 Chip wood-double</t>
  </si>
  <si>
    <t>3.1.5 Alumimium</t>
  </si>
  <si>
    <t>3.1.6 HCB 10 cm thick</t>
  </si>
  <si>
    <t>3.1.7 Magnesium/Gypsum Board</t>
  </si>
  <si>
    <t>3.2.1 HCB 20 cm thick</t>
  </si>
  <si>
    <t>3.2.2 Brick 25cm thick</t>
  </si>
  <si>
    <t>3.2.3 stone 40cm thick</t>
  </si>
  <si>
    <t>3.2.4 stone 50cm thick</t>
  </si>
  <si>
    <t>3.2.5 Alumimium</t>
  </si>
  <si>
    <t>3.2.6 Magnesium/Gypsum Board</t>
  </si>
  <si>
    <t>3.2.7 Curtin wall made with special frame &amp; 4mm cored polycarbonate treated against UV rail</t>
  </si>
  <si>
    <t>4.12 Metal sheet roofing with sand coating on wood (Imported)</t>
  </si>
  <si>
    <t>4.13 Metal sheet roofing with sand coating on wood (local)</t>
  </si>
  <si>
    <t>4.14 Metal sheet roofing with sand coating on steel (Imported)</t>
  </si>
  <si>
    <t>4.15 Metal sheet roofing with sand coating on steel (local)</t>
  </si>
  <si>
    <t>7.8 Mosaic</t>
  </si>
  <si>
    <t>7.9 Marble chip lower quality</t>
  </si>
  <si>
    <t>7.10 Marble chip best quality</t>
  </si>
  <si>
    <t>7.11 Harar marble</t>
  </si>
  <si>
    <t>7.12 Mankush marble</t>
  </si>
  <si>
    <t>7.13 Parquet lower quality on screed</t>
  </si>
  <si>
    <t>7.14 Parquet best quality on screed</t>
  </si>
  <si>
    <t>7.15 Parquet quality on screed</t>
  </si>
  <si>
    <t>7.16 Parquet medium quality on screed</t>
  </si>
  <si>
    <t>7.17 Parquet poor quality on wooden frame</t>
  </si>
  <si>
    <t>7.18 Granite</t>
  </si>
  <si>
    <t>8.2.2 Plastering and painting</t>
  </si>
  <si>
    <t>8.2.5 Pointed ambo cladding</t>
  </si>
  <si>
    <t>8.2.6 Not pointed ambo cladding</t>
  </si>
  <si>
    <t>8.2.7 Dressed stone cladding</t>
  </si>
  <si>
    <t>8.2.8  pointed brick cladding</t>
  </si>
  <si>
    <t xml:space="preserve">8.2.9 Rendred </t>
  </si>
  <si>
    <t>8.2.10 Rendred and painted</t>
  </si>
  <si>
    <t>8.2.11 Platered and Addis dicor wall paper</t>
  </si>
  <si>
    <t>8.2.12 Mosaic</t>
  </si>
  <si>
    <t>8.2.13a Best quality ceramic</t>
  </si>
  <si>
    <t>8.2.13b Quality ceramic</t>
  </si>
  <si>
    <t>8.2.13c Medium quality ceramic</t>
  </si>
  <si>
    <t>8.2.13d lower quality ceramic</t>
  </si>
  <si>
    <t>8.2.14 Pointing and painting HCB</t>
  </si>
  <si>
    <t>8.2.15 Pointing and painting Brick</t>
  </si>
  <si>
    <t>8.2.16 Harar marble</t>
  </si>
  <si>
    <t>8.2.17 Mankush marble</t>
  </si>
  <si>
    <t>8.2.18 Timber</t>
  </si>
  <si>
    <t>8.2.19 Granite</t>
  </si>
  <si>
    <t>8.2.20 Quartize paint</t>
  </si>
  <si>
    <t>8.2.21 Mineral paint</t>
  </si>
  <si>
    <t>8.2.22 Granite paint</t>
  </si>
  <si>
    <t>9.8 Addis décor plastic panel</t>
  </si>
  <si>
    <t>9.11 Aluminium strip</t>
  </si>
  <si>
    <t>Handrail and Balutrade</t>
  </si>
  <si>
    <t>10.1 RHS</t>
  </si>
  <si>
    <t>10.2 RHS and wood member</t>
  </si>
  <si>
    <t>10.3 Best quality wood</t>
  </si>
  <si>
    <t>10.4 Aluminium</t>
  </si>
  <si>
    <t>Grand Total</t>
  </si>
  <si>
    <t>H</t>
  </si>
  <si>
    <t>&lt;=</t>
  </si>
  <si>
    <t>=</t>
  </si>
  <si>
    <t>1.1 Foundation only earthwork</t>
  </si>
  <si>
    <t xml:space="preserve">1.2 a. Earthwortk and masnory </t>
  </si>
  <si>
    <t>1.2 b.  AGL and BGL</t>
  </si>
  <si>
    <t>1.3 Foundation work in</t>
  </si>
  <si>
    <t>1.3a. Earthwork</t>
  </si>
  <si>
    <t>1.3b. Hard rock</t>
  </si>
  <si>
    <t>1.3c. Mass concrete floor slab</t>
  </si>
  <si>
    <t>1.3d. R.C grade beam</t>
  </si>
  <si>
    <t>1.3e. Masnory BGL and AGL</t>
  </si>
  <si>
    <t>1.4 As item No.3 above but with R.C floor slab</t>
  </si>
  <si>
    <t>1.5 As item no 4 above but with R.C footing and foundation column</t>
  </si>
  <si>
    <t>1.6 As item no 5 above but for R.C roof slab</t>
  </si>
  <si>
    <t>2.1 .R.C structure (Elevation colums and tie beam)</t>
  </si>
  <si>
    <t>2.2 As item no.2 above but for R.C roof slab</t>
  </si>
  <si>
    <t>2.3 Steel structure (R.H.S)</t>
  </si>
  <si>
    <t>3.1. see the methodology disscused on page 15</t>
  </si>
  <si>
    <t>3.2.1 Mud</t>
  </si>
  <si>
    <t>3.2.2 CIS G-28</t>
  </si>
  <si>
    <t>3.2.4 CIS G-32</t>
  </si>
  <si>
    <t>4.8 R.C without water-proof material</t>
  </si>
  <si>
    <t xml:space="preserve">4.9 R.C with water-proof material </t>
  </si>
  <si>
    <t>5.1  Low quality wood External</t>
  </si>
  <si>
    <t>5.2 medium Quality wood ,External</t>
  </si>
  <si>
    <t>5.3 Quality external</t>
  </si>
  <si>
    <t>5.4 Best quality wood external</t>
  </si>
  <si>
    <t>6.2 Ditto above but with 4mm- frosted glass</t>
  </si>
  <si>
    <t>6.3 Ditto but with 4mm-clear glass</t>
  </si>
  <si>
    <t>6.5 Secco with 4mm-frosted glass</t>
  </si>
  <si>
    <t>6.6 Ditto but with 4mm-tinted glass</t>
  </si>
  <si>
    <t>6.7 Ditto but with 6mm-tinted glass</t>
  </si>
  <si>
    <t>6.8 Ditto as above but aluminium</t>
  </si>
  <si>
    <t>7.7 Marble chip lower quality</t>
  </si>
  <si>
    <t>7.8 Marble chip best quality</t>
  </si>
  <si>
    <t>7.9 Harar marble</t>
  </si>
  <si>
    <t>7.10 Mankush marble</t>
  </si>
  <si>
    <t>7.11 Parquet best quality on screed</t>
  </si>
  <si>
    <t>7.12 Parquet quality on screed</t>
  </si>
  <si>
    <t>7.13 Parquet medium quality on screed</t>
  </si>
  <si>
    <t>7.14 Parquet poor quality on wooden frame</t>
  </si>
  <si>
    <t>7.15 Granite</t>
  </si>
  <si>
    <t>8.1.14 Granite</t>
  </si>
  <si>
    <t xml:space="preserve">8.1.15 Boka marble </t>
  </si>
  <si>
    <t>8.2.5 pointed ambo cladding</t>
  </si>
  <si>
    <t>8.2.8 pointing brick</t>
  </si>
  <si>
    <t>9.8 addis décor Plastic panel</t>
  </si>
  <si>
    <t>9.14 Platered</t>
  </si>
  <si>
    <t>9.15 Plasterd and Addis décor ceiling paper</t>
  </si>
  <si>
    <t>9.16 Plastred and painted</t>
  </si>
  <si>
    <t xml:space="preserve">9.17 Playwood </t>
  </si>
  <si>
    <t>9.18 Painted Playwood</t>
  </si>
  <si>
    <t>No</t>
  </si>
  <si>
    <t>Plot grade</t>
  </si>
  <si>
    <t>1-1b</t>
  </si>
  <si>
    <t>1-1a</t>
  </si>
  <si>
    <t>1-1</t>
  </si>
  <si>
    <t>1-2</t>
  </si>
  <si>
    <t>2-1</t>
  </si>
  <si>
    <t>1-3</t>
  </si>
  <si>
    <t>2-2</t>
  </si>
  <si>
    <t>3-1</t>
  </si>
  <si>
    <t>2-3</t>
  </si>
  <si>
    <t>3-2</t>
  </si>
  <si>
    <t>4-1</t>
  </si>
  <si>
    <t>3-3</t>
  </si>
  <si>
    <t>4-2</t>
  </si>
  <si>
    <t>4-3</t>
  </si>
  <si>
    <t>4-4</t>
  </si>
  <si>
    <t>hawine mulugeta</t>
  </si>
  <si>
    <t>0-100</t>
  </si>
  <si>
    <t>101-200</t>
  </si>
  <si>
    <t>201-300</t>
  </si>
  <si>
    <t>301-400</t>
  </si>
  <si>
    <t>401-500</t>
  </si>
  <si>
    <t>501-600</t>
  </si>
  <si>
    <t>601-700</t>
  </si>
  <si>
    <t>701-800</t>
  </si>
  <si>
    <t>801-900</t>
  </si>
  <si>
    <t>901-1000</t>
  </si>
  <si>
    <t>1001-1100</t>
  </si>
  <si>
    <t>1101-1200</t>
  </si>
  <si>
    <t>1201-1300</t>
  </si>
  <si>
    <t>1301-1400</t>
  </si>
  <si>
    <t>1401-1500</t>
  </si>
  <si>
    <t>1501-1600</t>
  </si>
  <si>
    <t>1601-1700</t>
  </si>
  <si>
    <t>1701-1800</t>
  </si>
  <si>
    <t>1801-1900</t>
  </si>
  <si>
    <t>1901-2000</t>
  </si>
  <si>
    <t>2001-2500</t>
  </si>
  <si>
    <t>2501-10000</t>
  </si>
  <si>
    <t>10001-20000</t>
  </si>
  <si>
    <t>20001-40000</t>
  </si>
  <si>
    <t>40001-70000</t>
  </si>
  <si>
    <t>&gt;70000</t>
  </si>
  <si>
    <t>Architectural</t>
  </si>
  <si>
    <t>Structural</t>
  </si>
  <si>
    <t>Electrical</t>
  </si>
  <si>
    <t>Sanitary</t>
  </si>
  <si>
    <t>Specification and Bill of quantity</t>
  </si>
  <si>
    <t>Water Supply &amp; Drain Line</t>
  </si>
  <si>
    <t>Septic tank</t>
  </si>
  <si>
    <t>Intake line &amp; man holes</t>
  </si>
  <si>
    <t>Compound lighting</t>
  </si>
  <si>
    <t>Location value</t>
  </si>
  <si>
    <t>Property location</t>
  </si>
  <si>
    <t>City</t>
  </si>
  <si>
    <t>A.A</t>
  </si>
  <si>
    <t>Sub city</t>
  </si>
  <si>
    <t>Nifas Silk</t>
  </si>
  <si>
    <t>Worda</t>
  </si>
  <si>
    <t>Plot Area</t>
  </si>
  <si>
    <t>Location Value</t>
  </si>
  <si>
    <t xml:space="preserve">Total lease amount </t>
  </si>
  <si>
    <t xml:space="preserve">Paid up Lease amount </t>
  </si>
  <si>
    <t xml:space="preserve">Remaining lease amount </t>
  </si>
  <si>
    <t xml:space="preserve">Location Value  </t>
  </si>
  <si>
    <t>Location value in previous Estimation</t>
  </si>
  <si>
    <t xml:space="preserve">Location value Considered </t>
  </si>
  <si>
    <t>Internal structure</t>
  </si>
  <si>
    <t>External sanitary work</t>
  </si>
  <si>
    <t>For A =</t>
  </si>
  <si>
    <t>% X</t>
  </si>
  <si>
    <t>Birr</t>
  </si>
  <si>
    <t>Capacity =</t>
  </si>
  <si>
    <t>m3</t>
  </si>
  <si>
    <t>y=3064X+23793 =&gt;</t>
  </si>
  <si>
    <t>Capacity Factor =</t>
  </si>
  <si>
    <t>Total External sanitary work</t>
  </si>
  <si>
    <t>External Electric work</t>
  </si>
  <si>
    <t>Floor area (M2)</t>
  </si>
  <si>
    <t>Total Percentage</t>
  </si>
  <si>
    <t>Water Tank &amp; stand</t>
  </si>
  <si>
    <t xml:space="preserve">External Electric and sanitary work </t>
  </si>
  <si>
    <t>Consultancy fee</t>
  </si>
  <si>
    <t xml:space="preserve">Project Cost </t>
  </si>
  <si>
    <t>Including Design  &amp; Supervision</t>
  </si>
  <si>
    <t>Total Consultancy Fee</t>
  </si>
  <si>
    <t>Building Cost</t>
  </si>
  <si>
    <t>Internal Structure</t>
  </si>
  <si>
    <t>External Elecrical &amp; Sanitary Works</t>
  </si>
  <si>
    <t>Fence &amp; compound =</t>
  </si>
  <si>
    <t>Consultancy Service</t>
  </si>
  <si>
    <t>Total Estimate =</t>
  </si>
  <si>
    <t>Fence Work</t>
  </si>
  <si>
    <t>Item</t>
  </si>
  <si>
    <t>Description</t>
  </si>
  <si>
    <t>Unit</t>
  </si>
  <si>
    <t>Quantity</t>
  </si>
  <si>
    <t>new</t>
  </si>
  <si>
    <t>New Rate</t>
  </si>
  <si>
    <t>Amount</t>
  </si>
  <si>
    <t>Stone masonry fence, semi-dressed</t>
  </si>
  <si>
    <t>Left for finishing</t>
  </si>
  <si>
    <r>
      <rPr>
        <sz val="12"/>
        <rFont val="Cambria"/>
        <charset val="134"/>
      </rPr>
      <t>m</t>
    </r>
    <r>
      <rPr>
        <vertAlign val="superscript"/>
        <sz val="10"/>
        <rFont val="Cambria"/>
        <charset val="134"/>
      </rPr>
      <t>3</t>
    </r>
  </si>
  <si>
    <t>One side pointed</t>
  </si>
  <si>
    <t>Two sides pointed</t>
  </si>
  <si>
    <t>One sides plastered</t>
  </si>
  <si>
    <t>Two side plastered</t>
  </si>
  <si>
    <t>One side rendered</t>
  </si>
  <si>
    <t>Two sides rendered</t>
  </si>
  <si>
    <t>Painting (add to the above fence work if there is any)</t>
  </si>
  <si>
    <r>
      <rPr>
        <sz val="12"/>
        <rFont val="Cambria"/>
        <charset val="134"/>
      </rPr>
      <t>m</t>
    </r>
    <r>
      <rPr>
        <vertAlign val="superscript"/>
        <sz val="10"/>
        <rFont val="Cambria"/>
        <charset val="134"/>
      </rPr>
      <t>2</t>
    </r>
  </si>
  <si>
    <t>Stone masonry fence well dressed</t>
  </si>
  <si>
    <t xml:space="preserve">One side pointed </t>
  </si>
  <si>
    <t xml:space="preserve">Foundation (Add on the above fence work) </t>
  </si>
  <si>
    <t>ml</t>
  </si>
  <si>
    <t>HCB fence</t>
  </si>
  <si>
    <t>One side plastered</t>
  </si>
  <si>
    <t>Painting (Add the unit price on the above finishing if there are any)</t>
  </si>
  <si>
    <t>Brick fence (25cm thick)</t>
  </si>
  <si>
    <t>Two sides plastered</t>
  </si>
  <si>
    <t>Brick fence (12cm)</t>
  </si>
  <si>
    <t>Painting (add to the above fence work)</t>
  </si>
  <si>
    <t>Hydra foam Fence (12cm)</t>
  </si>
  <si>
    <t>Hydra foam Fence (14cm)</t>
  </si>
  <si>
    <t>Metal grill</t>
  </si>
  <si>
    <t>RHS metal grill fence</t>
  </si>
  <si>
    <t>Main gate with metal sheet</t>
  </si>
  <si>
    <t>Main gate with RHS grill structure</t>
  </si>
  <si>
    <t>Decorated gates with RHS grill structure and metal sheet</t>
  </si>
  <si>
    <t>Securty Wire</t>
  </si>
  <si>
    <t>Total Fence Work</t>
  </si>
  <si>
    <t>Compound Work</t>
  </si>
  <si>
    <t>Rate</t>
  </si>
  <si>
    <t>7cm-thick red ash pavement</t>
  </si>
  <si>
    <t>5cm-thick gravel pavement</t>
  </si>
  <si>
    <t>Roughly dressed stone pavement</t>
  </si>
  <si>
    <t xml:space="preserve">Asphalt </t>
  </si>
  <si>
    <t>10cm thick C-15 concrete pavement</t>
  </si>
  <si>
    <t>Ditto but RC pavement</t>
  </si>
  <si>
    <t>Checkered tile with 15cm thick RC slab</t>
  </si>
  <si>
    <t>Checkered tile with mass concrete</t>
  </si>
  <si>
    <t>Best Quality marble chips with RC concrete</t>
  </si>
  <si>
    <t>Harar marble chips with RC concrete</t>
  </si>
  <si>
    <t>Terrazzo tile with RC concrete</t>
  </si>
  <si>
    <t>Ditto but with mass concrete</t>
  </si>
  <si>
    <t>Ceramic tile with RC concrete</t>
  </si>
  <si>
    <t>Ditto but with mass concrete.</t>
  </si>
  <si>
    <t>Cement tile with RC concrete</t>
  </si>
  <si>
    <t>Concrete Curb Stone</t>
  </si>
  <si>
    <t>Total Compound Work</t>
  </si>
  <si>
    <t>Total Fence &amp; Compound Work</t>
  </si>
  <si>
    <t xml:space="preserve"> WATER TANKS AND SUPPORTS</t>
  </si>
  <si>
    <t>1.0 Water tanks</t>
  </si>
  <si>
    <t>1.1 Plastic Water Tanks</t>
  </si>
  <si>
    <t>Item No.</t>
  </si>
  <si>
    <t>Capacity ( litters)</t>
  </si>
  <si>
    <t>unit</t>
  </si>
  <si>
    <t xml:space="preserve">new </t>
  </si>
  <si>
    <t>pcs</t>
  </si>
  <si>
    <t>1.2 Fiberglass Water Tanks</t>
  </si>
  <si>
    <t>1.3 Metal Water Tanks</t>
  </si>
  <si>
    <t>1.4 Aluminum Water Tanks</t>
  </si>
  <si>
    <t>1.5 Stainless steel water tank</t>
  </si>
  <si>
    <t>2. Water Tank Supports</t>
  </si>
  <si>
    <t>Steel supports of water tanks</t>
  </si>
  <si>
    <t>for 1m3 tank</t>
  </si>
  <si>
    <t>for 2m3 tank</t>
  </si>
  <si>
    <t>for 3m3 tank</t>
  </si>
  <si>
    <t xml:space="preserve"> for 4m3 tank.</t>
  </si>
  <si>
    <t xml:space="preserve">Concrete water tank support of 1m3 tanker </t>
  </si>
  <si>
    <t>Total water tank cost</t>
  </si>
  <si>
    <t xml:space="preserve"> Cost  of Steam bath, sauna and Jacuzzi</t>
  </si>
  <si>
    <t>Fixture Type</t>
  </si>
  <si>
    <t>Jacuzzi STANDARD</t>
  </si>
  <si>
    <t>Steam&amp; Jaccuzzi together</t>
  </si>
  <si>
    <t>Steam &amp; Shower (single)</t>
  </si>
  <si>
    <t>Total steam bath, sauna and jacuzzi</t>
  </si>
  <si>
    <t>Internal Structures</t>
  </si>
  <si>
    <t>Shear wall or similar structures</t>
  </si>
  <si>
    <r>
      <rPr>
        <sz val="12"/>
        <rFont val="Cambria"/>
        <charset val="134"/>
      </rPr>
      <t>m</t>
    </r>
    <r>
      <rPr>
        <vertAlign val="superscript"/>
        <sz val="12"/>
        <rFont val="Cambria"/>
        <charset val="134"/>
      </rPr>
      <t>2</t>
    </r>
  </si>
  <si>
    <t>Internal masonry foundation</t>
  </si>
  <si>
    <t>Footing foundation</t>
  </si>
  <si>
    <t>Suspended slab(multi-purpose hall)</t>
  </si>
  <si>
    <t>Suspended beam &amp; column</t>
  </si>
  <si>
    <t xml:space="preserve"> suspended RC parking &amp; ramp</t>
  </si>
  <si>
    <t>Elevator-1</t>
  </si>
  <si>
    <t>Elevator-2</t>
  </si>
  <si>
    <t>Elevator-3</t>
  </si>
  <si>
    <t>Stone masonry wall, semi-dressed</t>
  </si>
  <si>
    <r>
      <rPr>
        <sz val="12"/>
        <rFont val="Cambria"/>
        <charset val="134"/>
      </rPr>
      <t>m</t>
    </r>
    <r>
      <rPr>
        <vertAlign val="superscript"/>
        <sz val="12"/>
        <rFont val="Cambria"/>
        <charset val="134"/>
      </rPr>
      <t>3</t>
    </r>
  </si>
  <si>
    <t>Stone masonry wall well dressed</t>
  </si>
  <si>
    <t>One side pointed (Dressed Stone Pointed)</t>
  </si>
  <si>
    <t>HCB wall</t>
  </si>
  <si>
    <t>Painting (Add this unit price to the above finishing if there are any)</t>
  </si>
  <si>
    <t>Brick wall (25cm thick)</t>
  </si>
  <si>
    <t>Brick wall (12cm)</t>
  </si>
  <si>
    <t>CIS wall</t>
  </si>
  <si>
    <t>Total Steam bath… &amp; InternalStructures cost</t>
  </si>
  <si>
    <t>ዘምዘም ባንክ አ.ማ</t>
  </si>
  <si>
    <t>ZAMZAM BANK S.C</t>
  </si>
  <si>
    <t>PROPERTY ESTIMATIONFORM FOR GENERAL LOANS</t>
  </si>
  <si>
    <t>Branch</t>
  </si>
  <si>
    <t>Date</t>
  </si>
  <si>
    <t>2/7/2026</t>
  </si>
  <si>
    <t xml:space="preserve">Applicant's Name </t>
  </si>
  <si>
    <t>Fatuma Meketel</t>
  </si>
  <si>
    <t>Address: Town</t>
  </si>
  <si>
    <t xml:space="preserve">Answered </t>
  </si>
  <si>
    <t>_____________</t>
  </si>
  <si>
    <t>Kebele</t>
  </si>
  <si>
    <t xml:space="preserve"> House No.  _____________</t>
  </si>
  <si>
    <t>P.O.Box ____________________     Tel. No. ___________________</t>
  </si>
  <si>
    <r>
      <rPr>
        <b/>
        <sz val="12"/>
        <color theme="1"/>
        <rFont val="Cambria"/>
        <charset val="134"/>
        <scheme val="major"/>
      </rPr>
      <t xml:space="preserve">Property of  </t>
    </r>
  </si>
  <si>
    <t>Kalsumo Mahamud</t>
  </si>
  <si>
    <t xml:space="preserve">Ownership C/No. </t>
  </si>
  <si>
    <t>28926/18</t>
  </si>
  <si>
    <t xml:space="preserve">Location: Town </t>
  </si>
  <si>
    <t>S/City</t>
  </si>
  <si>
    <t>House No.</t>
  </si>
  <si>
    <t xml:space="preserve">Area of Compound </t>
  </si>
  <si>
    <t xml:space="preserve">Sq. m.   </t>
  </si>
  <si>
    <t xml:space="preserve">Paved in </t>
  </si>
  <si>
    <t>Asphalt</t>
  </si>
  <si>
    <t xml:space="preserve">Land Mark </t>
  </si>
  <si>
    <t>Gravel</t>
  </si>
  <si>
    <t>Distance from the main road______</t>
  </si>
  <si>
    <t>Type of access road to site________</t>
  </si>
  <si>
    <t>Cobble</t>
  </si>
  <si>
    <r>
      <rPr>
        <sz val="12"/>
        <color theme="1"/>
        <rFont val="Cambria"/>
        <charset val="134"/>
        <scheme val="major"/>
      </rPr>
      <t>Property owner address</t>
    </r>
    <r>
      <rPr>
        <sz val="12"/>
        <color theme="1"/>
        <rFont val="Cambria"/>
        <charset val="134"/>
        <scheme val="major"/>
      </rPr>
      <t>: Town ______________ Answered _________ Kebele _____________________</t>
    </r>
  </si>
  <si>
    <t>House No. _______________ Tel. No. ___________________</t>
  </si>
  <si>
    <t>ANALYSIS OF NEIGHBORHOOD</t>
  </si>
  <si>
    <t>a) General Use</t>
  </si>
  <si>
    <t xml:space="preserve">  Industrial  </t>
  </si>
  <si>
    <t xml:space="preserve">Residential            </t>
  </si>
  <si>
    <t xml:space="preserve"> Others</t>
  </si>
  <si>
    <t>b) Marketability</t>
  </si>
  <si>
    <t>Marketable</t>
  </si>
  <si>
    <t>c) Standard of Housing</t>
  </si>
  <si>
    <t>V.good</t>
  </si>
  <si>
    <t>d) Development State</t>
  </si>
  <si>
    <t>Developing</t>
  </si>
  <si>
    <t>e) Future Tendency</t>
  </si>
  <si>
    <t>Promising</t>
  </si>
  <si>
    <t>f) Transportation facilities</t>
  </si>
  <si>
    <t>Accessible</t>
  </si>
  <si>
    <t>g) Utilities</t>
  </si>
  <si>
    <t>Available</t>
  </si>
  <si>
    <r>
      <rPr>
        <b/>
        <sz val="12"/>
        <color theme="1"/>
        <rFont val="Cambria"/>
        <charset val="134"/>
        <scheme val="major"/>
      </rPr>
      <t>DESCRIPTION OF PROPERTY</t>
    </r>
    <r>
      <rPr>
        <sz val="12"/>
        <color theme="1"/>
        <rFont val="Cambria"/>
        <charset val="134"/>
        <scheme val="major"/>
      </rPr>
      <t xml:space="preserve"> Construction permit No. </t>
    </r>
  </si>
  <si>
    <t>Approved</t>
  </si>
  <si>
    <t>Date _______________</t>
  </si>
  <si>
    <t>Number of house on site (Servant's quarters and garage to be indicated separately)</t>
  </si>
  <si>
    <t>a)</t>
  </si>
  <si>
    <t>Main House</t>
  </si>
  <si>
    <t>Length</t>
  </si>
  <si>
    <t xml:space="preserve">Mts. X Breadth                      </t>
  </si>
  <si>
    <t>b)</t>
  </si>
  <si>
    <t>Fence</t>
  </si>
  <si>
    <t>c)</t>
  </si>
  <si>
    <t>Compound</t>
  </si>
  <si>
    <t>WALLS</t>
  </si>
  <si>
    <t xml:space="preserve">HCB                            </t>
  </si>
  <si>
    <t>ROOF</t>
  </si>
  <si>
    <t xml:space="preserve">Metal Sheet                       </t>
  </si>
  <si>
    <t>FLOORS</t>
  </si>
  <si>
    <t xml:space="preserve">Tiles                        </t>
  </si>
  <si>
    <t>LIGHTING SYSTEM</t>
  </si>
  <si>
    <t xml:space="preserve">Electrical                        </t>
  </si>
  <si>
    <t>DOORS &amp; WINDOWS</t>
  </si>
  <si>
    <t xml:space="preserve">Timber                       </t>
  </si>
  <si>
    <t>State of house (i.e. new, moderate, old etc.)</t>
  </si>
  <si>
    <t>PRESENT USE OF BUILDING</t>
  </si>
  <si>
    <t>Villa MH residential</t>
  </si>
  <si>
    <t>Title deed no.</t>
  </si>
  <si>
    <r>
      <rPr>
        <b/>
        <sz val="12"/>
        <color theme="1"/>
        <rFont val="Cambria"/>
        <charset val="134"/>
        <scheme val="major"/>
      </rPr>
      <t>PRESENT VALUE</t>
    </r>
    <r>
      <rPr>
        <sz val="12"/>
        <color theme="1"/>
        <rFont val="Cambria"/>
        <charset val="134"/>
        <scheme val="major"/>
      </rPr>
      <t xml:space="preserve"> (Show separate value for each building)</t>
    </r>
  </si>
  <si>
    <t xml:space="preserve">a) </t>
  </si>
  <si>
    <t>Total Bldg. Cost</t>
  </si>
  <si>
    <t>=(410.69*18,928)</t>
  </si>
  <si>
    <t>d)</t>
  </si>
  <si>
    <t>e)</t>
  </si>
  <si>
    <t>f)</t>
  </si>
  <si>
    <t xml:space="preserve">Total Birr </t>
  </si>
  <si>
    <t xml:space="preserve">Is there any thatched roof on site? </t>
  </si>
  <si>
    <t>NO</t>
  </si>
  <si>
    <t xml:space="preserve">is the property of the area as a whole reserved for any </t>
  </si>
  <si>
    <t>purpose or for the amelioration of the proposal new town plan project?</t>
  </si>
  <si>
    <t>Yes</t>
  </si>
  <si>
    <t>No document</t>
  </si>
  <si>
    <t>The service quarters has been excluded from the valuation as it does not meet the requirement.</t>
  </si>
  <si>
    <t>ROUGH SKETCH LOCATION (N.B. Use prominent)</t>
  </si>
  <si>
    <t>coordinate-</t>
  </si>
  <si>
    <t>9.342707,42.806341</t>
  </si>
  <si>
    <t>Enclosures</t>
  </si>
  <si>
    <t>Original</t>
  </si>
  <si>
    <t>Copy</t>
  </si>
  <si>
    <t>26/6/2026</t>
  </si>
  <si>
    <t>Elizabeth Mohammed</t>
  </si>
  <si>
    <t>Date of Inspection</t>
  </si>
  <si>
    <t>Appraiser's Name</t>
  </si>
  <si>
    <t>Appraiser's Signature</t>
  </si>
  <si>
    <t>Approved By</t>
  </si>
  <si>
    <t>MH</t>
  </si>
  <si>
    <t xml:space="preserve">Fence </t>
  </si>
  <si>
    <t xml:space="preserve">Bricks                             </t>
  </si>
  <si>
    <t xml:space="preserve">Masonry                            </t>
  </si>
  <si>
    <t xml:space="preserve">R.C                       </t>
  </si>
  <si>
    <t xml:space="preserve">Timber                        </t>
  </si>
  <si>
    <t xml:space="preserve">Petrol                            </t>
  </si>
  <si>
    <t xml:space="preserve">Metal                              </t>
  </si>
  <si>
    <t xml:space="preserve">Metal Sheet                </t>
  </si>
  <si>
    <t xml:space="preserve">Timber                   </t>
  </si>
  <si>
    <t xml:space="preserve"> Cement                      </t>
  </si>
  <si>
    <t>Oil</t>
  </si>
  <si>
    <t>Aluminum</t>
  </si>
  <si>
    <t xml:space="preserve">Thatch                      </t>
  </si>
  <si>
    <t xml:space="preserve">R.C                           </t>
  </si>
  <si>
    <t xml:space="preserve">Chika </t>
  </si>
  <si>
    <t>Tiles</t>
  </si>
  <si>
    <t>Uncovered</t>
  </si>
  <si>
    <t>Zamzam Bank for under construction</t>
  </si>
  <si>
    <t>Date  4/06/2026</t>
  </si>
  <si>
    <t>Subject: Construction progress estimation</t>
  </si>
  <si>
    <t xml:space="preserve">Applicant name   </t>
  </si>
  <si>
    <t>Anwar Umer</t>
  </si>
  <si>
    <t xml:space="preserve">Owner name </t>
  </si>
  <si>
    <t>Woreda</t>
  </si>
  <si>
    <t>Furi</t>
  </si>
  <si>
    <t xml:space="preserve">Title deed no  </t>
  </si>
  <si>
    <t>AM003031402024</t>
  </si>
  <si>
    <t>Coordinate</t>
  </si>
  <si>
    <t>11.138768,39.644018</t>
  </si>
  <si>
    <t>Plot</t>
  </si>
  <si>
    <t>Project :G+3 Residential</t>
  </si>
  <si>
    <t>Summary</t>
  </si>
  <si>
    <t>G</t>
  </si>
  <si>
    <t>Item no</t>
  </si>
  <si>
    <t xml:space="preserve"> WORK DESCRIPTION</t>
  </si>
  <si>
    <t>PROJECT COST</t>
  </si>
  <si>
    <t>WORK EXCUTED</t>
  </si>
  <si>
    <t>WORK REMAINING</t>
  </si>
  <si>
    <t>FF</t>
  </si>
  <si>
    <t xml:space="preserve">Sub Structure </t>
  </si>
  <si>
    <t>F</t>
  </si>
  <si>
    <t xml:space="preserve">Super Structure </t>
  </si>
  <si>
    <t>S</t>
  </si>
  <si>
    <t xml:space="preserve">Block work- Internal </t>
  </si>
  <si>
    <t xml:space="preserve">Block work- External </t>
  </si>
  <si>
    <t xml:space="preserve">Roofing </t>
  </si>
  <si>
    <t xml:space="preserve">Joinery </t>
  </si>
  <si>
    <t xml:space="preserve">Metal Work </t>
  </si>
  <si>
    <t xml:space="preserve">Floor finish </t>
  </si>
  <si>
    <t xml:space="preserve">Wall finish- Internal </t>
  </si>
  <si>
    <t xml:space="preserve">Wall finish- External </t>
  </si>
  <si>
    <t xml:space="preserve">Ceiling works </t>
  </si>
  <si>
    <t xml:space="preserve">Hand rail and Balustrade </t>
  </si>
  <si>
    <t xml:space="preserve">Sanitary Work </t>
  </si>
  <si>
    <t xml:space="preserve">Electrical Work </t>
  </si>
  <si>
    <t>Electro Mechanical Works (Generator,lift, utillilty connection)</t>
  </si>
  <si>
    <t>Mechanical Installation (extracting fans,ventilation ducts)</t>
  </si>
  <si>
    <t>% of executed and remaining</t>
  </si>
  <si>
    <t>Use of building</t>
  </si>
  <si>
    <t xml:space="preserve">G+3 residential </t>
  </si>
  <si>
    <t>Second and Third floor</t>
  </si>
  <si>
    <t>Ground floor</t>
  </si>
  <si>
    <t xml:space="preserve">Total Area </t>
  </si>
  <si>
    <t>First floor</t>
  </si>
  <si>
    <t>BOQ has not been submitted therefore it should be submitted and checked by the engineer.</t>
  </si>
  <si>
    <t>Consultancy service</t>
  </si>
  <si>
    <t>Total Executed+Location value+Consultancy service</t>
  </si>
  <si>
    <t>Prepared By: Elizabeth Mohammed</t>
  </si>
  <si>
    <t>Approved By : Sultan Jemal</t>
  </si>
  <si>
    <t>Date of Inspection :25/05/2026</t>
  </si>
  <si>
    <t>Semi B+G+7</t>
  </si>
  <si>
    <t xml:space="preserve"> A. SUB STRUCTURE</t>
  </si>
  <si>
    <t>Excavation &amp; Earth Work</t>
  </si>
  <si>
    <t>Sundry</t>
  </si>
  <si>
    <t>Concrete work</t>
  </si>
  <si>
    <t>Total  A</t>
  </si>
  <si>
    <t xml:space="preserve"> B.SUPER STRUCTURE</t>
  </si>
  <si>
    <t>Total  B</t>
  </si>
  <si>
    <t>Total  ( A + B )</t>
  </si>
  <si>
    <t>Consultancy Fee</t>
  </si>
  <si>
    <t xml:space="preserve">Total  </t>
  </si>
  <si>
    <t>Percentage</t>
  </si>
  <si>
    <t>G+1 Service quarter</t>
  </si>
  <si>
    <t>Concrete Work</t>
  </si>
  <si>
    <t>Building Components</t>
  </si>
  <si>
    <t>Single Storey</t>
  </si>
  <si>
    <t>G+1 &amp; 2</t>
  </si>
  <si>
    <t>G+3 &amp; 4</t>
  </si>
  <si>
    <t>G+5 &amp; 6</t>
  </si>
  <si>
    <t>&gt;G+7</t>
  </si>
  <si>
    <t>Multi Purpose Halls/Stores</t>
  </si>
  <si>
    <t>Poor</t>
  </si>
  <si>
    <t>Avg.</t>
  </si>
  <si>
    <t>Best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</si>
</sst>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64" formatCode="_-* #,##0.00_-;\-* #,##0.00_-;_-* &quot;-&quot;??_-;_-@_-"/>
    <numFmt numFmtId="165" formatCode="0.000%"/>
    <numFmt numFmtId="166" formatCode="0.0%"/>
    <numFmt numFmtId="167" formatCode="0.0"/>
    <numFmt numFmtId="168" formatCode="_(* #,##0.000_);_(* \(#,##0.000\);_(* &quot;-&quot;??_);_(@_)"/>
    <numFmt numFmtId="169" formatCode="_(* #,##0_);_(* \(#,##0\);_(* &quot;-&quot;??_);_(@_)"/>
    <numFmt numFmtId="170" formatCode="0.0000"/>
  </numFmts>
  <fonts count="49">
    <font>
      <sz val="11"/>
      <color theme="1"/>
      <name val="Calibri"/>
      <charset val="134"/>
      <scheme val="minor"/>
    </font>
    <font>
      <sz val="11"/>
      <color rgb="FF000000"/>
      <name val="Arial"/>
      <charset val="134"/>
    </font>
    <font>
      <i/>
      <sz val="11"/>
      <color rgb="FF000000"/>
      <name val="Arial"/>
      <charset val="134"/>
    </font>
    <font>
      <i/>
      <sz val="11"/>
      <color theme="1"/>
      <name val="Arial"/>
      <charset val="134"/>
    </font>
    <font>
      <sz val="12"/>
      <color theme="1"/>
      <name val="Cambria"/>
      <charset val="134"/>
      <scheme val="major"/>
    </font>
    <font>
      <sz val="18"/>
      <color indexed="8"/>
      <name val="Cambria"/>
      <charset val="134"/>
      <scheme val="major"/>
    </font>
    <font>
      <sz val="18"/>
      <color theme="1"/>
      <name val="Cambria"/>
      <charset val="134"/>
      <scheme val="major"/>
    </font>
    <font>
      <sz val="18"/>
      <name val="Cambria"/>
      <charset val="134"/>
      <scheme val="major"/>
    </font>
    <font>
      <u/>
      <sz val="18"/>
      <name val="Cambria"/>
      <charset val="134"/>
      <scheme val="major"/>
    </font>
    <font>
      <sz val="10"/>
      <name val="Arial"/>
      <charset val="134"/>
    </font>
    <font>
      <b/>
      <sz val="18"/>
      <name val="Cambria"/>
      <charset val="134"/>
      <scheme val="major"/>
    </font>
    <font>
      <b/>
      <sz val="12"/>
      <name val="Cambria"/>
      <charset val="134"/>
      <scheme val="major"/>
    </font>
    <font>
      <b/>
      <sz val="18"/>
      <color theme="1"/>
      <name val="Cambria"/>
      <charset val="134"/>
      <scheme val="major"/>
    </font>
    <font>
      <b/>
      <sz val="18"/>
      <color indexed="8"/>
      <name val="Cambria"/>
      <charset val="134"/>
      <scheme val="major"/>
    </font>
    <font>
      <b/>
      <u/>
      <sz val="18"/>
      <name val="Cambria"/>
      <charset val="134"/>
      <scheme val="major"/>
    </font>
    <font>
      <b/>
      <sz val="12"/>
      <color theme="1"/>
      <name val="Cambria"/>
      <charset val="134"/>
      <scheme val="major"/>
    </font>
    <font>
      <b/>
      <u/>
      <sz val="12"/>
      <color theme="1"/>
      <name val="Cambria"/>
      <charset val="134"/>
      <scheme val="major"/>
    </font>
    <font>
      <b/>
      <sz val="12"/>
      <name val="Power Geez Unicode1"/>
      <charset val="134"/>
    </font>
    <font>
      <b/>
      <sz val="12"/>
      <color theme="1"/>
      <name val="Cambria"/>
      <charset val="134"/>
    </font>
    <font>
      <b/>
      <u/>
      <sz val="12"/>
      <color theme="1"/>
      <name val="Comic Sans MS"/>
      <charset val="134"/>
    </font>
    <font>
      <u/>
      <sz val="12"/>
      <color theme="1"/>
      <name val="Cambria"/>
      <charset val="134"/>
      <scheme val="major"/>
    </font>
    <font>
      <b/>
      <sz val="12"/>
      <color theme="1"/>
      <name val="Power Geez Unicode1"/>
      <charset val="134"/>
    </font>
    <font>
      <b/>
      <sz val="12"/>
      <color theme="1"/>
      <name val="Comic Sans MS"/>
      <charset val="134"/>
    </font>
    <font>
      <b/>
      <u val="singleAccounting"/>
      <sz val="12"/>
      <color theme="1"/>
      <name val="Cambria"/>
      <charset val="134"/>
      <scheme val="major"/>
    </font>
    <font>
      <b/>
      <u/>
      <sz val="12"/>
      <name val="Cambria"/>
      <charset val="134"/>
      <scheme val="major"/>
    </font>
    <font>
      <sz val="14"/>
      <color theme="1"/>
      <name val="Cambria"/>
      <charset val="134"/>
      <scheme val="major"/>
    </font>
    <font>
      <b/>
      <u/>
      <sz val="16"/>
      <name val="Cambria"/>
      <charset val="134"/>
    </font>
    <font>
      <b/>
      <i/>
      <sz val="12"/>
      <name val="Cambria"/>
      <charset val="134"/>
    </font>
    <font>
      <sz val="11"/>
      <name val="Cambria"/>
      <charset val="134"/>
    </font>
    <font>
      <sz val="12"/>
      <name val="Cambria"/>
      <charset val="134"/>
    </font>
    <font>
      <sz val="10"/>
      <name val="Cambria"/>
      <charset val="134"/>
    </font>
    <font>
      <b/>
      <i/>
      <sz val="11"/>
      <name val="Cambria"/>
      <charset val="134"/>
    </font>
    <font>
      <b/>
      <sz val="11"/>
      <name val="Cambria"/>
      <charset val="134"/>
    </font>
    <font>
      <b/>
      <i/>
      <u/>
      <sz val="12"/>
      <name val="Cambria"/>
      <charset val="134"/>
    </font>
    <font>
      <b/>
      <sz val="12"/>
      <name val="Cambria"/>
      <charset val="134"/>
    </font>
    <font>
      <sz val="9"/>
      <name val="Cambria"/>
      <charset val="134"/>
    </font>
    <font>
      <b/>
      <i/>
      <sz val="14"/>
      <name val="Cambria"/>
      <charset val="134"/>
    </font>
    <font>
      <b/>
      <i/>
      <u/>
      <sz val="14"/>
      <name val="Cambria"/>
      <charset val="134"/>
    </font>
    <font>
      <b/>
      <sz val="14"/>
      <color theme="1"/>
      <name val="Cambria"/>
      <charset val="134"/>
      <scheme val="major"/>
    </font>
    <font>
      <sz val="12"/>
      <name val="Cambria"/>
      <charset val="134"/>
      <scheme val="major"/>
    </font>
    <font>
      <u/>
      <sz val="12"/>
      <name val="Cambria"/>
      <charset val="134"/>
      <scheme val="major"/>
    </font>
    <font>
      <b/>
      <sz val="10"/>
      <name val="Arial"/>
      <charset val="134"/>
    </font>
    <font>
      <b/>
      <sz val="12"/>
      <name val="Garamond"/>
      <charset val="134"/>
    </font>
    <font>
      <sz val="12"/>
      <name val="Garamond"/>
      <charset val="134"/>
    </font>
    <font>
      <b/>
      <sz val="14"/>
      <name val="Cambria"/>
      <charset val="134"/>
    </font>
    <font>
      <vertAlign val="superscript"/>
      <sz val="10"/>
      <name val="Cambria"/>
      <charset val="134"/>
    </font>
    <font>
      <vertAlign val="superscript"/>
      <sz val="12"/>
      <name val="Cambria"/>
      <charset val="134"/>
    </font>
    <font>
      <sz val="11"/>
      <color theme="1"/>
      <name val="Calibri"/>
      <charset val="134"/>
    </font>
    <font>
      <sz val="11"/>
      <color theme="1"/>
      <name val="Calibri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1454817346722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3" tint="0.59999389629810485"/>
        <bgColor indexed="64"/>
      </patternFill>
    </fill>
  </fills>
  <borders count="7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/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dotted">
        <color auto="1"/>
      </bottom>
      <diagonal/>
    </border>
    <border>
      <left style="dotted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/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dotted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</borders>
  <cellStyleXfs count="15">
    <xf numFmtId="0" fontId="0" fillId="0" borderId="0"/>
    <xf numFmtId="43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48" fillId="0" borderId="0"/>
    <xf numFmtId="0" fontId="48" fillId="0" borderId="0"/>
    <xf numFmtId="0" fontId="9" fillId="0" borderId="0"/>
    <xf numFmtId="0" fontId="9" fillId="0" borderId="0"/>
    <xf numFmtId="0" fontId="9" fillId="0" borderId="0"/>
    <xf numFmtId="0" fontId="48" fillId="0" borderId="0"/>
    <xf numFmtId="0" fontId="48" fillId="0" borderId="0"/>
    <xf numFmtId="0" fontId="9" fillId="0" borderId="0"/>
    <xf numFmtId="0" fontId="9" fillId="0" borderId="0"/>
    <xf numFmtId="0" fontId="9" fillId="0" borderId="0"/>
  </cellStyleXfs>
  <cellXfs count="560">
    <xf numFmtId="0" fontId="0" fillId="0" borderId="0" xfId="0"/>
    <xf numFmtId="43" fontId="0" fillId="0" borderId="0" xfId="1" applyFont="1"/>
    <xf numFmtId="164" fontId="0" fillId="0" borderId="0" xfId="0" applyNumberFormat="1"/>
    <xf numFmtId="0" fontId="1" fillId="0" borderId="6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9" fontId="2" fillId="0" borderId="6" xfId="0" applyNumberFormat="1" applyFont="1" applyBorder="1" applyAlignment="1">
      <alignment vertical="center" wrapText="1"/>
    </xf>
    <xf numFmtId="9" fontId="3" fillId="0" borderId="6" xfId="0" applyNumberFormat="1" applyFont="1" applyBorder="1" applyAlignment="1">
      <alignment vertical="center" wrapText="1"/>
    </xf>
    <xf numFmtId="9" fontId="1" fillId="0" borderId="6" xfId="0" applyNumberFormat="1" applyFont="1" applyBorder="1" applyAlignment="1">
      <alignment vertical="center" wrapText="1"/>
    </xf>
    <xf numFmtId="0" fontId="4" fillId="0" borderId="0" xfId="0" applyFont="1"/>
    <xf numFmtId="0" fontId="5" fillId="0" borderId="0" xfId="0" applyFont="1" applyBorder="1"/>
    <xf numFmtId="0" fontId="6" fillId="0" borderId="0" xfId="0" applyFont="1"/>
    <xf numFmtId="43" fontId="7" fillId="0" borderId="0" xfId="0" applyNumberFormat="1" applyFont="1" applyBorder="1"/>
    <xf numFmtId="0" fontId="8" fillId="0" borderId="0" xfId="0" applyFont="1" applyAlignment="1"/>
    <xf numFmtId="0" fontId="7" fillId="0" borderId="0" xfId="0" applyFont="1" applyAlignment="1"/>
    <xf numFmtId="0" fontId="6" fillId="0" borderId="0" xfId="0" applyFont="1" applyProtection="1"/>
    <xf numFmtId="0" fontId="7" fillId="0" borderId="0" xfId="0" applyFont="1" applyAlignment="1">
      <alignment horizontal="left"/>
    </xf>
    <xf numFmtId="0" fontId="4" fillId="0" borderId="0" xfId="0" applyFont="1" applyBorder="1"/>
    <xf numFmtId="164" fontId="4" fillId="0" borderId="0" xfId="0" applyNumberFormat="1" applyFont="1" applyBorder="1"/>
    <xf numFmtId="43" fontId="4" fillId="0" borderId="0" xfId="1" applyFont="1" applyBorder="1"/>
    <xf numFmtId="0" fontId="5" fillId="2" borderId="8" xfId="0" applyFont="1" applyFill="1" applyBorder="1" applyAlignment="1">
      <alignment horizontal="center" wrapText="1"/>
    </xf>
    <xf numFmtId="164" fontId="4" fillId="0" borderId="0" xfId="0" applyNumberFormat="1" applyFont="1"/>
    <xf numFmtId="1" fontId="7" fillId="0" borderId="8" xfId="0" applyNumberFormat="1" applyFont="1" applyBorder="1" applyAlignment="1">
      <alignment horizontal="right"/>
    </xf>
    <xf numFmtId="0" fontId="5" fillId="0" borderId="8" xfId="0" applyFont="1" applyBorder="1"/>
    <xf numFmtId="43" fontId="7" fillId="0" borderId="8" xfId="3" applyFont="1" applyBorder="1"/>
    <xf numFmtId="43" fontId="7" fillId="3" borderId="8" xfId="3" applyFont="1" applyFill="1" applyBorder="1" applyAlignment="1" applyProtection="1">
      <alignment horizontal="right"/>
    </xf>
    <xf numFmtId="43" fontId="4" fillId="0" borderId="0" xfId="1" applyFont="1"/>
    <xf numFmtId="0" fontId="9" fillId="0" borderId="0" xfId="14"/>
    <xf numFmtId="9" fontId="4" fillId="0" borderId="0" xfId="2" applyFont="1" applyBorder="1"/>
    <xf numFmtId="0" fontId="1" fillId="0" borderId="0" xfId="0" applyFont="1" applyBorder="1" applyAlignment="1">
      <alignment vertical="center" wrapText="1"/>
    </xf>
    <xf numFmtId="9" fontId="1" fillId="0" borderId="0" xfId="0" applyNumberFormat="1" applyFont="1" applyBorder="1" applyAlignment="1">
      <alignment vertical="center" wrapText="1"/>
    </xf>
    <xf numFmtId="43" fontId="4" fillId="0" borderId="0" xfId="0" applyNumberFormat="1" applyFont="1" applyBorder="1"/>
    <xf numFmtId="0" fontId="5" fillId="0" borderId="8" xfId="0" applyFont="1" applyBorder="1" applyAlignment="1">
      <alignment wrapText="1"/>
    </xf>
    <xf numFmtId="0" fontId="4" fillId="0" borderId="0" xfId="0" applyNumberFormat="1" applyFont="1" applyBorder="1"/>
    <xf numFmtId="43" fontId="4" fillId="0" borderId="0" xfId="2" applyNumberFormat="1" applyFont="1" applyBorder="1"/>
    <xf numFmtId="9" fontId="4" fillId="0" borderId="0" xfId="0" applyNumberFormat="1" applyFont="1" applyBorder="1"/>
    <xf numFmtId="16" fontId="4" fillId="0" borderId="0" xfId="0" applyNumberFormat="1" applyFont="1" applyBorder="1"/>
    <xf numFmtId="43" fontId="4" fillId="0" borderId="0" xfId="0" applyNumberFormat="1" applyFont="1"/>
    <xf numFmtId="165" fontId="4" fillId="0" borderId="0" xfId="0" applyNumberFormat="1" applyFont="1" applyBorder="1"/>
    <xf numFmtId="0" fontId="2" fillId="0" borderId="0" xfId="0" applyFont="1" applyBorder="1" applyAlignment="1">
      <alignment vertical="center" wrapText="1"/>
    </xf>
    <xf numFmtId="0" fontId="5" fillId="0" borderId="8" xfId="0" applyFont="1" applyBorder="1" applyAlignment="1">
      <alignment horizontal="center"/>
    </xf>
    <xf numFmtId="43" fontId="7" fillId="3" borderId="8" xfId="3" applyFont="1" applyFill="1" applyBorder="1" applyProtection="1"/>
    <xf numFmtId="0" fontId="5" fillId="0" borderId="8" xfId="0" applyFont="1" applyBorder="1" applyAlignment="1">
      <alignment horizontal="left" wrapText="1"/>
    </xf>
    <xf numFmtId="0" fontId="7" fillId="0" borderId="8" xfId="0" applyFont="1" applyBorder="1" applyAlignment="1">
      <alignment horizontal="right"/>
    </xf>
    <xf numFmtId="9" fontId="4" fillId="0" borderId="0" xfId="2" applyFont="1"/>
    <xf numFmtId="0" fontId="7" fillId="0" borderId="8" xfId="0" applyFont="1" applyFill="1" applyBorder="1" applyAlignment="1">
      <alignment horizontal="right"/>
    </xf>
    <xf numFmtId="0" fontId="7" fillId="0" borderId="8" xfId="0" applyFont="1" applyBorder="1" applyAlignment="1">
      <alignment horizontal="center" wrapText="1"/>
    </xf>
    <xf numFmtId="9" fontId="7" fillId="3" borderId="8" xfId="2" applyFont="1" applyFill="1" applyBorder="1" applyProtection="1"/>
    <xf numFmtId="166" fontId="7" fillId="3" borderId="8" xfId="2" applyNumberFormat="1" applyFont="1" applyFill="1" applyBorder="1" applyAlignment="1" applyProtection="1">
      <alignment horizontal="right"/>
    </xf>
    <xf numFmtId="0" fontId="6" fillId="0" borderId="0" xfId="0" applyFont="1" applyBorder="1"/>
    <xf numFmtId="0" fontId="7" fillId="0" borderId="8" xfId="0" applyFont="1" applyBorder="1" applyAlignment="1">
      <alignment horizontal="center"/>
    </xf>
    <xf numFmtId="2" fontId="6" fillId="0" borderId="8" xfId="0" applyNumberFormat="1" applyFont="1" applyBorder="1"/>
    <xf numFmtId="0" fontId="10" fillId="0" borderId="8" xfId="0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0" fontId="7" fillId="0" borderId="0" xfId="0" applyFont="1" applyBorder="1" applyAlignment="1">
      <alignment horizontal="center"/>
    </xf>
    <xf numFmtId="2" fontId="6" fillId="0" borderId="0" xfId="0" applyNumberFormat="1" applyFont="1" applyBorder="1"/>
    <xf numFmtId="43" fontId="6" fillId="0" borderId="8" xfId="0" applyNumberFormat="1" applyFont="1" applyBorder="1"/>
    <xf numFmtId="43" fontId="6" fillId="0" borderId="0" xfId="0" applyNumberFormat="1" applyFont="1"/>
    <xf numFmtId="168" fontId="4" fillId="0" borderId="0" xfId="0" applyNumberFormat="1" applyFont="1"/>
    <xf numFmtId="4" fontId="6" fillId="0" borderId="8" xfId="0" applyNumberFormat="1" applyFont="1" applyBorder="1"/>
    <xf numFmtId="164" fontId="6" fillId="0" borderId="0" xfId="0" applyNumberFormat="1" applyFont="1"/>
    <xf numFmtId="0" fontId="7" fillId="0" borderId="0" xfId="0" applyFont="1" applyFill="1" applyBorder="1" applyAlignment="1">
      <alignment horizontal="right"/>
    </xf>
    <xf numFmtId="166" fontId="7" fillId="0" borderId="0" xfId="2" applyNumberFormat="1" applyFont="1" applyFill="1" applyBorder="1" applyAlignment="1" applyProtection="1">
      <alignment horizontal="right"/>
    </xf>
    <xf numFmtId="43" fontId="11" fillId="0" borderId="0" xfId="3" applyFont="1" applyBorder="1"/>
    <xf numFmtId="0" fontId="6" fillId="0" borderId="0" xfId="0" applyFont="1" applyBorder="1" applyAlignment="1">
      <alignment horizontal="center" wrapText="1"/>
    </xf>
    <xf numFmtId="4" fontId="6" fillId="0" borderId="0" xfId="0" applyNumberFormat="1" applyFont="1" applyBorder="1"/>
    <xf numFmtId="166" fontId="10" fillId="0" borderId="0" xfId="2" applyNumberFormat="1" applyFont="1" applyFill="1" applyBorder="1" applyAlignment="1" applyProtection="1">
      <alignment horizontal="right"/>
    </xf>
    <xf numFmtId="0" fontId="13" fillId="2" borderId="8" xfId="0" applyFont="1" applyFill="1" applyBorder="1" applyAlignment="1">
      <alignment horizontal="center" wrapText="1"/>
    </xf>
    <xf numFmtId="0" fontId="14" fillId="0" borderId="8" xfId="0" applyFont="1" applyBorder="1" applyAlignment="1">
      <alignment horizontal="right"/>
    </xf>
    <xf numFmtId="0" fontId="13" fillId="0" borderId="0" xfId="0" applyFont="1" applyBorder="1" applyAlignment="1">
      <alignment horizontal="center"/>
    </xf>
    <xf numFmtId="43" fontId="10" fillId="0" borderId="0" xfId="3" applyFont="1" applyBorder="1" applyAlignment="1">
      <alignment horizontal="center"/>
    </xf>
    <xf numFmtId="43" fontId="10" fillId="0" borderId="9" xfId="3" applyFont="1" applyBorder="1" applyAlignment="1">
      <alignment horizontal="center"/>
    </xf>
    <xf numFmtId="43" fontId="10" fillId="3" borderId="10" xfId="3" applyFont="1" applyFill="1" applyBorder="1" applyProtection="1"/>
    <xf numFmtId="0" fontId="10" fillId="0" borderId="8" xfId="0" applyFont="1" applyBorder="1" applyAlignment="1">
      <alignment horizontal="right"/>
    </xf>
    <xf numFmtId="0" fontId="13" fillId="0" borderId="8" xfId="0" applyFont="1" applyBorder="1" applyAlignment="1">
      <alignment horizontal="center"/>
    </xf>
    <xf numFmtId="43" fontId="10" fillId="3" borderId="8" xfId="3" applyFont="1" applyFill="1" applyBorder="1" applyAlignment="1" applyProtection="1">
      <alignment horizontal="right" vertical="center"/>
    </xf>
    <xf numFmtId="0" fontId="10" fillId="0" borderId="11" xfId="0" applyFont="1" applyBorder="1" applyAlignment="1">
      <alignment horizontal="right"/>
    </xf>
    <xf numFmtId="43" fontId="6" fillId="0" borderId="0" xfId="3" applyFont="1"/>
    <xf numFmtId="43" fontId="10" fillId="0" borderId="0" xfId="3" applyFont="1"/>
    <xf numFmtId="43" fontId="6" fillId="3" borderId="10" xfId="3" applyFont="1" applyFill="1" applyBorder="1" applyProtection="1"/>
    <xf numFmtId="1" fontId="10" fillId="0" borderId="8" xfId="0" applyNumberFormat="1" applyFont="1" applyBorder="1" applyAlignment="1">
      <alignment horizontal="right"/>
    </xf>
    <xf numFmtId="43" fontId="10" fillId="3" borderId="8" xfId="3" applyFont="1" applyFill="1" applyBorder="1" applyProtection="1"/>
    <xf numFmtId="43" fontId="10" fillId="3" borderId="8" xfId="3" applyFont="1" applyFill="1" applyBorder="1" applyAlignment="1" applyProtection="1">
      <alignment horizontal="right"/>
    </xf>
    <xf numFmtId="166" fontId="4" fillId="0" borderId="0" xfId="0" applyNumberFormat="1" applyFont="1"/>
    <xf numFmtId="0" fontId="10" fillId="3" borderId="8" xfId="0" applyFont="1" applyFill="1" applyBorder="1" applyAlignment="1">
      <alignment horizontal="center"/>
    </xf>
    <xf numFmtId="0" fontId="10" fillId="0" borderId="8" xfId="0" applyFont="1" applyFill="1" applyBorder="1" applyAlignment="1">
      <alignment horizontal="right"/>
    </xf>
    <xf numFmtId="9" fontId="10" fillId="3" borderId="8" xfId="2" applyFont="1" applyFill="1" applyBorder="1" applyProtection="1"/>
    <xf numFmtId="166" fontId="10" fillId="3" borderId="8" xfId="2" applyNumberFormat="1" applyFont="1" applyFill="1" applyBorder="1" applyAlignment="1" applyProtection="1">
      <alignment horizontal="right"/>
    </xf>
    <xf numFmtId="0" fontId="4" fillId="0" borderId="0" xfId="0" applyFont="1" applyAlignment="1"/>
    <xf numFmtId="0" fontId="0" fillId="0" borderId="0" xfId="0" applyFill="1"/>
    <xf numFmtId="43" fontId="0" fillId="0" borderId="0" xfId="1" applyFont="1" applyFill="1"/>
    <xf numFmtId="164" fontId="0" fillId="0" borderId="0" xfId="0" applyNumberFormat="1" applyFill="1"/>
    <xf numFmtId="43" fontId="0" fillId="0" borderId="0" xfId="0" applyNumberFormat="1"/>
    <xf numFmtId="43" fontId="0" fillId="0" borderId="0" xfId="1" applyFont="1" applyFill="1"/>
    <xf numFmtId="0" fontId="0" fillId="0" borderId="0" xfId="0" applyFill="1" applyAlignment="1">
      <alignment horizontal="center"/>
    </xf>
    <xf numFmtId="43" fontId="0" fillId="4" borderId="0" xfId="0" applyNumberFormat="1" applyFill="1"/>
    <xf numFmtId="164" fontId="0" fillId="4" borderId="0" xfId="0" applyNumberFormat="1" applyFill="1"/>
    <xf numFmtId="43" fontId="0" fillId="5" borderId="0" xfId="1" applyFont="1" applyFill="1"/>
    <xf numFmtId="43" fontId="0" fillId="5" borderId="0" xfId="0" applyNumberFormat="1" applyFill="1"/>
    <xf numFmtId="0" fontId="15" fillId="0" borderId="0" xfId="0" applyFont="1" applyAlignment="1"/>
    <xf numFmtId="0" fontId="4" fillId="0" borderId="0" xfId="0" applyFont="1" applyAlignment="1">
      <alignment horizontal="right"/>
    </xf>
    <xf numFmtId="49" fontId="15" fillId="0" borderId="7" xfId="0" applyNumberFormat="1" applyFont="1" applyBorder="1" applyAlignment="1">
      <alignment horizontal="center"/>
    </xf>
    <xf numFmtId="0" fontId="15" fillId="0" borderId="0" xfId="0" applyFont="1"/>
    <xf numFmtId="49" fontId="15" fillId="0" borderId="12" xfId="0" applyNumberFormat="1" applyFont="1" applyBorder="1" applyAlignment="1"/>
    <xf numFmtId="49" fontId="16" fillId="0" borderId="12" xfId="0" applyNumberFormat="1" applyFont="1" applyBorder="1" applyAlignment="1">
      <alignment vertical="center"/>
    </xf>
    <xf numFmtId="0" fontId="4" fillId="0" borderId="7" xfId="0" applyFont="1" applyBorder="1"/>
    <xf numFmtId="0" fontId="16" fillId="0" borderId="0" xfId="0" applyFont="1" applyFill="1" applyBorder="1" applyAlignment="1"/>
    <xf numFmtId="0" fontId="16" fillId="0" borderId="0" xfId="0" applyFont="1" applyBorder="1" applyAlignment="1"/>
    <xf numFmtId="4" fontId="16" fillId="0" borderId="7" xfId="0" applyNumberFormat="1" applyFont="1" applyBorder="1"/>
    <xf numFmtId="49" fontId="16" fillId="0" borderId="0" xfId="0" applyNumberFormat="1" applyFont="1"/>
    <xf numFmtId="0" fontId="15" fillId="0" borderId="0" xfId="0" applyFont="1" applyBorder="1" applyAlignment="1"/>
    <xf numFmtId="4" fontId="15" fillId="0" borderId="12" xfId="0" applyNumberFormat="1" applyFont="1" applyBorder="1" applyAlignment="1"/>
    <xf numFmtId="0" fontId="15" fillId="0" borderId="7" xfId="0" applyNumberFormat="1" applyFont="1" applyBorder="1"/>
    <xf numFmtId="49" fontId="18" fillId="0" borderId="13" xfId="0" applyNumberFormat="1" applyFont="1" applyBorder="1" applyAlignment="1">
      <alignment horizontal="center"/>
    </xf>
    <xf numFmtId="0" fontId="4" fillId="0" borderId="0" xfId="0" applyFont="1" applyAlignment="1">
      <alignment wrapText="1"/>
    </xf>
    <xf numFmtId="0" fontId="15" fillId="0" borderId="7" xfId="0" applyFont="1" applyBorder="1"/>
    <xf numFmtId="0" fontId="19" fillId="0" borderId="0" xfId="0" applyFont="1" applyAlignment="1"/>
    <xf numFmtId="0" fontId="20" fillId="0" borderId="0" xfId="0" applyFont="1"/>
    <xf numFmtId="0" fontId="4" fillId="0" borderId="0" xfId="0" applyFont="1" applyAlignment="1">
      <alignment horizontal="left" wrapText="1"/>
    </xf>
    <xf numFmtId="43" fontId="15" fillId="0" borderId="7" xfId="3" applyFont="1" applyBorder="1" applyAlignment="1">
      <alignment horizontal="center" wrapText="1"/>
    </xf>
    <xf numFmtId="2" fontId="4" fillId="0" borderId="0" xfId="0" applyNumberFormat="1" applyFont="1"/>
    <xf numFmtId="2" fontId="15" fillId="0" borderId="7" xfId="0" applyNumberFormat="1" applyFont="1" applyBorder="1" applyAlignment="1">
      <alignment horizontal="right"/>
    </xf>
    <xf numFmtId="43" fontId="15" fillId="0" borderId="7" xfId="3" applyFont="1" applyBorder="1" applyAlignment="1">
      <alignment horizontal="center"/>
    </xf>
    <xf numFmtId="0" fontId="22" fillId="0" borderId="0" xfId="0" applyFont="1"/>
    <xf numFmtId="0" fontId="19" fillId="0" borderId="0" xfId="0" applyFont="1"/>
    <xf numFmtId="43" fontId="4" fillId="0" borderId="0" xfId="0" applyNumberFormat="1" applyFont="1" applyAlignment="1">
      <alignment horizontal="center"/>
    </xf>
    <xf numFmtId="0" fontId="16" fillId="0" borderId="0" xfId="0" applyFont="1"/>
    <xf numFmtId="4" fontId="15" fillId="0" borderId="0" xfId="0" applyNumberFormat="1" applyFont="1"/>
    <xf numFmtId="43" fontId="15" fillId="0" borderId="0" xfId="1" applyFont="1"/>
    <xf numFmtId="9" fontId="15" fillId="0" borderId="0" xfId="0" applyNumberFormat="1" applyFont="1" applyAlignment="1">
      <alignment horizontal="left"/>
    </xf>
    <xf numFmtId="0" fontId="15" fillId="0" borderId="0" xfId="2" applyNumberFormat="1" applyFont="1" applyAlignment="1">
      <alignment horizontal="center"/>
    </xf>
    <xf numFmtId="4" fontId="16" fillId="0" borderId="0" xfId="0" applyNumberFormat="1" applyFont="1" applyAlignment="1"/>
    <xf numFmtId="4" fontId="16" fillId="0" borderId="0" xfId="0" applyNumberFormat="1" applyFont="1" applyBorder="1" applyAlignment="1">
      <alignment horizontal="left"/>
    </xf>
    <xf numFmtId="169" fontId="15" fillId="0" borderId="0" xfId="3" applyNumberFormat="1" applyFont="1"/>
    <xf numFmtId="0" fontId="15" fillId="0" borderId="7" xfId="0" applyFont="1" applyBorder="1" applyAlignment="1"/>
    <xf numFmtId="10" fontId="24" fillId="0" borderId="0" xfId="0" applyNumberFormat="1" applyFont="1" applyBorder="1" applyAlignment="1">
      <alignment horizontal="left"/>
    </xf>
    <xf numFmtId="0" fontId="15" fillId="0" borderId="0" xfId="0" applyFont="1" applyBorder="1"/>
    <xf numFmtId="43" fontId="15" fillId="0" borderId="0" xfId="0" applyNumberFormat="1" applyFont="1" applyBorder="1" applyAlignment="1"/>
    <xf numFmtId="9" fontId="11" fillId="0" borderId="0" xfId="0" applyNumberFormat="1" applyFont="1" applyBorder="1" applyAlignment="1"/>
    <xf numFmtId="0" fontId="4" fillId="0" borderId="0" xfId="0" applyFont="1" applyFill="1" applyAlignment="1">
      <alignment horizontal="right"/>
    </xf>
    <xf numFmtId="0" fontId="4" fillId="0" borderId="7" xfId="0" applyFont="1" applyBorder="1" applyAlignment="1"/>
    <xf numFmtId="0" fontId="4" fillId="0" borderId="7" xfId="0" applyFont="1" applyBorder="1" applyAlignment="1">
      <alignment horizontal="center"/>
    </xf>
    <xf numFmtId="0" fontId="0" fillId="0" borderId="0" xfId="0" applyAlignment="1"/>
    <xf numFmtId="0" fontId="0" fillId="4" borderId="0" xfId="0" applyFill="1"/>
    <xf numFmtId="0" fontId="9" fillId="0" borderId="0" xfId="5" applyFont="1" applyProtection="1"/>
    <xf numFmtId="0" fontId="26" fillId="0" borderId="0" xfId="5" applyFont="1" applyAlignment="1" applyProtection="1">
      <alignment horizontal="center"/>
    </xf>
    <xf numFmtId="0" fontId="9" fillId="0" borderId="0" xfId="5" applyFont="1" applyAlignment="1" applyProtection="1">
      <alignment vertical="top"/>
    </xf>
    <xf numFmtId="4" fontId="9" fillId="0" borderId="0" xfId="5" applyNumberFormat="1" applyFont="1" applyProtection="1"/>
    <xf numFmtId="0" fontId="27" fillId="0" borderId="14" xfId="5" applyFont="1" applyBorder="1" applyAlignment="1" applyProtection="1">
      <alignment vertical="top" wrapText="1"/>
    </xf>
    <xf numFmtId="0" fontId="27" fillId="0" borderId="15" xfId="5" applyFont="1" applyBorder="1" applyAlignment="1" applyProtection="1">
      <alignment vertical="top" wrapText="1"/>
    </xf>
    <xf numFmtId="4" fontId="27" fillId="0" borderId="16" xfId="5" applyNumberFormat="1" applyFont="1" applyBorder="1" applyAlignment="1" applyProtection="1">
      <alignment vertical="top" wrapText="1"/>
    </xf>
    <xf numFmtId="4" fontId="27" fillId="0" borderId="17" xfId="5" applyNumberFormat="1" applyFont="1" applyBorder="1" applyAlignment="1" applyProtection="1">
      <alignment horizontal="center" vertical="top" wrapText="1"/>
    </xf>
    <xf numFmtId="0" fontId="28" fillId="0" borderId="18" xfId="5" applyNumberFormat="1" applyFont="1" applyBorder="1" applyAlignment="1" applyProtection="1">
      <alignment horizontal="center" vertical="top" wrapText="1"/>
    </xf>
    <xf numFmtId="0" fontId="27" fillId="0" borderId="19" xfId="5" applyFont="1" applyBorder="1" applyAlignment="1" applyProtection="1">
      <alignment vertical="top" wrapText="1"/>
    </xf>
    <xf numFmtId="0" fontId="29" fillId="0" borderId="20" xfId="5" applyFont="1" applyBorder="1" applyAlignment="1" applyProtection="1">
      <alignment vertical="top" wrapText="1"/>
    </xf>
    <xf numFmtId="4" fontId="29" fillId="0" borderId="19" xfId="5" applyNumberFormat="1" applyFont="1" applyBorder="1" applyAlignment="1" applyProtection="1">
      <alignment vertical="top" wrapText="1"/>
    </xf>
    <xf numFmtId="4" fontId="29" fillId="0" borderId="21" xfId="5" applyNumberFormat="1" applyFont="1" applyBorder="1" applyAlignment="1" applyProtection="1">
      <alignment horizontal="center" vertical="top" wrapText="1"/>
    </xf>
    <xf numFmtId="0" fontId="29" fillId="0" borderId="19" xfId="5" applyFont="1" applyBorder="1" applyAlignment="1" applyProtection="1">
      <alignment vertical="top" wrapText="1"/>
    </xf>
    <xf numFmtId="0" fontId="30" fillId="0" borderId="18" xfId="5" applyFont="1" applyBorder="1" applyAlignment="1" applyProtection="1">
      <alignment horizontal="center"/>
    </xf>
    <xf numFmtId="0" fontId="29" fillId="0" borderId="19" xfId="5" applyFont="1" applyBorder="1" applyAlignment="1" applyProtection="1">
      <alignment vertical="top"/>
    </xf>
    <xf numFmtId="0" fontId="28" fillId="0" borderId="18" xfId="5" applyNumberFormat="1" applyFont="1" applyBorder="1" applyAlignment="1" applyProtection="1">
      <alignment horizontal="center" vertical="top"/>
    </xf>
    <xf numFmtId="0" fontId="29" fillId="0" borderId="20" xfId="5" applyFont="1" applyBorder="1" applyAlignment="1" applyProtection="1">
      <alignment vertical="top"/>
    </xf>
    <xf numFmtId="4" fontId="29" fillId="0" borderId="19" xfId="5" applyNumberFormat="1" applyFont="1" applyBorder="1" applyAlignment="1" applyProtection="1">
      <alignment vertical="top"/>
    </xf>
    <xf numFmtId="43" fontId="29" fillId="0" borderId="20" xfId="5" applyNumberFormat="1" applyFont="1" applyBorder="1" applyAlignment="1" applyProtection="1">
      <alignment vertical="top" wrapText="1"/>
    </xf>
    <xf numFmtId="0" fontId="31" fillId="0" borderId="19" xfId="5" applyNumberFormat="1" applyFont="1" applyBorder="1" applyAlignment="1" applyProtection="1">
      <alignment horizontal="left" vertical="top" wrapText="1"/>
    </xf>
    <xf numFmtId="0" fontId="28" fillId="0" borderId="19" xfId="5" applyNumberFormat="1" applyFont="1" applyBorder="1" applyAlignment="1" applyProtection="1">
      <alignment horizontal="left" vertical="top" wrapText="1"/>
    </xf>
    <xf numFmtId="0" fontId="29" fillId="0" borderId="19" xfId="5" applyFont="1" applyFill="1" applyBorder="1" applyAlignment="1" applyProtection="1">
      <alignment vertical="top" wrapText="1"/>
    </xf>
    <xf numFmtId="0" fontId="29" fillId="0" borderId="22" xfId="5" applyFont="1" applyBorder="1" applyAlignment="1" applyProtection="1">
      <alignment vertical="top" wrapText="1"/>
    </xf>
    <xf numFmtId="4" fontId="29" fillId="0" borderId="20" xfId="5" applyNumberFormat="1" applyFont="1" applyBorder="1" applyAlignment="1" applyProtection="1">
      <alignment vertical="top" wrapText="1"/>
    </xf>
    <xf numFmtId="0" fontId="28" fillId="0" borderId="23" xfId="5" applyNumberFormat="1" applyFont="1" applyBorder="1" applyAlignment="1" applyProtection="1">
      <alignment horizontal="center" vertical="top" wrapText="1"/>
    </xf>
    <xf numFmtId="0" fontId="29" fillId="0" borderId="24" xfId="5" applyFont="1" applyBorder="1" applyAlignment="1" applyProtection="1">
      <alignment vertical="top" wrapText="1"/>
    </xf>
    <xf numFmtId="0" fontId="29" fillId="0" borderId="25" xfId="5" applyFont="1" applyBorder="1" applyAlignment="1" applyProtection="1">
      <alignment vertical="top" wrapText="1"/>
    </xf>
    <xf numFmtId="0" fontId="28" fillId="0" borderId="0" xfId="5" applyNumberFormat="1" applyFont="1" applyBorder="1" applyAlignment="1" applyProtection="1">
      <alignment horizontal="center" vertical="top" wrapText="1"/>
    </xf>
    <xf numFmtId="4" fontId="32" fillId="0" borderId="0" xfId="5" applyNumberFormat="1" applyFont="1" applyBorder="1" applyAlignment="1" applyProtection="1">
      <alignment horizontal="center" vertical="top" wrapText="1"/>
    </xf>
    <xf numFmtId="4" fontId="32" fillId="0" borderId="26" xfId="5" applyNumberFormat="1" applyFont="1" applyBorder="1" applyAlignment="1" applyProtection="1">
      <alignment horizontal="center" vertical="top" wrapText="1"/>
    </xf>
    <xf numFmtId="0" fontId="29" fillId="0" borderId="26" xfId="5" applyFont="1" applyBorder="1" applyAlignment="1" applyProtection="1">
      <alignment vertical="top" wrapText="1"/>
    </xf>
    <xf numFmtId="4" fontId="33" fillId="0" borderId="26" xfId="5" applyNumberFormat="1" applyFont="1" applyFill="1" applyBorder="1" applyAlignment="1" applyProtection="1">
      <alignment horizontal="center" vertical="top" wrapText="1"/>
    </xf>
    <xf numFmtId="4" fontId="28" fillId="0" borderId="0" xfId="5" applyNumberFormat="1" applyFont="1" applyBorder="1" applyAlignment="1" applyProtection="1">
      <alignment vertical="top" wrapText="1"/>
    </xf>
    <xf numFmtId="0" fontId="27" fillId="0" borderId="0" xfId="5" applyFont="1" applyBorder="1" applyAlignment="1" applyProtection="1">
      <alignment vertical="top" wrapText="1"/>
    </xf>
    <xf numFmtId="0" fontId="29" fillId="0" borderId="0" xfId="5" applyFont="1" applyBorder="1" applyAlignment="1" applyProtection="1">
      <alignment vertical="top" wrapText="1"/>
    </xf>
    <xf numFmtId="2" fontId="27" fillId="0" borderId="0" xfId="5" applyNumberFormat="1" applyFont="1" applyFill="1" applyBorder="1" applyAlignment="1" applyProtection="1">
      <alignment vertical="top" wrapText="1"/>
    </xf>
    <xf numFmtId="0" fontId="27" fillId="0" borderId="13" xfId="5" applyFont="1" applyBorder="1" applyAlignment="1" applyProtection="1">
      <alignment vertical="top" wrapText="1"/>
    </xf>
    <xf numFmtId="0" fontId="29" fillId="0" borderId="13" xfId="5" applyFont="1" applyBorder="1" applyAlignment="1" applyProtection="1">
      <alignment vertical="top" wrapText="1"/>
    </xf>
    <xf numFmtId="2" fontId="27" fillId="0" borderId="13" xfId="5" applyNumberFormat="1" applyFont="1" applyFill="1" applyBorder="1" applyAlignment="1" applyProtection="1">
      <alignment vertical="top" wrapText="1"/>
    </xf>
    <xf numFmtId="0" fontId="27" fillId="0" borderId="27" xfId="5" applyFont="1" applyBorder="1" applyAlignment="1" applyProtection="1">
      <alignment vertical="top" wrapText="1"/>
    </xf>
    <xf numFmtId="2" fontId="27" fillId="0" borderId="28" xfId="5" applyNumberFormat="1" applyFont="1" applyFill="1" applyBorder="1" applyAlignment="1" applyProtection="1">
      <alignment horizontal="center" vertical="top" wrapText="1"/>
    </xf>
    <xf numFmtId="2" fontId="27" fillId="0" borderId="26" xfId="5" applyNumberFormat="1" applyFont="1" applyFill="1" applyBorder="1" applyAlignment="1" applyProtection="1">
      <alignment horizontal="center" vertical="top" wrapText="1"/>
    </xf>
    <xf numFmtId="2" fontId="27" fillId="0" borderId="27" xfId="5" applyNumberFormat="1" applyFont="1" applyFill="1" applyBorder="1" applyAlignment="1" applyProtection="1">
      <alignment horizontal="center" vertical="top" wrapText="1"/>
    </xf>
    <xf numFmtId="4" fontId="27" fillId="0" borderId="27" xfId="5" applyNumberFormat="1" applyFont="1" applyBorder="1" applyAlignment="1" applyProtection="1">
      <alignment horizontal="center" vertical="top" wrapText="1"/>
    </xf>
    <xf numFmtId="0" fontId="28" fillId="0" borderId="29" xfId="5" applyNumberFormat="1" applyFont="1" applyBorder="1" applyAlignment="1" applyProtection="1">
      <alignment horizontal="center" vertical="top" wrapText="1"/>
    </xf>
    <xf numFmtId="0" fontId="29" fillId="0" borderId="30" xfId="5" applyFont="1" applyBorder="1" applyAlignment="1" applyProtection="1">
      <alignment vertical="top" wrapText="1"/>
    </xf>
    <xf numFmtId="43" fontId="29" fillId="0" borderId="10" xfId="5" applyNumberFormat="1" applyFont="1" applyBorder="1" applyAlignment="1" applyProtection="1">
      <alignment vertical="top" wrapText="1"/>
    </xf>
    <xf numFmtId="0" fontId="29" fillId="0" borderId="31" xfId="5" applyFont="1" applyBorder="1" applyAlignment="1" applyProtection="1">
      <alignment vertical="top" wrapText="1"/>
    </xf>
    <xf numFmtId="4" fontId="29" fillId="0" borderId="31" xfId="5" applyNumberFormat="1" applyFont="1" applyBorder="1" applyAlignment="1" applyProtection="1">
      <alignment vertical="top" wrapText="1"/>
    </xf>
    <xf numFmtId="4" fontId="29" fillId="0" borderId="32" xfId="5" applyNumberFormat="1" applyFont="1" applyBorder="1" applyAlignment="1" applyProtection="1">
      <alignment horizontal="center" vertical="top" wrapText="1"/>
    </xf>
    <xf numFmtId="164" fontId="29" fillId="0" borderId="10" xfId="5" applyNumberFormat="1" applyFont="1" applyBorder="1" applyAlignment="1" applyProtection="1">
      <alignment vertical="top" wrapText="1"/>
    </xf>
    <xf numFmtId="0" fontId="29" fillId="0" borderId="10" xfId="5" applyFont="1" applyBorder="1" applyAlignment="1" applyProtection="1">
      <alignment vertical="top" wrapText="1"/>
    </xf>
    <xf numFmtId="0" fontId="28" fillId="0" borderId="33" xfId="5" applyNumberFormat="1" applyFont="1" applyBorder="1" applyAlignment="1" applyProtection="1">
      <alignment horizontal="center" vertical="top" wrapText="1"/>
    </xf>
    <xf numFmtId="0" fontId="34" fillId="0" borderId="26" xfId="5" applyFont="1" applyFill="1" applyBorder="1" applyAlignment="1" applyProtection="1">
      <alignment horizontal="center" vertical="top" wrapText="1"/>
    </xf>
    <xf numFmtId="4" fontId="33" fillId="0" borderId="0" xfId="5" applyNumberFormat="1" applyFont="1" applyFill="1" applyBorder="1" applyAlignment="1" applyProtection="1">
      <alignment horizontal="center" vertical="top" wrapText="1"/>
    </xf>
    <xf numFmtId="0" fontId="34" fillId="0" borderId="0" xfId="5" applyFont="1" applyFill="1" applyBorder="1" applyAlignment="1" applyProtection="1">
      <alignment horizontal="center" vertical="top" wrapText="1"/>
    </xf>
    <xf numFmtId="0" fontId="35" fillId="0" borderId="0" xfId="5" applyFont="1" applyBorder="1" applyProtection="1"/>
    <xf numFmtId="0" fontId="36" fillId="0" borderId="0" xfId="5" applyFont="1" applyFill="1" applyBorder="1" applyAlignment="1" applyProtection="1">
      <alignment horizontal="center" vertical="top" wrapText="1"/>
    </xf>
    <xf numFmtId="4" fontId="37" fillId="0" borderId="0" xfId="3" applyNumberFormat="1" applyFont="1" applyFill="1" applyBorder="1" applyAlignment="1" applyProtection="1">
      <alignment horizontal="center" vertical="top" wrapText="1"/>
    </xf>
    <xf numFmtId="4" fontId="37" fillId="4" borderId="0" xfId="3" applyNumberFormat="1" applyFont="1" applyFill="1" applyBorder="1" applyAlignment="1" applyProtection="1">
      <alignment horizontal="center" vertical="top" wrapText="1"/>
    </xf>
    <xf numFmtId="0" fontId="33" fillId="0" borderId="0" xfId="5" applyFont="1" applyBorder="1" applyProtection="1"/>
    <xf numFmtId="0" fontId="29" fillId="0" borderId="0" xfId="5" applyFont="1" applyBorder="1" applyProtection="1"/>
    <xf numFmtId="0" fontId="29" fillId="0" borderId="0" xfId="5" applyFont="1" applyBorder="1" applyAlignment="1" applyProtection="1">
      <alignment vertical="top"/>
    </xf>
    <xf numFmtId="2" fontId="29" fillId="0" borderId="0" xfId="5" applyNumberFormat="1" applyFont="1" applyFill="1" applyBorder="1" applyProtection="1"/>
    <xf numFmtId="0" fontId="34" fillId="0" borderId="0" xfId="5" applyFont="1" applyBorder="1" applyAlignment="1" applyProtection="1">
      <alignment horizontal="center"/>
    </xf>
    <xf numFmtId="0" fontId="34" fillId="0" borderId="0" xfId="5" applyFont="1" applyBorder="1" applyAlignment="1" applyProtection="1">
      <alignment horizontal="center" vertical="top"/>
    </xf>
    <xf numFmtId="2" fontId="34" fillId="0" borderId="0" xfId="5" applyNumberFormat="1" applyFont="1" applyFill="1" applyBorder="1" applyAlignment="1" applyProtection="1">
      <alignment horizontal="center"/>
    </xf>
    <xf numFmtId="0" fontId="27" fillId="0" borderId="34" xfId="5" applyNumberFormat="1" applyFont="1" applyBorder="1" applyAlignment="1" applyProtection="1">
      <alignment horizontal="center" vertical="top" wrapText="1"/>
    </xf>
    <xf numFmtId="0" fontId="27" fillId="0" borderId="35" xfId="5" applyNumberFormat="1" applyFont="1" applyBorder="1" applyAlignment="1" applyProtection="1">
      <alignment horizontal="center" vertical="top" wrapText="1"/>
    </xf>
    <xf numFmtId="4" fontId="27" fillId="0" borderId="35" xfId="5" applyNumberFormat="1" applyFont="1" applyBorder="1" applyAlignment="1" applyProtection="1">
      <alignment horizontal="center" vertical="top" wrapText="1"/>
    </xf>
    <xf numFmtId="2" fontId="27" fillId="0" borderId="35" xfId="5" applyNumberFormat="1" applyFont="1" applyFill="1" applyBorder="1" applyAlignment="1" applyProtection="1">
      <alignment horizontal="center" vertical="top" wrapText="1"/>
    </xf>
    <xf numFmtId="4" fontId="27" fillId="0" borderId="36" xfId="5" applyNumberFormat="1" applyFont="1" applyBorder="1" applyAlignment="1" applyProtection="1">
      <alignment horizontal="center" vertical="top" wrapText="1"/>
    </xf>
    <xf numFmtId="0" fontId="29" fillId="0" borderId="31" xfId="5" applyFont="1" applyBorder="1" applyAlignment="1" applyProtection="1">
      <alignment horizontal="center"/>
    </xf>
    <xf numFmtId="2" fontId="29" fillId="0" borderId="31" xfId="5" applyNumberFormat="1" applyFont="1" applyFill="1" applyBorder="1" applyAlignment="1" applyProtection="1">
      <alignment vertical="top"/>
    </xf>
    <xf numFmtId="4" fontId="29" fillId="0" borderId="37" xfId="5" applyNumberFormat="1" applyFont="1" applyBorder="1" applyProtection="1"/>
    <xf numFmtId="0" fontId="29" fillId="0" borderId="38" xfId="5" applyFont="1" applyBorder="1" applyAlignment="1" applyProtection="1">
      <alignment horizontal="center"/>
    </xf>
    <xf numFmtId="0" fontId="29" fillId="0" borderId="19" xfId="5" applyFont="1" applyBorder="1" applyAlignment="1" applyProtection="1">
      <alignment horizontal="center"/>
    </xf>
    <xf numFmtId="2" fontId="29" fillId="0" borderId="39" xfId="5" applyNumberFormat="1" applyFont="1" applyFill="1" applyBorder="1" applyAlignment="1" applyProtection="1">
      <alignment vertical="top"/>
    </xf>
    <xf numFmtId="0" fontId="29" fillId="0" borderId="19" xfId="5" applyFont="1" applyFill="1" applyBorder="1" applyAlignment="1" applyProtection="1">
      <alignment horizontal="center"/>
    </xf>
    <xf numFmtId="0" fontId="29" fillId="0" borderId="38" xfId="5" applyFont="1" applyFill="1" applyBorder="1" applyAlignment="1" applyProtection="1">
      <alignment horizontal="center"/>
    </xf>
    <xf numFmtId="0" fontId="29" fillId="0" borderId="40" xfId="5" applyFont="1" applyFill="1" applyBorder="1" applyAlignment="1" applyProtection="1">
      <alignment horizontal="center"/>
    </xf>
    <xf numFmtId="0" fontId="29" fillId="0" borderId="19" xfId="5" applyNumberFormat="1" applyFont="1" applyBorder="1" applyAlignment="1" applyProtection="1">
      <alignment horizontal="center" vertical="top" wrapText="1"/>
    </xf>
    <xf numFmtId="0" fontId="29" fillId="0" borderId="38" xfId="5" applyNumberFormat="1" applyFont="1" applyBorder="1" applyAlignment="1" applyProtection="1">
      <alignment horizontal="center" vertical="top" wrapText="1"/>
    </xf>
    <xf numFmtId="0" fontId="29" fillId="0" borderId="41" xfId="5" applyNumberFormat="1" applyFont="1" applyBorder="1" applyAlignment="1" applyProtection="1">
      <alignment horizontal="center" vertical="top" wrapText="1"/>
    </xf>
    <xf numFmtId="0" fontId="29" fillId="0" borderId="0" xfId="5" applyNumberFormat="1" applyFont="1" applyBorder="1" applyAlignment="1" applyProtection="1">
      <alignment horizontal="center" vertical="top" wrapText="1"/>
    </xf>
    <xf numFmtId="2" fontId="29" fillId="0" borderId="12" xfId="5" applyNumberFormat="1" applyFont="1" applyFill="1" applyBorder="1" applyAlignment="1" applyProtection="1">
      <alignment vertical="top"/>
    </xf>
    <xf numFmtId="0" fontId="29" fillId="0" borderId="39" xfId="5" applyNumberFormat="1" applyFont="1" applyBorder="1" applyAlignment="1" applyProtection="1">
      <alignment horizontal="center" vertical="top" wrapText="1"/>
    </xf>
    <xf numFmtId="2" fontId="29" fillId="0" borderId="8" xfId="5" applyNumberFormat="1" applyFont="1" applyFill="1" applyBorder="1" applyAlignment="1" applyProtection="1">
      <alignment vertical="top"/>
    </xf>
    <xf numFmtId="0" fontId="29" fillId="0" borderId="42" xfId="5" applyNumberFormat="1" applyFont="1" applyBorder="1" applyAlignment="1" applyProtection="1">
      <alignment horizontal="center" vertical="top" wrapText="1"/>
    </xf>
    <xf numFmtId="0" fontId="29" fillId="0" borderId="9" xfId="5" applyNumberFormat="1" applyFont="1" applyBorder="1" applyAlignment="1" applyProtection="1">
      <alignment horizontal="center" vertical="top" wrapText="1"/>
    </xf>
    <xf numFmtId="0" fontId="29" fillId="0" borderId="10" xfId="5" applyNumberFormat="1" applyFont="1" applyBorder="1" applyAlignment="1" applyProtection="1">
      <alignment horizontal="center" vertical="top" wrapText="1"/>
    </xf>
    <xf numFmtId="0" fontId="29" fillId="0" borderId="43" xfId="5" applyNumberFormat="1" applyFont="1" applyBorder="1" applyAlignment="1" applyProtection="1">
      <alignment horizontal="center" vertical="top" wrapText="1"/>
    </xf>
    <xf numFmtId="0" fontId="29" fillId="0" borderId="22" xfId="5" applyNumberFormat="1" applyFont="1" applyBorder="1" applyAlignment="1" applyProtection="1">
      <alignment horizontal="center" vertical="top" wrapText="1"/>
    </xf>
    <xf numFmtId="0" fontId="29" fillId="0" borderId="44" xfId="5" applyNumberFormat="1" applyFont="1" applyBorder="1" applyAlignment="1" applyProtection="1">
      <alignment horizontal="center" vertical="top" wrapText="1"/>
    </xf>
    <xf numFmtId="0" fontId="29" fillId="0" borderId="45" xfId="5" applyNumberFormat="1" applyFont="1" applyBorder="1" applyAlignment="1" applyProtection="1">
      <alignment horizontal="center" vertical="top" wrapText="1"/>
    </xf>
    <xf numFmtId="2" fontId="29" fillId="0" borderId="0" xfId="5" applyNumberFormat="1" applyFont="1" applyFill="1" applyBorder="1" applyAlignment="1" applyProtection="1">
      <alignment vertical="top"/>
    </xf>
    <xf numFmtId="0" fontId="29" fillId="0" borderId="31" xfId="5" applyNumberFormat="1" applyFont="1" applyBorder="1" applyAlignment="1" applyProtection="1">
      <alignment horizontal="center" vertical="top" wrapText="1"/>
    </xf>
    <xf numFmtId="2" fontId="29" fillId="0" borderId="46" xfId="5" applyNumberFormat="1" applyFont="1" applyFill="1" applyBorder="1" applyAlignment="1" applyProtection="1">
      <alignment vertical="top"/>
    </xf>
    <xf numFmtId="4" fontId="29" fillId="0" borderId="0" xfId="5" applyNumberFormat="1" applyFont="1" applyBorder="1" applyAlignment="1" applyProtection="1">
      <alignment vertical="top" wrapText="1"/>
    </xf>
    <xf numFmtId="0" fontId="29" fillId="0" borderId="8" xfId="5" applyNumberFormat="1" applyFont="1" applyBorder="1" applyAlignment="1" applyProtection="1">
      <alignment horizontal="center" vertical="top" wrapText="1"/>
    </xf>
    <xf numFmtId="0" fontId="29" fillId="0" borderId="47" xfId="5" applyNumberFormat="1" applyFont="1" applyBorder="1" applyAlignment="1" applyProtection="1">
      <alignment horizontal="center" vertical="top" wrapText="1"/>
    </xf>
    <xf numFmtId="0" fontId="29" fillId="0" borderId="7" xfId="5" applyNumberFormat="1" applyFont="1" applyBorder="1" applyAlignment="1" applyProtection="1">
      <alignment horizontal="center" vertical="top" wrapText="1"/>
    </xf>
    <xf numFmtId="2" fontId="29" fillId="0" borderId="7" xfId="5" applyNumberFormat="1" applyFont="1" applyFill="1" applyBorder="1" applyAlignment="1" applyProtection="1">
      <alignment vertical="top"/>
    </xf>
    <xf numFmtId="0" fontId="29" fillId="0" borderId="39" xfId="5" applyFont="1" applyBorder="1" applyAlignment="1" applyProtection="1">
      <alignment horizontal="center"/>
    </xf>
    <xf numFmtId="0" fontId="29" fillId="0" borderId="48" xfId="5" applyNumberFormat="1" applyFont="1" applyBorder="1" applyAlignment="1" applyProtection="1">
      <alignment horizontal="center" vertical="top" wrapText="1"/>
    </xf>
    <xf numFmtId="4" fontId="29" fillId="0" borderId="44" xfId="5" applyNumberFormat="1" applyFont="1" applyBorder="1" applyAlignment="1" applyProtection="1">
      <alignment vertical="top" wrapText="1"/>
    </xf>
    <xf numFmtId="4" fontId="34" fillId="0" borderId="0" xfId="5" applyNumberFormat="1" applyFont="1" applyFill="1" applyBorder="1" applyAlignment="1" applyProtection="1">
      <alignment vertical="top" wrapText="1"/>
    </xf>
    <xf numFmtId="0" fontId="33" fillId="4" borderId="0" xfId="5" applyFont="1" applyFill="1" applyBorder="1" applyProtection="1"/>
    <xf numFmtId="0" fontId="27" fillId="4" borderId="0" xfId="5" applyFont="1" applyFill="1" applyBorder="1" applyAlignment="1" applyProtection="1">
      <alignment horizontal="center" vertical="top" wrapText="1"/>
    </xf>
    <xf numFmtId="0" fontId="34" fillId="4" borderId="0" xfId="5" applyFont="1" applyFill="1" applyBorder="1" applyAlignment="1" applyProtection="1">
      <alignment horizontal="center" vertical="top" wrapText="1"/>
    </xf>
    <xf numFmtId="2" fontId="29" fillId="4" borderId="0" xfId="5" applyNumberFormat="1" applyFont="1" applyFill="1" applyBorder="1" applyProtection="1"/>
    <xf numFmtId="0" fontId="27" fillId="4" borderId="34" xfId="5" applyFont="1" applyFill="1" applyBorder="1" applyAlignment="1" applyProtection="1">
      <alignment horizontal="center" vertical="top" wrapText="1"/>
    </xf>
    <xf numFmtId="0" fontId="27" fillId="4" borderId="35" xfId="5" applyFont="1" applyFill="1" applyBorder="1" applyAlignment="1" applyProtection="1">
      <alignment horizontal="center" vertical="top" wrapText="1"/>
    </xf>
    <xf numFmtId="2" fontId="27" fillId="4" borderId="49" xfId="5" applyNumberFormat="1" applyFont="1" applyFill="1" applyBorder="1" applyAlignment="1" applyProtection="1">
      <alignment horizontal="center" vertical="top" wrapText="1"/>
    </xf>
    <xf numFmtId="0" fontId="27" fillId="4" borderId="36" xfId="5" applyFont="1" applyFill="1" applyBorder="1" applyAlignment="1" applyProtection="1">
      <alignment horizontal="center" vertical="top" wrapText="1"/>
    </xf>
    <xf numFmtId="0" fontId="29" fillId="4" borderId="50" xfId="5" applyFont="1" applyFill="1" applyBorder="1" applyAlignment="1" applyProtection="1">
      <alignment horizontal="center"/>
    </xf>
    <xf numFmtId="0" fontId="29" fillId="4" borderId="51" xfId="5" applyNumberFormat="1" applyFont="1" applyFill="1" applyBorder="1" applyAlignment="1" applyProtection="1">
      <alignment horizontal="left" vertical="top" wrapText="1"/>
    </xf>
    <xf numFmtId="0" fontId="29" fillId="4" borderId="49" xfId="5" applyFont="1" applyFill="1" applyBorder="1" applyAlignment="1" applyProtection="1">
      <alignment horizontal="center" vertical="top" wrapText="1"/>
    </xf>
    <xf numFmtId="2" fontId="29" fillId="4" borderId="8" xfId="5" applyNumberFormat="1" applyFont="1" applyFill="1" applyBorder="1" applyAlignment="1" applyProtection="1">
      <alignment vertical="top"/>
    </xf>
    <xf numFmtId="2" fontId="29" fillId="4" borderId="10" xfId="5" applyNumberFormat="1" applyFont="1" applyFill="1" applyBorder="1" applyAlignment="1" applyProtection="1">
      <alignment vertical="top"/>
    </xf>
    <xf numFmtId="4" fontId="29" fillId="4" borderId="19" xfId="5" applyNumberFormat="1" applyFont="1" applyFill="1" applyBorder="1" applyAlignment="1" applyProtection="1">
      <alignment vertical="top" wrapText="1"/>
    </xf>
    <xf numFmtId="4" fontId="29" fillId="4" borderId="52" xfId="3" applyNumberFormat="1" applyFont="1" applyFill="1" applyBorder="1" applyAlignment="1" applyProtection="1">
      <alignment horizontal="center" vertical="top" wrapText="1"/>
    </xf>
    <xf numFmtId="0" fontId="29" fillId="4" borderId="53" xfId="5" applyFont="1" applyFill="1" applyBorder="1" applyAlignment="1" applyProtection="1">
      <alignment horizontal="center"/>
    </xf>
    <xf numFmtId="0" fontId="29" fillId="4" borderId="38" xfId="5" applyNumberFormat="1" applyFont="1" applyFill="1" applyBorder="1" applyAlignment="1" applyProtection="1">
      <alignment horizontal="left" vertical="top" wrapText="1"/>
    </xf>
    <xf numFmtId="0" fontId="29" fillId="4" borderId="19" xfId="5" applyFont="1" applyFill="1" applyBorder="1" applyAlignment="1" applyProtection="1">
      <alignment horizontal="center" vertical="top" wrapText="1"/>
    </xf>
    <xf numFmtId="0" fontId="29" fillId="4" borderId="54" xfId="5" applyNumberFormat="1" applyFont="1" applyFill="1" applyBorder="1" applyAlignment="1" applyProtection="1">
      <alignment horizontal="center" vertical="top" wrapText="1"/>
    </xf>
    <xf numFmtId="0" fontId="29" fillId="4" borderId="41" xfId="5" applyNumberFormat="1" applyFont="1" applyFill="1" applyBorder="1" applyAlignment="1" applyProtection="1">
      <alignment horizontal="left" vertical="top" wrapText="1"/>
    </xf>
    <xf numFmtId="0" fontId="29" fillId="4" borderId="41" xfId="5" applyFont="1" applyFill="1" applyBorder="1" applyAlignment="1" applyProtection="1">
      <alignment horizontal="center" vertical="top" wrapText="1"/>
    </xf>
    <xf numFmtId="0" fontId="29" fillId="4" borderId="0" xfId="5" applyFont="1" applyFill="1" applyBorder="1" applyProtection="1"/>
    <xf numFmtId="4" fontId="33" fillId="4" borderId="0" xfId="5" applyNumberFormat="1" applyFont="1" applyFill="1" applyBorder="1" applyAlignment="1" applyProtection="1">
      <alignment horizontal="center" vertical="top" wrapText="1"/>
    </xf>
    <xf numFmtId="0" fontId="29" fillId="4" borderId="0" xfId="5" applyNumberFormat="1" applyFont="1" applyFill="1" applyBorder="1" applyAlignment="1" applyProtection="1">
      <alignment horizontal="center" vertical="top" wrapText="1"/>
    </xf>
    <xf numFmtId="4" fontId="29" fillId="4" borderId="0" xfId="5" applyNumberFormat="1" applyFont="1" applyFill="1" applyBorder="1" applyAlignment="1" applyProtection="1">
      <alignment vertical="top" wrapText="1"/>
    </xf>
    <xf numFmtId="4" fontId="29" fillId="4" borderId="0" xfId="5" applyNumberFormat="1" applyFont="1" applyFill="1" applyBorder="1" applyProtection="1"/>
    <xf numFmtId="0" fontId="27" fillId="4" borderId="27" xfId="5" applyFont="1" applyFill="1" applyBorder="1" applyAlignment="1" applyProtection="1">
      <alignment vertical="top" wrapText="1"/>
    </xf>
    <xf numFmtId="4" fontId="27" fillId="4" borderId="27" xfId="5" applyNumberFormat="1" applyFont="1" applyFill="1" applyBorder="1" applyAlignment="1" applyProtection="1">
      <alignment horizontal="center" vertical="top" wrapText="1"/>
    </xf>
    <xf numFmtId="0" fontId="29" fillId="4" borderId="30" xfId="5" applyFont="1" applyFill="1" applyBorder="1" applyAlignment="1" applyProtection="1">
      <alignment horizontal="center"/>
    </xf>
    <xf numFmtId="0" fontId="29" fillId="4" borderId="30" xfId="5" applyNumberFormat="1" applyFont="1" applyFill="1" applyBorder="1" applyAlignment="1" applyProtection="1">
      <alignment horizontal="left" vertical="top" wrapText="1"/>
    </xf>
    <xf numFmtId="0" fontId="29" fillId="4" borderId="30" xfId="5" applyNumberFormat="1" applyFont="1" applyFill="1" applyBorder="1" applyAlignment="1" applyProtection="1">
      <alignment horizontal="center" vertical="top" wrapText="1"/>
    </xf>
    <xf numFmtId="0" fontId="29" fillId="4" borderId="30" xfId="5" applyFont="1" applyFill="1" applyBorder="1" applyAlignment="1" applyProtection="1">
      <alignment vertical="top"/>
    </xf>
    <xf numFmtId="0" fontId="29" fillId="4" borderId="31" xfId="5" applyFont="1" applyFill="1" applyBorder="1" applyAlignment="1" applyProtection="1">
      <alignment vertical="top"/>
    </xf>
    <xf numFmtId="4" fontId="29" fillId="4" borderId="55" xfId="5" applyNumberFormat="1" applyFont="1" applyFill="1" applyBorder="1" applyAlignment="1" applyProtection="1">
      <alignment horizontal="right"/>
    </xf>
    <xf numFmtId="0" fontId="29" fillId="4" borderId="19" xfId="5" applyNumberFormat="1" applyFont="1" applyFill="1" applyBorder="1" applyAlignment="1" applyProtection="1">
      <alignment horizontal="center" vertical="top" wrapText="1"/>
    </xf>
    <xf numFmtId="0" fontId="29" fillId="4" borderId="19" xfId="5" applyNumberFormat="1" applyFont="1" applyFill="1" applyBorder="1" applyAlignment="1" applyProtection="1">
      <alignment horizontal="left" vertical="top" wrapText="1"/>
    </xf>
    <xf numFmtId="0" fontId="29" fillId="4" borderId="19" xfId="5" applyFont="1" applyFill="1" applyBorder="1" applyAlignment="1" applyProtection="1">
      <alignment vertical="top"/>
    </xf>
    <xf numFmtId="0" fontId="29" fillId="4" borderId="31" xfId="5" applyNumberFormat="1" applyFont="1" applyFill="1" applyBorder="1" applyAlignment="1" applyProtection="1">
      <alignment horizontal="center" vertical="top" wrapText="1"/>
    </xf>
    <xf numFmtId="0" fontId="29" fillId="4" borderId="31" xfId="5" applyFont="1" applyFill="1" applyBorder="1" applyAlignment="1" applyProtection="1">
      <alignment horizontal="center"/>
    </xf>
    <xf numFmtId="167" fontId="29" fillId="4" borderId="19" xfId="5" applyNumberFormat="1" applyFont="1" applyFill="1" applyBorder="1" applyAlignment="1" applyProtection="1">
      <alignment horizontal="center" vertical="top" wrapText="1"/>
    </xf>
    <xf numFmtId="0" fontId="29" fillId="4" borderId="10" xfId="5" applyFont="1" applyFill="1" applyBorder="1" applyAlignment="1" applyProtection="1">
      <alignment vertical="top"/>
    </xf>
    <xf numFmtId="4" fontId="29" fillId="4" borderId="21" xfId="5" applyNumberFormat="1" applyFont="1" applyFill="1" applyBorder="1" applyAlignment="1" applyProtection="1">
      <alignment horizontal="right"/>
    </xf>
    <xf numFmtId="0" fontId="29" fillId="4" borderId="18" xfId="5" applyFont="1" applyFill="1" applyBorder="1" applyAlignment="1" applyProtection="1">
      <alignment horizontal="center"/>
    </xf>
    <xf numFmtId="0" fontId="27" fillId="4" borderId="19" xfId="5" applyFont="1" applyFill="1" applyBorder="1" applyAlignment="1" applyProtection="1">
      <alignment vertical="top" wrapText="1"/>
    </xf>
    <xf numFmtId="0" fontId="29" fillId="4" borderId="19" xfId="5" applyFont="1" applyFill="1" applyBorder="1" applyAlignment="1" applyProtection="1">
      <alignment vertical="top" wrapText="1"/>
    </xf>
    <xf numFmtId="0" fontId="29" fillId="4" borderId="18" xfId="5" applyNumberFormat="1" applyFont="1" applyFill="1" applyBorder="1" applyAlignment="1" applyProtection="1">
      <alignment horizontal="center" vertical="top" wrapText="1"/>
    </xf>
    <xf numFmtId="0" fontId="29" fillId="4" borderId="56" xfId="5" applyFont="1" applyFill="1" applyBorder="1" applyAlignment="1" applyProtection="1">
      <alignment horizontal="center" vertical="top"/>
    </xf>
    <xf numFmtId="0" fontId="29" fillId="4" borderId="44" xfId="5" applyFont="1" applyFill="1" applyBorder="1" applyAlignment="1" applyProtection="1">
      <alignment vertical="top" wrapText="1"/>
    </xf>
    <xf numFmtId="0" fontId="29" fillId="4" borderId="44" xfId="5" applyFont="1" applyFill="1" applyBorder="1" applyAlignment="1" applyProtection="1">
      <alignment horizontal="center" vertical="top" wrapText="1"/>
    </xf>
    <xf numFmtId="0" fontId="29" fillId="4" borderId="8" xfId="5" applyNumberFormat="1" applyFont="1" applyFill="1" applyBorder="1" applyAlignment="1" applyProtection="1">
      <alignment horizontal="center" vertical="top" wrapText="1"/>
    </xf>
    <xf numFmtId="0" fontId="27" fillId="4" borderId="57" xfId="5" applyFont="1" applyFill="1" applyBorder="1" applyAlignment="1" applyProtection="1">
      <alignment vertical="top" wrapText="1"/>
    </xf>
    <xf numFmtId="0" fontId="27" fillId="4" borderId="12" xfId="5" applyFont="1" applyFill="1" applyBorder="1" applyAlignment="1" applyProtection="1">
      <alignment vertical="top" wrapText="1"/>
    </xf>
    <xf numFmtId="0" fontId="29" fillId="4" borderId="12" xfId="5" applyFont="1" applyFill="1" applyBorder="1" applyAlignment="1" applyProtection="1">
      <alignment vertical="top"/>
    </xf>
    <xf numFmtId="0" fontId="29" fillId="4" borderId="58" xfId="5" applyNumberFormat="1" applyFont="1" applyFill="1" applyBorder="1" applyAlignment="1" applyProtection="1">
      <alignment horizontal="center" vertical="top" wrapText="1"/>
    </xf>
    <xf numFmtId="0" fontId="29" fillId="4" borderId="31" xfId="5" applyFont="1" applyFill="1" applyBorder="1" applyAlignment="1" applyProtection="1">
      <alignment vertical="top" wrapText="1"/>
    </xf>
    <xf numFmtId="0" fontId="29" fillId="4" borderId="31" xfId="5" applyFont="1" applyFill="1" applyBorder="1" applyAlignment="1" applyProtection="1">
      <alignment horizontal="center" vertical="top" wrapText="1"/>
    </xf>
    <xf numFmtId="0" fontId="29" fillId="4" borderId="56" xfId="5" applyNumberFormat="1" applyFont="1" applyFill="1" applyBorder="1" applyAlignment="1" applyProtection="1">
      <alignment horizontal="center" vertical="top" wrapText="1"/>
    </xf>
    <xf numFmtId="0" fontId="27" fillId="4" borderId="12" xfId="5" applyFont="1" applyFill="1" applyBorder="1" applyAlignment="1" applyProtection="1">
      <alignment horizontal="center" vertical="top" wrapText="1"/>
    </xf>
    <xf numFmtId="0" fontId="29" fillId="4" borderId="41" xfId="5" applyNumberFormat="1" applyFont="1" applyFill="1" applyBorder="1" applyAlignment="1" applyProtection="1">
      <alignment horizontal="center" vertical="top" wrapText="1"/>
    </xf>
    <xf numFmtId="0" fontId="29" fillId="4" borderId="41" xfId="5" applyFont="1" applyFill="1" applyBorder="1" applyAlignment="1" applyProtection="1">
      <alignment vertical="top" wrapText="1"/>
    </xf>
    <xf numFmtId="0" fontId="34" fillId="4" borderId="19" xfId="5" applyFont="1" applyFill="1" applyBorder="1" applyAlignment="1" applyProtection="1">
      <alignment vertical="top" wrapText="1"/>
    </xf>
    <xf numFmtId="0" fontId="34" fillId="0" borderId="46" xfId="5" applyFont="1" applyFill="1" applyBorder="1" applyAlignment="1" applyProtection="1">
      <alignment horizontal="center" vertical="top" wrapText="1"/>
    </xf>
    <xf numFmtId="0" fontId="34" fillId="0" borderId="46" xfId="5" applyFont="1" applyFill="1" applyBorder="1" applyAlignment="1" applyProtection="1">
      <alignment vertical="top" wrapText="1"/>
    </xf>
    <xf numFmtId="4" fontId="34" fillId="0" borderId="46" xfId="5" applyNumberFormat="1" applyFont="1" applyFill="1" applyBorder="1" applyAlignment="1" applyProtection="1">
      <alignment vertical="top" wrapText="1"/>
    </xf>
    <xf numFmtId="0" fontId="4" fillId="0" borderId="0" xfId="0" applyFont="1" applyFill="1"/>
    <xf numFmtId="43" fontId="4" fillId="0" borderId="0" xfId="1" applyFont="1" applyFill="1"/>
    <xf numFmtId="43" fontId="4" fillId="0" borderId="0" xfId="0" applyNumberFormat="1" applyFont="1" applyFill="1"/>
    <xf numFmtId="0" fontId="38" fillId="0" borderId="0" xfId="0" applyFont="1"/>
    <xf numFmtId="0" fontId="4" fillId="6" borderId="8" xfId="0" applyFont="1" applyFill="1" applyBorder="1"/>
    <xf numFmtId="164" fontId="28" fillId="0" borderId="59" xfId="1" applyNumberFormat="1" applyFont="1" applyFill="1" applyBorder="1" applyAlignment="1">
      <alignment horizontal="left" vertical="top"/>
    </xf>
    <xf numFmtId="0" fontId="0" fillId="0" borderId="8" xfId="0" applyBorder="1"/>
    <xf numFmtId="0" fontId="0" fillId="0" borderId="0" xfId="0" applyBorder="1"/>
    <xf numFmtId="0" fontId="4" fillId="4" borderId="8" xfId="0" applyFont="1" applyFill="1" applyBorder="1" applyAlignment="1"/>
    <xf numFmtId="0" fontId="4" fillId="0" borderId="0" xfId="0" applyFont="1" applyFill="1" applyAlignment="1"/>
    <xf numFmtId="164" fontId="28" fillId="0" borderId="60" xfId="1" applyNumberFormat="1" applyFont="1" applyFill="1" applyBorder="1" applyAlignment="1">
      <alignment horizontal="left" vertical="top"/>
    </xf>
    <xf numFmtId="0" fontId="4" fillId="4" borderId="8" xfId="0" applyFont="1" applyFill="1" applyBorder="1" applyAlignment="1">
      <alignment horizontal="right"/>
    </xf>
    <xf numFmtId="43" fontId="4" fillId="6" borderId="8" xfId="1" applyFont="1" applyFill="1" applyBorder="1"/>
    <xf numFmtId="43" fontId="0" fillId="0" borderId="8" xfId="1" applyFont="1" applyBorder="1"/>
    <xf numFmtId="4" fontId="39" fillId="0" borderId="0" xfId="0" applyNumberFormat="1" applyFont="1" applyFill="1" applyAlignment="1">
      <alignment horizontal="left" wrapText="1"/>
    </xf>
    <xf numFmtId="43" fontId="4" fillId="6" borderId="41" xfId="1" applyFont="1" applyFill="1" applyBorder="1"/>
    <xf numFmtId="0" fontId="0" fillId="0" borderId="8" xfId="0" applyBorder="1" applyAlignment="1">
      <alignment wrapText="1"/>
    </xf>
    <xf numFmtId="0" fontId="0" fillId="0" borderId="0" xfId="0" applyBorder="1" applyAlignment="1">
      <alignment wrapText="1"/>
    </xf>
    <xf numFmtId="43" fontId="4" fillId="6" borderId="8" xfId="1" applyFont="1" applyFill="1" applyBorder="1" applyAlignment="1">
      <alignment horizontal="center"/>
    </xf>
    <xf numFmtId="0" fontId="4" fillId="0" borderId="0" xfId="0" applyNumberFormat="1" applyFont="1" applyFill="1"/>
    <xf numFmtId="43" fontId="4" fillId="6" borderId="8" xfId="0" applyNumberFormat="1" applyFont="1" applyFill="1" applyBorder="1"/>
    <xf numFmtId="0" fontId="4" fillId="0" borderId="8" xfId="0" applyFont="1" applyBorder="1"/>
    <xf numFmtId="0" fontId="4" fillId="0" borderId="8" xfId="0" applyNumberFormat="1" applyFont="1" applyBorder="1"/>
    <xf numFmtId="49" fontId="4" fillId="0" borderId="8" xfId="0" applyNumberFormat="1" applyFont="1" applyFill="1" applyBorder="1"/>
    <xf numFmtId="0" fontId="4" fillId="0" borderId="8" xfId="0" applyNumberFormat="1" applyFont="1" applyFill="1" applyBorder="1"/>
    <xf numFmtId="43" fontId="4" fillId="0" borderId="8" xfId="1" applyFont="1" applyBorder="1"/>
    <xf numFmtId="43" fontId="4" fillId="0" borderId="8" xfId="1" applyFont="1" applyFill="1" applyBorder="1"/>
    <xf numFmtId="4" fontId="39" fillId="0" borderId="0" xfId="0" applyNumberFormat="1" applyFont="1" applyFill="1"/>
    <xf numFmtId="0" fontId="38" fillId="0" borderId="0" xfId="0" applyFont="1" applyAlignment="1">
      <alignment wrapText="1"/>
    </xf>
    <xf numFmtId="4" fontId="4" fillId="6" borderId="45" xfId="0" applyNumberFormat="1" applyFont="1" applyFill="1" applyBorder="1"/>
    <xf numFmtId="0" fontId="4" fillId="0" borderId="61" xfId="0" applyFont="1" applyBorder="1" applyAlignment="1">
      <alignment wrapText="1"/>
    </xf>
    <xf numFmtId="43" fontId="4" fillId="4" borderId="8" xfId="0" applyNumberFormat="1" applyFont="1" applyFill="1" applyBorder="1"/>
    <xf numFmtId="0" fontId="4" fillId="0" borderId="46" xfId="0" applyFont="1" applyFill="1" applyBorder="1"/>
    <xf numFmtId="0" fontId="4" fillId="0" borderId="62" xfId="0" applyFont="1" applyFill="1" applyBorder="1"/>
    <xf numFmtId="0" fontId="4" fillId="0" borderId="11" xfId="0" applyFont="1" applyBorder="1"/>
    <xf numFmtId="170" fontId="39" fillId="0" borderId="0" xfId="14" applyNumberFormat="1" applyFont="1" applyFill="1" applyBorder="1" applyAlignment="1"/>
    <xf numFmtId="0" fontId="4" fillId="0" borderId="0" xfId="0" applyFont="1" applyFill="1" applyBorder="1"/>
    <xf numFmtId="43" fontId="39" fillId="6" borderId="8" xfId="1" applyFont="1" applyFill="1" applyBorder="1" applyAlignment="1"/>
    <xf numFmtId="170" fontId="39" fillId="0" borderId="9" xfId="14" applyNumberFormat="1" applyFont="1" applyFill="1" applyBorder="1" applyAlignment="1"/>
    <xf numFmtId="43" fontId="39" fillId="6" borderId="8" xfId="12" applyNumberFormat="1" applyFont="1" applyFill="1" applyBorder="1" applyAlignment="1"/>
    <xf numFmtId="0" fontId="4" fillId="0" borderId="0" xfId="0" applyFont="1" applyFill="1" applyBorder="1" applyAlignment="1"/>
    <xf numFmtId="0" fontId="4" fillId="0" borderId="9" xfId="0" applyFont="1" applyFill="1" applyBorder="1" applyAlignment="1"/>
    <xf numFmtId="0" fontId="4" fillId="0" borderId="0" xfId="0" applyFont="1" applyBorder="1" applyAlignment="1">
      <alignment horizontal="right"/>
    </xf>
    <xf numFmtId="2" fontId="39" fillId="0" borderId="0" xfId="0" applyNumberFormat="1" applyFont="1" applyFill="1" applyBorder="1" applyAlignment="1"/>
    <xf numFmtId="43" fontId="39" fillId="0" borderId="0" xfId="1" applyFont="1" applyFill="1" applyBorder="1"/>
    <xf numFmtId="2" fontId="39" fillId="0" borderId="9" xfId="0" applyNumberFormat="1" applyFont="1" applyFill="1" applyBorder="1" applyAlignment="1"/>
    <xf numFmtId="43" fontId="39" fillId="0" borderId="0" xfId="1" applyFont="1" applyFill="1" applyBorder="1" applyAlignment="1"/>
    <xf numFmtId="0" fontId="4" fillId="0" borderId="9" xfId="0" applyFont="1" applyFill="1" applyBorder="1"/>
    <xf numFmtId="0" fontId="4" fillId="4" borderId="8" xfId="0" applyFont="1" applyFill="1" applyBorder="1"/>
    <xf numFmtId="2" fontId="4" fillId="0" borderId="8" xfId="0" applyNumberFormat="1" applyFont="1" applyBorder="1"/>
    <xf numFmtId="43" fontId="39" fillId="0" borderId="0" xfId="0" applyNumberFormat="1" applyFont="1" applyFill="1" applyBorder="1" applyAlignment="1"/>
    <xf numFmtId="43" fontId="39" fillId="0" borderId="9" xfId="0" applyNumberFormat="1" applyFont="1" applyFill="1" applyBorder="1" applyAlignment="1"/>
    <xf numFmtId="0" fontId="4" fillId="0" borderId="11" xfId="0" applyFont="1" applyBorder="1" applyAlignment="1">
      <alignment wrapText="1"/>
    </xf>
    <xf numFmtId="0" fontId="4" fillId="0" borderId="0" xfId="0" applyFont="1" applyBorder="1" applyAlignment="1">
      <alignment horizontal="center"/>
    </xf>
    <xf numFmtId="0" fontId="4" fillId="0" borderId="47" xfId="0" applyFont="1" applyBorder="1" applyAlignment="1">
      <alignment wrapText="1"/>
    </xf>
    <xf numFmtId="0" fontId="4" fillId="0" borderId="7" xfId="0" applyFont="1" applyFill="1" applyBorder="1"/>
    <xf numFmtId="0" fontId="4" fillId="0" borderId="64" xfId="0" applyFont="1" applyFill="1" applyBorder="1"/>
    <xf numFmtId="0" fontId="39" fillId="0" borderId="0" xfId="0" applyFont="1" applyFill="1" applyAlignment="1"/>
    <xf numFmtId="43" fontId="39" fillId="0" borderId="8" xfId="0" applyNumberFormat="1" applyFont="1" applyFill="1" applyBorder="1" applyAlignment="1"/>
    <xf numFmtId="43" fontId="4" fillId="0" borderId="0" xfId="1" applyFont="1" applyFill="1" applyBorder="1"/>
    <xf numFmtId="0" fontId="4" fillId="0" borderId="8" xfId="0" applyFont="1" applyFill="1" applyBorder="1"/>
    <xf numFmtId="0" fontId="39" fillId="0" borderId="0" xfId="12" applyFont="1" applyFill="1" applyAlignment="1"/>
    <xf numFmtId="43" fontId="39" fillId="0" borderId="0" xfId="1" applyFont="1" applyFill="1" applyAlignment="1"/>
    <xf numFmtId="43" fontId="39" fillId="0" borderId="0" xfId="12" applyNumberFormat="1" applyFont="1" applyFill="1" applyAlignment="1"/>
    <xf numFmtId="0" fontId="39" fillId="0" borderId="0" xfId="12" applyFont="1" applyFill="1" applyAlignment="1">
      <alignment horizontal="left"/>
    </xf>
    <xf numFmtId="43" fontId="39" fillId="0" borderId="0" xfId="12" applyNumberFormat="1" applyFont="1" applyFill="1" applyAlignment="1">
      <alignment horizontal="left"/>
    </xf>
    <xf numFmtId="43" fontId="39" fillId="0" borderId="0" xfId="1" applyFont="1" applyFill="1" applyAlignment="1">
      <alignment horizontal="left"/>
    </xf>
    <xf numFmtId="0" fontId="40" fillId="0" borderId="0" xfId="12" applyFont="1" applyFill="1" applyAlignment="1">
      <alignment horizontal="left"/>
    </xf>
    <xf numFmtId="0" fontId="0" fillId="0" borderId="0" xfId="0" applyNumberFormat="1"/>
    <xf numFmtId="49" fontId="0" fillId="0" borderId="0" xfId="0" applyNumberFormat="1"/>
    <xf numFmtId="0" fontId="0" fillId="0" borderId="8" xfId="0" applyNumberFormat="1" applyBorder="1"/>
    <xf numFmtId="49" fontId="0" fillId="0" borderId="8" xfId="0" applyNumberFormat="1" applyBorder="1"/>
    <xf numFmtId="4" fontId="41" fillId="5" borderId="0" xfId="0" applyNumberFormat="1" applyFont="1" applyFill="1"/>
    <xf numFmtId="0" fontId="0" fillId="7" borderId="0" xfId="0" applyFill="1"/>
    <xf numFmtId="0" fontId="0" fillId="0" borderId="5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0" borderId="63" xfId="0" applyBorder="1" applyAlignment="1">
      <alignment horizontal="center"/>
    </xf>
    <xf numFmtId="0" fontId="42" fillId="8" borderId="8" xfId="8" applyFont="1" applyFill="1" applyBorder="1" applyAlignment="1">
      <alignment horizontal="left"/>
    </xf>
    <xf numFmtId="0" fontId="0" fillId="7" borderId="8" xfId="0" applyFill="1" applyBorder="1"/>
    <xf numFmtId="0" fontId="0" fillId="0" borderId="9" xfId="0" applyBorder="1"/>
    <xf numFmtId="0" fontId="0" fillId="0" borderId="63" xfId="0" applyBorder="1"/>
    <xf numFmtId="3" fontId="43" fillId="0" borderId="8" xfId="8" applyNumberFormat="1" applyFont="1" applyFill="1" applyBorder="1" applyAlignment="1">
      <alignment horizontal="center" vertical="top" wrapText="1"/>
    </xf>
    <xf numFmtId="4" fontId="43" fillId="0" borderId="8" xfId="8" applyNumberFormat="1" applyFont="1" applyFill="1" applyBorder="1" applyAlignment="1">
      <alignment vertical="top" wrapText="1"/>
    </xf>
    <xf numFmtId="4" fontId="43" fillId="7" borderId="8" xfId="8" applyNumberFormat="1" applyFont="1" applyFill="1" applyBorder="1" applyAlignment="1">
      <alignment vertical="top" wrapText="1"/>
    </xf>
    <xf numFmtId="2" fontId="0" fillId="7" borderId="8" xfId="0" applyNumberFormat="1" applyFill="1" applyBorder="1"/>
    <xf numFmtId="0" fontId="0" fillId="0" borderId="11" xfId="0" applyBorder="1"/>
    <xf numFmtId="4" fontId="43" fillId="7" borderId="45" xfId="8" applyNumberFormat="1" applyFont="1" applyFill="1" applyBorder="1" applyAlignment="1">
      <alignment horizontal="center" vertical="top" wrapText="1"/>
    </xf>
    <xf numFmtId="4" fontId="43" fillId="7" borderId="41" xfId="8" applyNumberFormat="1" applyFont="1" applyFill="1" applyBorder="1" applyAlignment="1">
      <alignment horizontal="center" vertical="top" wrapText="1"/>
    </xf>
    <xf numFmtId="2" fontId="0" fillId="7" borderId="45" xfId="0" applyNumberFormat="1" applyFill="1" applyBorder="1" applyAlignment="1">
      <alignment horizontal="center"/>
    </xf>
    <xf numFmtId="2" fontId="0" fillId="7" borderId="10" xfId="0" applyNumberFormat="1" applyFill="1" applyBorder="1" applyAlignment="1">
      <alignment horizontal="center"/>
    </xf>
    <xf numFmtId="2" fontId="0" fillId="7" borderId="41" xfId="0" applyNumberFormat="1" applyFill="1" applyBorder="1" applyAlignment="1">
      <alignment horizontal="center"/>
    </xf>
    <xf numFmtId="2" fontId="0" fillId="0" borderId="8" xfId="0" applyNumberFormat="1" applyBorder="1"/>
    <xf numFmtId="4" fontId="42" fillId="8" borderId="8" xfId="8" applyNumberFormat="1" applyFont="1" applyFill="1" applyBorder="1" applyAlignment="1">
      <alignment vertical="top" wrapText="1"/>
    </xf>
    <xf numFmtId="43" fontId="0" fillId="7" borderId="8" xfId="1" applyFont="1" applyFill="1" applyBorder="1"/>
    <xf numFmtId="4" fontId="43" fillId="0" borderId="8" xfId="8" applyNumberFormat="1" applyFont="1" applyFill="1" applyBorder="1" applyAlignment="1">
      <alignment horizontal="left" vertical="top" wrapText="1"/>
    </xf>
    <xf numFmtId="4" fontId="42" fillId="0" borderId="8" xfId="8" applyNumberFormat="1" applyFont="1" applyFill="1" applyBorder="1" applyAlignment="1">
      <alignment horizontal="center" vertical="top" wrapText="1"/>
    </xf>
    <xf numFmtId="0" fontId="0" fillId="0" borderId="47" xfId="0" applyBorder="1"/>
    <xf numFmtId="4" fontId="43" fillId="4" borderId="8" xfId="8" applyNumberFormat="1" applyFont="1" applyFill="1" applyBorder="1" applyAlignment="1">
      <alignment vertical="top" wrapText="1"/>
    </xf>
    <xf numFmtId="2" fontId="0" fillId="4" borderId="8" xfId="0" applyNumberFormat="1" applyFill="1" applyBorder="1"/>
    <xf numFmtId="0" fontId="0" fillId="4" borderId="8" xfId="0" applyFill="1" applyBorder="1"/>
    <xf numFmtId="43" fontId="0" fillId="4" borderId="8" xfId="1" applyFont="1" applyFill="1" applyBorder="1"/>
    <xf numFmtId="43" fontId="0" fillId="4" borderId="8" xfId="0" applyNumberFormat="1" applyFill="1" applyBorder="1"/>
    <xf numFmtId="4" fontId="43" fillId="4" borderId="10" xfId="8" applyNumberFormat="1" applyFont="1" applyFill="1" applyBorder="1" applyAlignment="1">
      <alignment vertical="top" wrapText="1"/>
    </xf>
    <xf numFmtId="0" fontId="0" fillId="0" borderId="57" xfId="0" applyBorder="1" applyAlignment="1"/>
    <xf numFmtId="0" fontId="0" fillId="0" borderId="12" xfId="0" applyBorder="1" applyAlignment="1"/>
    <xf numFmtId="0" fontId="0" fillId="7" borderId="12" xfId="0" applyFill="1" applyBorder="1" applyAlignment="1"/>
    <xf numFmtId="0" fontId="0" fillId="0" borderId="63" xfId="0" applyBorder="1" applyAlignment="1"/>
    <xf numFmtId="2" fontId="0" fillId="0" borderId="8" xfId="0" applyNumberFormat="1" applyFill="1" applyBorder="1"/>
    <xf numFmtId="0" fontId="0" fillId="0" borderId="8" xfId="0" applyFill="1" applyBorder="1"/>
    <xf numFmtId="43" fontId="0" fillId="0" borderId="8" xfId="0" applyNumberFormat="1" applyBorder="1"/>
    <xf numFmtId="43" fontId="0" fillId="9" borderId="8" xfId="1" applyFont="1" applyFill="1" applyBorder="1"/>
    <xf numFmtId="43" fontId="0" fillId="0" borderId="8" xfId="1" applyFont="1" applyFill="1" applyBorder="1"/>
    <xf numFmtId="0" fontId="30" fillId="0" borderId="0" xfId="5" applyFont="1" applyFill="1" applyBorder="1" applyAlignment="1">
      <alignment horizontal="left" vertical="top"/>
    </xf>
    <xf numFmtId="164" fontId="30" fillId="0" borderId="0" xfId="1" applyNumberFormat="1" applyFont="1" applyFill="1" applyBorder="1" applyAlignment="1">
      <alignment horizontal="left" vertical="top"/>
    </xf>
    <xf numFmtId="164" fontId="44" fillId="4" borderId="0" xfId="1" applyNumberFormat="1" applyFont="1" applyFill="1" applyBorder="1" applyAlignment="1"/>
    <xf numFmtId="164" fontId="28" fillId="0" borderId="0" xfId="1" applyNumberFormat="1" applyFont="1" applyFill="1" applyBorder="1" applyAlignment="1">
      <alignment vertical="top"/>
    </xf>
    <xf numFmtId="164" fontId="28" fillId="10" borderId="8" xfId="1" applyNumberFormat="1" applyFont="1" applyFill="1" applyBorder="1" applyAlignment="1">
      <alignment horizontal="left" vertical="top"/>
    </xf>
    <xf numFmtId="164" fontId="28" fillId="10" borderId="65" xfId="1" applyNumberFormat="1" applyFont="1" applyFill="1" applyBorder="1" applyAlignment="1">
      <alignment horizontal="left" vertical="top"/>
    </xf>
    <xf numFmtId="0" fontId="28" fillId="0" borderId="66" xfId="1" applyNumberFormat="1" applyFont="1" applyFill="1" applyBorder="1" applyAlignment="1">
      <alignment horizontal="center" vertical="top"/>
    </xf>
    <xf numFmtId="164" fontId="28" fillId="0" borderId="67" xfId="1" applyNumberFormat="1" applyFont="1" applyFill="1" applyBorder="1" applyAlignment="1">
      <alignment horizontal="left" vertical="top"/>
    </xf>
    <xf numFmtId="164" fontId="28" fillId="0" borderId="0" xfId="1" applyNumberFormat="1" applyFont="1" applyFill="1" applyBorder="1" applyAlignment="1">
      <alignment horizontal="left" vertical="top"/>
    </xf>
    <xf numFmtId="0" fontId="28" fillId="0" borderId="0" xfId="5" applyFont="1" applyFill="1" applyBorder="1" applyAlignment="1">
      <alignment horizontal="left" vertical="top"/>
    </xf>
    <xf numFmtId="164" fontId="44" fillId="11" borderId="0" xfId="1" applyNumberFormat="1" applyFont="1" applyFill="1" applyBorder="1" applyAlignment="1"/>
    <xf numFmtId="43" fontId="30" fillId="0" borderId="0" xfId="5" applyNumberFormat="1" applyFont="1" applyFill="1" applyBorder="1" applyAlignment="1">
      <alignment horizontal="left" vertical="top"/>
    </xf>
    <xf numFmtId="0" fontId="28" fillId="0" borderId="0" xfId="1" applyNumberFormat="1" applyFont="1" applyFill="1" applyBorder="1" applyAlignment="1">
      <alignment horizontal="center" vertical="top"/>
    </xf>
    <xf numFmtId="164" fontId="28" fillId="0" borderId="0" xfId="1" applyNumberFormat="1" applyFont="1" applyFill="1" applyBorder="1" applyAlignment="1">
      <alignment horizontal="center" vertical="top"/>
    </xf>
    <xf numFmtId="164" fontId="28" fillId="0" borderId="0" xfId="1" applyNumberFormat="1" applyFont="1" applyFill="1" applyBorder="1" applyAlignment="1"/>
    <xf numFmtId="164" fontId="28" fillId="0" borderId="47" xfId="1" applyNumberFormat="1" applyFont="1" applyFill="1" applyBorder="1" applyAlignment="1">
      <alignment vertical="top"/>
    </xf>
    <xf numFmtId="164" fontId="28" fillId="0" borderId="7" xfId="1" applyNumberFormat="1" applyFont="1" applyFill="1" applyBorder="1" applyAlignment="1">
      <alignment vertical="top"/>
    </xf>
    <xf numFmtId="164" fontId="28" fillId="0" borderId="64" xfId="1" applyNumberFormat="1" applyFont="1" applyFill="1" applyBorder="1" applyAlignment="1">
      <alignment vertical="top"/>
    </xf>
    <xf numFmtId="164" fontId="28" fillId="0" borderId="63" xfId="1" applyNumberFormat="1" applyFont="1" applyFill="1" applyBorder="1" applyAlignment="1">
      <alignment vertical="top"/>
    </xf>
    <xf numFmtId="164" fontId="34" fillId="4" borderId="0" xfId="1" applyNumberFormat="1" applyFont="1" applyFill="1" applyBorder="1" applyAlignment="1"/>
    <xf numFmtId="0" fontId="34" fillId="0" borderId="0" xfId="5" applyFont="1" applyFill="1" applyBorder="1" applyAlignment="1">
      <alignment horizontal="left" vertical="top"/>
    </xf>
    <xf numFmtId="164" fontId="34" fillId="0" borderId="0" xfId="1" applyNumberFormat="1" applyFont="1" applyFill="1" applyBorder="1" applyAlignment="1">
      <alignment vertical="top"/>
    </xf>
    <xf numFmtId="164" fontId="34" fillId="10" borderId="8" xfId="1" applyNumberFormat="1" applyFont="1" applyFill="1" applyBorder="1" applyAlignment="1">
      <alignment horizontal="left" vertical="top"/>
    </xf>
    <xf numFmtId="164" fontId="34" fillId="10" borderId="65" xfId="1" applyNumberFormat="1" applyFont="1" applyFill="1" applyBorder="1" applyAlignment="1">
      <alignment horizontal="left" vertical="top"/>
    </xf>
    <xf numFmtId="0" fontId="34" fillId="0" borderId="66" xfId="1" applyNumberFormat="1" applyFont="1" applyFill="1" applyBorder="1" applyAlignment="1">
      <alignment horizontal="center" vertical="top"/>
    </xf>
    <xf numFmtId="164" fontId="34" fillId="0" borderId="68" xfId="1" applyNumberFormat="1" applyFont="1" applyFill="1" applyBorder="1" applyAlignment="1">
      <alignment horizontal="left" vertical="top"/>
    </xf>
    <xf numFmtId="164" fontId="34" fillId="0" borderId="69" xfId="1" applyNumberFormat="1" applyFont="1" applyFill="1" applyBorder="1" applyAlignment="1">
      <alignment horizontal="left" vertical="top"/>
    </xf>
    <xf numFmtId="164" fontId="34" fillId="5" borderId="69" xfId="1" applyNumberFormat="1" applyFont="1" applyFill="1" applyBorder="1" applyAlignment="1">
      <alignment horizontal="left" vertical="top"/>
    </xf>
    <xf numFmtId="164" fontId="34" fillId="0" borderId="47" xfId="1" applyNumberFormat="1" applyFont="1" applyFill="1" applyBorder="1" applyAlignment="1">
      <alignment horizontal="center" vertical="top"/>
    </xf>
    <xf numFmtId="164" fontId="34" fillId="0" borderId="7" xfId="1" applyNumberFormat="1" applyFont="1" applyFill="1" applyBorder="1" applyAlignment="1">
      <alignment horizontal="center" vertical="top"/>
    </xf>
    <xf numFmtId="164" fontId="34" fillId="0" borderId="64" xfId="1" applyNumberFormat="1" applyFont="1" applyFill="1" applyBorder="1" applyAlignment="1">
      <alignment horizontal="center" vertical="top"/>
    </xf>
    <xf numFmtId="164" fontId="34" fillId="0" borderId="57" xfId="1" applyNumberFormat="1" applyFont="1" applyFill="1" applyBorder="1" applyAlignment="1">
      <alignment horizontal="center" vertical="top"/>
    </xf>
    <xf numFmtId="164" fontId="34" fillId="0" borderId="12" xfId="1" applyNumberFormat="1" applyFont="1" applyFill="1" applyBorder="1" applyAlignment="1">
      <alignment horizontal="center" vertical="top"/>
    </xf>
    <xf numFmtId="164" fontId="34" fillId="0" borderId="63" xfId="1" applyNumberFormat="1" applyFont="1" applyFill="1" applyBorder="1" applyAlignment="1">
      <alignment horizontal="center" vertical="top"/>
    </xf>
    <xf numFmtId="164" fontId="34" fillId="0" borderId="0" xfId="1" applyNumberFormat="1" applyFont="1" applyFill="1" applyBorder="1" applyAlignment="1">
      <alignment horizontal="left" vertical="top"/>
    </xf>
    <xf numFmtId="164" fontId="34" fillId="0" borderId="59" xfId="1" applyNumberFormat="1" applyFont="1" applyFill="1" applyBorder="1" applyAlignment="1">
      <alignment horizontal="left" vertical="top"/>
    </xf>
    <xf numFmtId="164" fontId="34" fillId="0" borderId="60" xfId="1" applyNumberFormat="1" applyFont="1" applyFill="1" applyBorder="1" applyAlignment="1">
      <alignment horizontal="left" vertical="top"/>
    </xf>
    <xf numFmtId="164" fontId="34" fillId="0" borderId="67" xfId="1" applyNumberFormat="1" applyFont="1" applyFill="1" applyBorder="1" applyAlignment="1">
      <alignment horizontal="left" vertical="top"/>
    </xf>
    <xf numFmtId="0" fontId="34" fillId="0" borderId="0" xfId="1" applyNumberFormat="1" applyFont="1" applyFill="1" applyBorder="1" applyAlignment="1">
      <alignment horizontal="center" vertical="top"/>
    </xf>
    <xf numFmtId="164" fontId="30" fillId="0" borderId="0" xfId="5" applyNumberFormat="1" applyFont="1" applyFill="1" applyBorder="1" applyAlignment="1">
      <alignment horizontal="left" vertical="top"/>
    </xf>
    <xf numFmtId="164" fontId="34" fillId="0" borderId="0" xfId="1" applyNumberFormat="1" applyFont="1" applyFill="1" applyBorder="1" applyAlignment="1">
      <alignment horizontal="center" vertical="top"/>
    </xf>
    <xf numFmtId="164" fontId="34" fillId="11" borderId="0" xfId="1" applyNumberFormat="1" applyFont="1" applyFill="1" applyBorder="1" applyAlignment="1"/>
    <xf numFmtId="164" fontId="34" fillId="0" borderId="0" xfId="1" applyNumberFormat="1" applyFont="1" applyFill="1" applyBorder="1" applyAlignment="1"/>
    <xf numFmtId="0" fontId="34" fillId="0" borderId="8" xfId="1" applyNumberFormat="1" applyFont="1" applyFill="1" applyBorder="1" applyAlignment="1">
      <alignment horizontal="center" vertical="top"/>
    </xf>
    <xf numFmtId="164" fontId="34" fillId="0" borderId="8" xfId="1" applyNumberFormat="1" applyFont="1" applyFill="1" applyBorder="1" applyAlignment="1">
      <alignment horizontal="left" vertical="top"/>
    </xf>
    <xf numFmtId="164" fontId="28" fillId="0" borderId="57" xfId="1" applyNumberFormat="1" applyFont="1" applyFill="1" applyBorder="1" applyAlignment="1">
      <alignment horizontal="center" vertical="top"/>
    </xf>
    <xf numFmtId="164" fontId="28" fillId="0" borderId="12" xfId="1" applyNumberFormat="1" applyFont="1" applyFill="1" applyBorder="1" applyAlignment="1">
      <alignment horizontal="center" vertical="top"/>
    </xf>
    <xf numFmtId="164" fontId="28" fillId="0" borderId="63" xfId="1" applyNumberFormat="1" applyFont="1" applyFill="1" applyBorder="1" applyAlignment="1">
      <alignment horizontal="center" vertical="top"/>
    </xf>
    <xf numFmtId="164" fontId="28" fillId="0" borderId="47" xfId="1" applyNumberFormat="1" applyFont="1" applyFill="1" applyBorder="1" applyAlignment="1">
      <alignment horizontal="center" vertical="top"/>
    </xf>
    <xf numFmtId="164" fontId="28" fillId="0" borderId="7" xfId="1" applyNumberFormat="1" applyFont="1" applyFill="1" applyBorder="1" applyAlignment="1">
      <alignment horizontal="center" vertical="top"/>
    </xf>
    <xf numFmtId="164" fontId="28" fillId="0" borderId="64" xfId="1" applyNumberFormat="1" applyFont="1" applyFill="1" applyBorder="1" applyAlignment="1">
      <alignment horizontal="center" vertical="top"/>
    </xf>
    <xf numFmtId="43" fontId="0" fillId="0" borderId="8" xfId="1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63" xfId="0" applyBorder="1" applyAlignment="1">
      <alignment horizontal="center" wrapText="1"/>
    </xf>
    <xf numFmtId="0" fontId="0" fillId="0" borderId="5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" xfId="0" applyBorder="1" applyAlignment="1">
      <alignment horizontal="center"/>
    </xf>
    <xf numFmtId="4" fontId="43" fillId="0" borderId="45" xfId="8" applyNumberFormat="1" applyFont="1" applyFill="1" applyBorder="1" applyAlignment="1">
      <alignment horizontal="center" vertical="top" wrapText="1"/>
    </xf>
    <xf numFmtId="4" fontId="43" fillId="0" borderId="41" xfId="8" applyNumberFormat="1" applyFont="1" applyFill="1" applyBorder="1" applyAlignment="1">
      <alignment horizontal="center" vertical="top" wrapText="1"/>
    </xf>
    <xf numFmtId="2" fontId="0" fillId="0" borderId="45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4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12" applyFont="1" applyFill="1" applyAlignment="1">
      <alignment horizontal="right"/>
    </xf>
    <xf numFmtId="43" fontId="11" fillId="0" borderId="0" xfId="1" applyFont="1" applyFill="1" applyAlignment="1">
      <alignment horizontal="center"/>
    </xf>
    <xf numFmtId="43" fontId="11" fillId="6" borderId="0" xfId="1" applyFont="1" applyFill="1" applyAlignment="1">
      <alignment horizontal="center"/>
    </xf>
    <xf numFmtId="4" fontId="4" fillId="0" borderId="46" xfId="0" applyNumberFormat="1" applyFont="1" applyBorder="1" applyAlignment="1">
      <alignment horizontal="center"/>
    </xf>
    <xf numFmtId="43" fontId="4" fillId="6" borderId="57" xfId="0" applyNumberFormat="1" applyFont="1" applyFill="1" applyBorder="1" applyAlignment="1">
      <alignment horizontal="center"/>
    </xf>
    <xf numFmtId="43" fontId="4" fillId="6" borderId="63" xfId="0" applyNumberFormat="1" applyFont="1" applyFill="1" applyBorder="1" applyAlignment="1">
      <alignment horizontal="center"/>
    </xf>
    <xf numFmtId="43" fontId="4" fillId="0" borderId="46" xfId="1" applyFont="1" applyFill="1" applyBorder="1" applyAlignment="1">
      <alignment horizontal="center"/>
    </xf>
    <xf numFmtId="43" fontId="39" fillId="0" borderId="8" xfId="0" applyNumberFormat="1" applyFont="1" applyFill="1" applyBorder="1" applyAlignment="1">
      <alignment horizontal="center"/>
    </xf>
    <xf numFmtId="2" fontId="39" fillId="0" borderId="8" xfId="0" applyNumberFormat="1" applyFont="1" applyFill="1" applyBorder="1" applyAlignment="1">
      <alignment horizontal="center"/>
    </xf>
    <xf numFmtId="2" fontId="4" fillId="6" borderId="8" xfId="0" applyNumberFormat="1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170" fontId="4" fillId="0" borderId="57" xfId="0" applyNumberFormat="1" applyFont="1" applyBorder="1" applyAlignment="1">
      <alignment horizontal="center"/>
    </xf>
    <xf numFmtId="170" fontId="4" fillId="0" borderId="63" xfId="0" applyNumberFormat="1" applyFont="1" applyBorder="1" applyAlignment="1">
      <alignment horizontal="center"/>
    </xf>
    <xf numFmtId="43" fontId="39" fillId="0" borderId="47" xfId="0" applyNumberFormat="1" applyFont="1" applyFill="1" applyBorder="1" applyAlignment="1">
      <alignment horizontal="center"/>
    </xf>
    <xf numFmtId="43" fontId="39" fillId="0" borderId="64" xfId="0" applyNumberFormat="1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4" fillId="0" borderId="46" xfId="0" applyFont="1" applyBorder="1" applyAlignment="1">
      <alignment horizontal="right"/>
    </xf>
    <xf numFmtId="2" fontId="39" fillId="0" borderId="0" xfId="0" applyNumberFormat="1" applyFont="1" applyFill="1" applyBorder="1" applyAlignment="1">
      <alignment horizontal="right"/>
    </xf>
    <xf numFmtId="0" fontId="4" fillId="0" borderId="8" xfId="0" applyFont="1" applyBorder="1" applyAlignment="1">
      <alignment horizontal="center"/>
    </xf>
    <xf numFmtId="0" fontId="33" fillId="0" borderId="0" xfId="5" applyNumberFormat="1" applyFont="1" applyBorder="1" applyAlignment="1" applyProtection="1">
      <alignment horizontal="left" vertical="top" wrapText="1"/>
    </xf>
    <xf numFmtId="0" fontId="34" fillId="0" borderId="26" xfId="5" applyFont="1" applyFill="1" applyBorder="1" applyAlignment="1" applyProtection="1">
      <alignment horizontal="center" vertical="top" wrapText="1"/>
    </xf>
    <xf numFmtId="0" fontId="33" fillId="4" borderId="0" xfId="5" applyNumberFormat="1" applyFont="1" applyFill="1" applyBorder="1" applyAlignment="1" applyProtection="1">
      <alignment horizontal="left" vertical="top" wrapText="1"/>
    </xf>
    <xf numFmtId="0" fontId="34" fillId="0" borderId="46" xfId="5" applyFont="1" applyFill="1" applyBorder="1" applyAlignment="1" applyProtection="1">
      <alignment horizontal="center" vertical="top" wrapText="1"/>
    </xf>
    <xf numFmtId="0" fontId="36" fillId="0" borderId="0" xfId="5" applyFont="1" applyFill="1" applyBorder="1" applyAlignment="1" applyProtection="1">
      <alignment horizontal="center" vertical="top" wrapText="1"/>
    </xf>
    <xf numFmtId="0" fontId="25" fillId="0" borderId="0" xfId="0" applyFont="1" applyFill="1" applyAlignment="1">
      <alignment horizontal="left" wrapText="1"/>
    </xf>
    <xf numFmtId="49" fontId="15" fillId="0" borderId="7" xfId="0" applyNumberFormat="1" applyFont="1" applyFill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15" fillId="0" borderId="0" xfId="0" applyFont="1" applyAlignment="1">
      <alignment horizontal="right"/>
    </xf>
    <xf numFmtId="43" fontId="23" fillId="0" borderId="12" xfId="0" applyNumberFormat="1" applyFont="1" applyBorder="1" applyAlignment="1">
      <alignment horizontal="center"/>
    </xf>
    <xf numFmtId="43" fontId="15" fillId="0" borderId="0" xfId="3" applyFont="1" applyFill="1" applyAlignment="1">
      <alignment horizontal="center"/>
    </xf>
    <xf numFmtId="43" fontId="22" fillId="0" borderId="0" xfId="1" applyFont="1" applyFill="1" applyAlignment="1">
      <alignment horizontal="center"/>
    </xf>
    <xf numFmtId="43" fontId="11" fillId="0" borderId="0" xfId="3" applyFont="1" applyBorder="1" applyAlignment="1">
      <alignment horizontal="center"/>
    </xf>
    <xf numFmtId="43" fontId="15" fillId="0" borderId="7" xfId="3" applyFont="1" applyBorder="1" applyAlignment="1">
      <alignment horizontal="center"/>
    </xf>
    <xf numFmtId="0" fontId="15" fillId="0" borderId="0" xfId="0" applyFont="1" applyAlignment="1">
      <alignment horizontal="center"/>
    </xf>
    <xf numFmtId="49" fontId="22" fillId="0" borderId="0" xfId="2" applyNumberFormat="1" applyFont="1" applyFill="1" applyAlignment="1">
      <alignment horizontal="center" wrapText="1"/>
    </xf>
    <xf numFmtId="49" fontId="22" fillId="0" borderId="0" xfId="2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4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43" fontId="15" fillId="0" borderId="12" xfId="1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4" fontId="15" fillId="0" borderId="7" xfId="0" applyNumberFormat="1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21" fillId="0" borderId="7" xfId="0" applyFont="1" applyBorder="1" applyAlignment="1">
      <alignment horizontal="center" wrapText="1"/>
    </xf>
    <xf numFmtId="0" fontId="15" fillId="0" borderId="7" xfId="0" applyFont="1" applyBorder="1" applyAlignment="1">
      <alignment horizontal="center" wrapText="1"/>
    </xf>
    <xf numFmtId="49" fontId="15" fillId="0" borderId="7" xfId="0" applyNumberFormat="1" applyFont="1" applyBorder="1" applyAlignment="1">
      <alignment horizontal="center"/>
    </xf>
    <xf numFmtId="49" fontId="17" fillId="0" borderId="7" xfId="0" applyNumberFormat="1" applyFont="1" applyFill="1" applyBorder="1" applyAlignment="1">
      <alignment horizontal="center"/>
    </xf>
    <xf numFmtId="49" fontId="11" fillId="0" borderId="7" xfId="0" applyNumberFormat="1" applyFont="1" applyFill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7" fillId="0" borderId="0" xfId="0" applyFont="1" applyAlignment="1">
      <alignment horizontal="left"/>
    </xf>
    <xf numFmtId="0" fontId="6" fillId="0" borderId="8" xfId="0" applyFont="1" applyBorder="1" applyAlignment="1">
      <alignment horizontal="center"/>
    </xf>
    <xf numFmtId="0" fontId="6" fillId="0" borderId="8" xfId="0" applyFont="1" applyBorder="1" applyAlignment="1">
      <alignment horizontal="center" wrapText="1"/>
    </xf>
    <xf numFmtId="0" fontId="6" fillId="0" borderId="7" xfId="0" applyFont="1" applyBorder="1" applyAlignment="1">
      <alignment horizontal="left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</cellXfs>
  <cellStyles count="15">
    <cellStyle name="Comma" xfId="1" builtinId="3"/>
    <cellStyle name="Comma 2" xfId="3"/>
    <cellStyle name="Comma 3" xfId="4"/>
    <cellStyle name="Normal" xfId="0" builtinId="0"/>
    <cellStyle name="Normal 2" xfId="5"/>
    <cellStyle name="Normal 2 2" xfId="6"/>
    <cellStyle name="Normal 2 4" xfId="7"/>
    <cellStyle name="Normal 3" xfId="8"/>
    <cellStyle name="Normal 3 2" xfId="9"/>
    <cellStyle name="Normal 4 2" xfId="10"/>
    <cellStyle name="Normal 5 2" xfId="11"/>
    <cellStyle name="Normal 6" xfId="12"/>
    <cellStyle name="Normal 6 2" xfId="13"/>
    <cellStyle name="Normal 9" xfId="14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trlProps/ctrlProp1.xml><?xml version="1.0" encoding="utf-8"?>
<formControlPr xmlns="http://schemas.microsoft.com/office/spreadsheetml/2009/9/main" objectType="CheckBox" noThreeD="1"/>
</file>

<file path=xl/ctrlProps/ctrlProp2.xml><?xml version="1.0" encoding="utf-8"?>
<formControlPr xmlns="http://schemas.microsoft.com/office/spreadsheetml/2009/9/main" objectType="CheckBox" noThreeD="1"/>
</file>

<file path=xl/ctrlProps/ctrlProp3.xml><?xml version="1.0" encoding="utf-8"?>
<formControlPr xmlns="http://schemas.microsoft.com/office/spreadsheetml/2009/9/main" objectType="CheckBox" checked="Checked" noThreeD="1"/>
</file>

<file path=xl/ctrlProps/ctrlProp4.xml><?xml version="1.0" encoding="utf-8"?>
<formControlPr xmlns="http://schemas.microsoft.com/office/spreadsheetml/2009/9/main" objectType="CheckBox" noThreeD="1"/>
</file>

<file path=xl/ctrlProps/ctrlProp5.xml><?xml version="1.0" encoding="utf-8"?>
<formControlPr xmlns="http://schemas.microsoft.com/office/spreadsheetml/2009/9/main" objectType="CheckBox" checked="Checked" noThreeD="1"/>
</file>

<file path=xl/ctrlProps/ctrlProp6.xml><?xml version="1.0" encoding="utf-8"?>
<formControlPr xmlns="http://schemas.microsoft.com/office/spreadsheetml/2009/9/main" objectType="CheckBox" noThreeD="1"/>
</file>

<file path=xl/ctrlProps/ctrlProp7.xml><?xml version="1.0" encoding="utf-8"?>
<formControlPr xmlns="http://schemas.microsoft.com/office/spreadsheetml/2009/9/main" objectType="CheckBox" checked="Checked" noThreeD="1"/>
</file>

<file path=xl/ctrlProps/ctrlProp8.xml><?xml version="1.0" encoding="utf-8"?>
<formControlPr xmlns="http://schemas.microsoft.com/office/spreadsheetml/2009/9/main" objectType="CheckBox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28575</xdr:colOff>
      <xdr:row>0</xdr:row>
      <xdr:rowOff>523874</xdr:rowOff>
    </xdr:to>
    <xdr:pic>
      <xdr:nvPicPr>
        <xdr:cNvPr id="2" name="Picture 1" descr="C:\Users\opti-3060\Desktop\logo2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2428875" cy="513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28575</xdr:colOff>
      <xdr:row>0</xdr:row>
      <xdr:rowOff>523874</xdr:rowOff>
    </xdr:to>
    <xdr:pic>
      <xdr:nvPicPr>
        <xdr:cNvPr id="2" name="Picture 1" descr="C:\Users\opti-3060\Desktop\logo2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2428875" cy="513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28575</xdr:colOff>
      <xdr:row>0</xdr:row>
      <xdr:rowOff>523874</xdr:rowOff>
    </xdr:to>
    <xdr:pic>
      <xdr:nvPicPr>
        <xdr:cNvPr id="2" name="Picture 1" descr="C:\Users\opti-3060\Desktop\logo2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2428875" cy="513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1828800</xdr:colOff>
      <xdr:row>0</xdr:row>
      <xdr:rowOff>523874</xdr:rowOff>
    </xdr:to>
    <xdr:pic>
      <xdr:nvPicPr>
        <xdr:cNvPr id="2" name="Picture 1" descr="C:\Users\opti-3060\Desktop\logo2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9525"/>
          <a:ext cx="2428875" cy="5137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101599</xdr:colOff>
      <xdr:row>5</xdr:row>
      <xdr:rowOff>28575</xdr:rowOff>
    </xdr:to>
    <xdr:pic>
      <xdr:nvPicPr>
        <xdr:cNvPr id="2" name="Picture 1" descr="C:\Users\opti-3060\Desktop\logo2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0"/>
          <a:ext cx="5473065" cy="1028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9526</xdr:colOff>
      <xdr:row>16</xdr:row>
      <xdr:rowOff>57151</xdr:rowOff>
    </xdr:from>
    <xdr:to>
      <xdr:col>4</xdr:col>
      <xdr:colOff>400050</xdr:colOff>
      <xdr:row>16</xdr:row>
      <xdr:rowOff>295275</xdr:rowOff>
    </xdr:to>
    <xdr:sp macro="" textlink="">
      <xdr:nvSpPr>
        <xdr:cNvPr id="7" name="TextBox 6"/>
        <xdr:cNvSpPr txBox="1"/>
      </xdr:nvSpPr>
      <xdr:spPr>
        <a:xfrm>
          <a:off x="2171700" y="5388610"/>
          <a:ext cx="390525" cy="238125"/>
        </a:xfrm>
        <a:prstGeom prst="rect">
          <a:avLst/>
        </a:prstGeom>
        <a:noFill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6</xdr:col>
      <xdr:colOff>933449</xdr:colOff>
      <xdr:row>16</xdr:row>
      <xdr:rowOff>47625</xdr:rowOff>
    </xdr:from>
    <xdr:to>
      <xdr:col>7</xdr:col>
      <xdr:colOff>333375</xdr:colOff>
      <xdr:row>17</xdr:row>
      <xdr:rowOff>47625</xdr:rowOff>
    </xdr:to>
    <xdr:sp macro="" textlink="">
      <xdr:nvSpPr>
        <xdr:cNvPr id="8" name="TextBox 7"/>
        <xdr:cNvSpPr txBox="1"/>
      </xdr:nvSpPr>
      <xdr:spPr>
        <a:xfrm>
          <a:off x="4828540" y="5379085"/>
          <a:ext cx="343535" cy="316865"/>
        </a:xfrm>
        <a:prstGeom prst="rect">
          <a:avLst/>
        </a:prstGeom>
        <a:noFill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 b="1"/>
            <a:t>X</a:t>
          </a:r>
        </a:p>
      </xdr:txBody>
    </xdr:sp>
    <xdr:clientData/>
  </xdr:twoCellAnchor>
  <xdr:twoCellAnchor>
    <xdr:from>
      <xdr:col>10</xdr:col>
      <xdr:colOff>65541</xdr:colOff>
      <xdr:row>16</xdr:row>
      <xdr:rowOff>38100</xdr:rowOff>
    </xdr:from>
    <xdr:to>
      <xdr:col>10</xdr:col>
      <xdr:colOff>457200</xdr:colOff>
      <xdr:row>17</xdr:row>
      <xdr:rowOff>13835</xdr:rowOff>
    </xdr:to>
    <xdr:sp macro="" textlink="">
      <xdr:nvSpPr>
        <xdr:cNvPr id="9" name="TextBox 8"/>
        <xdr:cNvSpPr txBox="1"/>
      </xdr:nvSpPr>
      <xdr:spPr>
        <a:xfrm>
          <a:off x="7237730" y="5369560"/>
          <a:ext cx="391795" cy="292100"/>
        </a:xfrm>
        <a:prstGeom prst="rect">
          <a:avLst/>
        </a:prstGeom>
        <a:noFill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 b="1"/>
        </a:p>
      </xdr:txBody>
    </xdr:sp>
    <xdr:clientData/>
  </xdr:twoCellAnchor>
  <xdr:twoCellAnchor>
    <xdr:from>
      <xdr:col>1</xdr:col>
      <xdr:colOff>504825</xdr:colOff>
      <xdr:row>48</xdr:row>
      <xdr:rowOff>76200</xdr:rowOff>
    </xdr:from>
    <xdr:to>
      <xdr:col>2</xdr:col>
      <xdr:colOff>404812</xdr:colOff>
      <xdr:row>50</xdr:row>
      <xdr:rowOff>0</xdr:rowOff>
    </xdr:to>
    <xdr:sp macro="" textlink="">
      <xdr:nvSpPr>
        <xdr:cNvPr id="41" name="Freeform 40"/>
        <xdr:cNvSpPr/>
      </xdr:nvSpPr>
      <xdr:spPr>
        <a:xfrm>
          <a:off x="714375" y="16311245"/>
          <a:ext cx="404495" cy="557530"/>
        </a:xfrm>
        <a:custGeom>
          <a:avLst/>
          <a:gdLst>
            <a:gd name="connsiteX0" fmla="*/ 53975 w 509587"/>
            <a:gd name="connsiteY0" fmla="*/ 0 h 962025"/>
            <a:gd name="connsiteX1" fmla="*/ 501650 w 509587"/>
            <a:gd name="connsiteY1" fmla="*/ 285750 h 962025"/>
            <a:gd name="connsiteX2" fmla="*/ 6350 w 509587"/>
            <a:gd name="connsiteY2" fmla="*/ 666750 h 962025"/>
            <a:gd name="connsiteX3" fmla="*/ 463550 w 509587"/>
            <a:gd name="connsiteY3" fmla="*/ 962025 h 9620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09587" h="962025">
              <a:moveTo>
                <a:pt x="53975" y="0"/>
              </a:moveTo>
              <a:cubicBezTo>
                <a:pt x="281781" y="87312"/>
                <a:pt x="509587" y="174625"/>
                <a:pt x="501650" y="285750"/>
              </a:cubicBezTo>
              <a:cubicBezTo>
                <a:pt x="493713" y="396875"/>
                <a:pt x="12700" y="554038"/>
                <a:pt x="6350" y="666750"/>
              </a:cubicBezTo>
              <a:cubicBezTo>
                <a:pt x="0" y="779462"/>
                <a:pt x="384175" y="938213"/>
                <a:pt x="463550" y="9620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123825</xdr:colOff>
      <xdr:row>48</xdr:row>
      <xdr:rowOff>53977</xdr:rowOff>
    </xdr:from>
    <xdr:to>
      <xdr:col>5</xdr:col>
      <xdr:colOff>349250</xdr:colOff>
      <xdr:row>49</xdr:row>
      <xdr:rowOff>254001</xdr:rowOff>
    </xdr:to>
    <xdr:sp macro="" textlink="">
      <xdr:nvSpPr>
        <xdr:cNvPr id="44" name="Freeform 43"/>
        <xdr:cNvSpPr/>
      </xdr:nvSpPr>
      <xdr:spPr>
        <a:xfrm>
          <a:off x="2714625" y="16289020"/>
          <a:ext cx="225425" cy="516890"/>
        </a:xfrm>
        <a:custGeom>
          <a:avLst/>
          <a:gdLst>
            <a:gd name="connsiteX0" fmla="*/ 53975 w 509587"/>
            <a:gd name="connsiteY0" fmla="*/ 0 h 962025"/>
            <a:gd name="connsiteX1" fmla="*/ 501650 w 509587"/>
            <a:gd name="connsiteY1" fmla="*/ 285750 h 962025"/>
            <a:gd name="connsiteX2" fmla="*/ 6350 w 509587"/>
            <a:gd name="connsiteY2" fmla="*/ 666750 h 962025"/>
            <a:gd name="connsiteX3" fmla="*/ 463550 w 509587"/>
            <a:gd name="connsiteY3" fmla="*/ 962025 h 9620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09587" h="962025">
              <a:moveTo>
                <a:pt x="53975" y="0"/>
              </a:moveTo>
              <a:cubicBezTo>
                <a:pt x="281781" y="87312"/>
                <a:pt x="509587" y="174625"/>
                <a:pt x="501650" y="285750"/>
              </a:cubicBezTo>
              <a:cubicBezTo>
                <a:pt x="493713" y="396875"/>
                <a:pt x="12700" y="554038"/>
                <a:pt x="6350" y="666750"/>
              </a:cubicBezTo>
              <a:cubicBezTo>
                <a:pt x="0" y="779462"/>
                <a:pt x="384175" y="938213"/>
                <a:pt x="463550" y="9620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6</xdr:col>
      <xdr:colOff>581025</xdr:colOff>
      <xdr:row>48</xdr:row>
      <xdr:rowOff>9525</xdr:rowOff>
    </xdr:from>
    <xdr:to>
      <xdr:col>8</xdr:col>
      <xdr:colOff>0</xdr:colOff>
      <xdr:row>50</xdr:row>
      <xdr:rowOff>0</xdr:rowOff>
    </xdr:to>
    <xdr:sp macro="" textlink="">
      <xdr:nvSpPr>
        <xdr:cNvPr id="45" name="Freeform 44"/>
        <xdr:cNvSpPr/>
      </xdr:nvSpPr>
      <xdr:spPr>
        <a:xfrm>
          <a:off x="4476750" y="16244570"/>
          <a:ext cx="790575" cy="624205"/>
        </a:xfrm>
        <a:custGeom>
          <a:avLst/>
          <a:gdLst>
            <a:gd name="connsiteX0" fmla="*/ 53975 w 509587"/>
            <a:gd name="connsiteY0" fmla="*/ 0 h 962025"/>
            <a:gd name="connsiteX1" fmla="*/ 501650 w 509587"/>
            <a:gd name="connsiteY1" fmla="*/ 285750 h 962025"/>
            <a:gd name="connsiteX2" fmla="*/ 6350 w 509587"/>
            <a:gd name="connsiteY2" fmla="*/ 666750 h 962025"/>
            <a:gd name="connsiteX3" fmla="*/ 463550 w 509587"/>
            <a:gd name="connsiteY3" fmla="*/ 962025 h 9620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</a:cxnLst>
          <a:rect l="l" t="t" r="r" b="b"/>
          <a:pathLst>
            <a:path w="509587" h="962025">
              <a:moveTo>
                <a:pt x="53975" y="0"/>
              </a:moveTo>
              <a:cubicBezTo>
                <a:pt x="281781" y="87312"/>
                <a:pt x="509587" y="174625"/>
                <a:pt x="501650" y="285750"/>
              </a:cubicBezTo>
              <a:cubicBezTo>
                <a:pt x="493713" y="396875"/>
                <a:pt x="12700" y="554038"/>
                <a:pt x="6350" y="666750"/>
              </a:cubicBezTo>
              <a:cubicBezTo>
                <a:pt x="0" y="779462"/>
                <a:pt x="384175" y="938213"/>
                <a:pt x="463550" y="962025"/>
              </a:cubicBezTo>
            </a:path>
          </a:pathLst>
        </a:cu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 editAs="oneCell">
    <xdr:from>
      <xdr:col>0</xdr:col>
      <xdr:colOff>28575</xdr:colOff>
      <xdr:row>0</xdr:row>
      <xdr:rowOff>47625</xdr:rowOff>
    </xdr:from>
    <xdr:to>
      <xdr:col>3</xdr:col>
      <xdr:colOff>365124</xdr:colOff>
      <xdr:row>3</xdr:row>
      <xdr:rowOff>120650</xdr:rowOff>
    </xdr:to>
    <xdr:pic>
      <xdr:nvPicPr>
        <xdr:cNvPr id="46" name="Picture 45" descr="C:\Users\opti-3060\Desktop\logo2.PNG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8575" y="47625"/>
          <a:ext cx="1478915" cy="102362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9</xdr:col>
      <xdr:colOff>19049</xdr:colOff>
      <xdr:row>10</xdr:row>
      <xdr:rowOff>66675</xdr:rowOff>
    </xdr:from>
    <xdr:to>
      <xdr:col>9</xdr:col>
      <xdr:colOff>400050</xdr:colOff>
      <xdr:row>10</xdr:row>
      <xdr:rowOff>361950</xdr:rowOff>
    </xdr:to>
    <xdr:sp macro="" textlink="">
      <xdr:nvSpPr>
        <xdr:cNvPr id="40" name="TextBox 39"/>
        <xdr:cNvSpPr txBox="1"/>
      </xdr:nvSpPr>
      <xdr:spPr>
        <a:xfrm>
          <a:off x="6800215" y="3404235"/>
          <a:ext cx="372110" cy="295275"/>
        </a:xfrm>
        <a:prstGeom prst="rect">
          <a:avLst/>
        </a:prstGeom>
        <a:noFill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9</xdr:col>
      <xdr:colOff>28574</xdr:colOff>
      <xdr:row>11</xdr:row>
      <xdr:rowOff>0</xdr:rowOff>
    </xdr:from>
    <xdr:to>
      <xdr:col>9</xdr:col>
      <xdr:colOff>409575</xdr:colOff>
      <xdr:row>12</xdr:row>
      <xdr:rowOff>19050</xdr:rowOff>
    </xdr:to>
    <xdr:sp macro="" textlink="">
      <xdr:nvSpPr>
        <xdr:cNvPr id="43" name="TextBox 42"/>
        <xdr:cNvSpPr txBox="1"/>
      </xdr:nvSpPr>
      <xdr:spPr>
        <a:xfrm>
          <a:off x="6809740" y="3747135"/>
          <a:ext cx="362585" cy="335915"/>
        </a:xfrm>
        <a:prstGeom prst="rect">
          <a:avLst/>
        </a:prstGeom>
        <a:noFill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endParaRPr lang="en-US" sz="1100"/>
        </a:p>
      </xdr:txBody>
    </xdr:sp>
    <xdr:clientData/>
  </xdr:twoCellAnchor>
  <xdr:twoCellAnchor>
    <xdr:from>
      <xdr:col>9</xdr:col>
      <xdr:colOff>28574</xdr:colOff>
      <xdr:row>12</xdr:row>
      <xdr:rowOff>47625</xdr:rowOff>
    </xdr:from>
    <xdr:to>
      <xdr:col>9</xdr:col>
      <xdr:colOff>409575</xdr:colOff>
      <xdr:row>13</xdr:row>
      <xdr:rowOff>19050</xdr:rowOff>
    </xdr:to>
    <xdr:sp macro="" textlink="">
      <xdr:nvSpPr>
        <xdr:cNvPr id="48" name="TextBox 47"/>
        <xdr:cNvSpPr txBox="1"/>
      </xdr:nvSpPr>
      <xdr:spPr>
        <a:xfrm>
          <a:off x="6809740" y="4111625"/>
          <a:ext cx="362585" cy="288290"/>
        </a:xfrm>
        <a:prstGeom prst="rect">
          <a:avLst/>
        </a:prstGeom>
        <a:noFill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100"/>
            <a:t>X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323850</xdr:colOff>
          <xdr:row>47</xdr:row>
          <xdr:rowOff>85725</xdr:rowOff>
        </xdr:from>
        <xdr:to>
          <xdr:col>3</xdr:col>
          <xdr:colOff>142875</xdr:colOff>
          <xdr:row>47</xdr:row>
          <xdr:rowOff>285750</xdr:rowOff>
        </xdr:to>
        <xdr:sp macro="" textlink="">
          <xdr:nvSpPr>
            <xdr:cNvPr id="6188" name="Check Box 44" hidden="1">
              <a:extLst>
                <a:ext uri="{63B3BB69-23CF-44E3-9099-C40C66FF867C}">
                  <a14:compatExt spid="_x0000_s61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323850</xdr:colOff>
          <xdr:row>47</xdr:row>
          <xdr:rowOff>85725</xdr:rowOff>
        </xdr:from>
        <xdr:to>
          <xdr:col>5</xdr:col>
          <xdr:colOff>571500</xdr:colOff>
          <xdr:row>47</xdr:row>
          <xdr:rowOff>285750</xdr:rowOff>
        </xdr:to>
        <xdr:sp macro="" textlink="">
          <xdr:nvSpPr>
            <xdr:cNvPr id="6190" name="Check Box 46" hidden="1">
              <a:extLst>
                <a:ext uri="{63B3BB69-23CF-44E3-9099-C40C66FF867C}">
                  <a14:compatExt spid="_x0000_s61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695325</xdr:colOff>
          <xdr:row>47</xdr:row>
          <xdr:rowOff>142875</xdr:rowOff>
        </xdr:from>
        <xdr:to>
          <xdr:col>8</xdr:col>
          <xdr:colOff>942975</xdr:colOff>
          <xdr:row>48</xdr:row>
          <xdr:rowOff>28575</xdr:rowOff>
        </xdr:to>
        <xdr:sp macro="" textlink="">
          <xdr:nvSpPr>
            <xdr:cNvPr id="6192" name="Check Box 48" hidden="1">
              <a:extLst>
                <a:ext uri="{63B3BB69-23CF-44E3-9099-C40C66FF867C}">
                  <a14:compatExt spid="_x0000_s61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180975</xdr:colOff>
          <xdr:row>61</xdr:row>
          <xdr:rowOff>114300</xdr:rowOff>
        </xdr:from>
        <xdr:to>
          <xdr:col>2</xdr:col>
          <xdr:colOff>419100</xdr:colOff>
          <xdr:row>62</xdr:row>
          <xdr:rowOff>9525</xdr:rowOff>
        </xdr:to>
        <xdr:sp macro="" textlink="">
          <xdr:nvSpPr>
            <xdr:cNvPr id="6193" name="Check Box 49" hidden="1">
              <a:extLst>
                <a:ext uri="{63B3BB69-23CF-44E3-9099-C40C66FF867C}">
                  <a14:compatExt spid="_x0000_s6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409575</xdr:colOff>
          <xdr:row>61</xdr:row>
          <xdr:rowOff>104775</xdr:rowOff>
        </xdr:from>
        <xdr:to>
          <xdr:col>3</xdr:col>
          <xdr:colOff>647700</xdr:colOff>
          <xdr:row>62</xdr:row>
          <xdr:rowOff>0</xdr:rowOff>
        </xdr:to>
        <xdr:sp macro="" textlink="">
          <xdr:nvSpPr>
            <xdr:cNvPr id="6194" name="Check Box 50" hidden="1">
              <a:extLst>
                <a:ext uri="{63B3BB69-23CF-44E3-9099-C40C66FF867C}">
                  <a14:compatExt spid="_x0000_s6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US"/>
            </a:p>
          </xdr:txBody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0</xdr:colOff>
          <xdr:row>0</xdr:row>
          <xdr:rowOff>76200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0</xdr:colOff>
          <xdr:row>0</xdr:row>
          <xdr:rowOff>85725</xdr:rowOff>
        </xdr:to>
        <xdr:sp macro="" textlink="">
          <xdr:nvSpPr>
            <xdr:cNvPr id="14344" name="Check Box 8" hidden="1">
              <a:extLst>
                <a:ext uri="{63B3BB69-23CF-44E3-9099-C40C66FF867C}">
                  <a14:compatExt spid="_x0000_s143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0</xdr:colOff>
          <xdr:row>0</xdr:row>
          <xdr:rowOff>85725</xdr:rowOff>
        </xdr:to>
        <xdr:sp macro="" textlink="">
          <xdr:nvSpPr>
            <xdr:cNvPr id="14350" name="Check Box 14" hidden="1">
              <a:extLst>
                <a:ext uri="{63B3BB69-23CF-44E3-9099-C40C66FF867C}">
                  <a14:compatExt spid="_x0000_s143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egagen%20Bank/Estimation/2018/Old%20Rate%202018/Staff/Hawassa/Demelas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reciation"/>
      <sheetName val="Fence &amp; Compound"/>
      <sheetName val="Location "/>
      <sheetName val="EXTERNAL SN&amp;EL"/>
      <sheetName val="E.Form"/>
      <sheetName val="Manual Multi Purpose"/>
      <sheetName val="Cities"/>
      <sheetName val="Manual"/>
      <sheetName val="specification"/>
      <sheetName val="Sheet1"/>
      <sheetName val="Sheet2"/>
      <sheetName val="Sheet3"/>
      <sheetName val="Sheet5"/>
    </sheetNames>
    <sheetDataSet>
      <sheetData sheetId="0"/>
      <sheetData sheetId="1"/>
      <sheetData sheetId="2">
        <row r="125">
          <cell r="C125" t="str">
            <v>Internal Structure</v>
          </cell>
        </row>
        <row r="126">
          <cell r="C126" t="str">
            <v>External Elecrical &amp; Sanitary Works</v>
          </cell>
        </row>
        <row r="127">
          <cell r="C127" t="str">
            <v>Fence &amp; compound =</v>
          </cell>
        </row>
        <row r="128">
          <cell r="C128" t="str">
            <v>Consultancy Service</v>
          </cell>
        </row>
        <row r="129">
          <cell r="C129" t="str">
            <v>Location Value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6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94"/>
  <sheetViews>
    <sheetView topLeftCell="A1180" workbookViewId="0">
      <selection activeCell="H1194" sqref="H1194"/>
    </sheetView>
  </sheetViews>
  <sheetFormatPr defaultColWidth="9.140625" defaultRowHeight="12.75"/>
  <cols>
    <col min="1" max="1" width="9.140625" style="428"/>
    <col min="2" max="5" width="12.5703125" style="429" customWidth="1"/>
    <col min="6" max="13" width="12.5703125" style="428" customWidth="1"/>
    <col min="14" max="14" width="9.140625" style="428"/>
    <col min="15" max="15" width="10.42578125" style="428" customWidth="1"/>
    <col min="16" max="16" width="10" style="428" customWidth="1"/>
    <col min="17" max="17" width="10.28515625" style="428" customWidth="1"/>
    <col min="18" max="18" width="10" style="428" customWidth="1"/>
    <col min="19" max="16384" width="9.140625" style="428"/>
  </cols>
  <sheetData>
    <row r="1" spans="1:13" ht="18">
      <c r="B1" s="430" t="s">
        <v>0</v>
      </c>
      <c r="C1" s="430"/>
      <c r="D1" s="430"/>
      <c r="E1" s="430"/>
    </row>
    <row r="2" spans="1:13" ht="14.25">
      <c r="B2" s="431" t="s">
        <v>1</v>
      </c>
      <c r="C2" s="431"/>
      <c r="D2" s="431"/>
      <c r="E2" s="431"/>
    </row>
    <row r="3" spans="1:13" ht="14.25">
      <c r="B3" s="432" t="s">
        <v>2</v>
      </c>
      <c r="C3" s="433" t="s">
        <v>3</v>
      </c>
      <c r="D3" s="433" t="s">
        <v>4</v>
      </c>
      <c r="E3" s="433" t="s">
        <v>5</v>
      </c>
      <c r="F3" s="433" t="s">
        <v>6</v>
      </c>
      <c r="G3" s="433" t="s">
        <v>7</v>
      </c>
      <c r="H3" s="433" t="s">
        <v>8</v>
      </c>
      <c r="I3" s="433" t="s">
        <v>9</v>
      </c>
      <c r="J3" s="433" t="s">
        <v>10</v>
      </c>
      <c r="K3" s="433" t="s">
        <v>11</v>
      </c>
      <c r="L3" s="433" t="s">
        <v>12</v>
      </c>
      <c r="M3" s="432" t="s">
        <v>13</v>
      </c>
    </row>
    <row r="4" spans="1:13" ht="14.25">
      <c r="B4" s="434" t="s">
        <v>14</v>
      </c>
      <c r="C4" s="320">
        <v>1066</v>
      </c>
      <c r="D4" s="325">
        <v>800</v>
      </c>
      <c r="E4" s="325">
        <v>600</v>
      </c>
      <c r="F4" s="325">
        <v>450</v>
      </c>
      <c r="G4" s="325">
        <v>338</v>
      </c>
      <c r="H4" s="325">
        <v>252</v>
      </c>
      <c r="I4" s="325">
        <v>190</v>
      </c>
      <c r="J4" s="325">
        <v>142</v>
      </c>
      <c r="K4" s="325">
        <v>106</v>
      </c>
      <c r="L4" s="325">
        <v>80</v>
      </c>
      <c r="M4" s="435">
        <v>60</v>
      </c>
    </row>
    <row r="5" spans="1:13" ht="14.25">
      <c r="B5" s="434" t="s">
        <v>15</v>
      </c>
      <c r="C5" s="325">
        <v>648</v>
      </c>
      <c r="D5" s="325">
        <v>486</v>
      </c>
      <c r="E5" s="325">
        <v>364</v>
      </c>
      <c r="F5" s="325">
        <v>274</v>
      </c>
      <c r="G5" s="325">
        <v>206</v>
      </c>
      <c r="H5" s="325">
        <v>154</v>
      </c>
      <c r="I5" s="325">
        <v>116</v>
      </c>
      <c r="J5" s="325">
        <v>86</v>
      </c>
      <c r="K5" s="325">
        <v>64</v>
      </c>
      <c r="L5" s="325">
        <v>48</v>
      </c>
      <c r="M5" s="435">
        <v>36</v>
      </c>
    </row>
    <row r="6" spans="1:13" ht="14.25">
      <c r="B6" s="434" t="s">
        <v>16</v>
      </c>
      <c r="C6" s="325">
        <v>416</v>
      </c>
      <c r="D6" s="325">
        <v>312</v>
      </c>
      <c r="E6" s="325">
        <v>234</v>
      </c>
      <c r="F6" s="325">
        <v>176</v>
      </c>
      <c r="G6" s="325">
        <v>132</v>
      </c>
      <c r="H6" s="325">
        <v>98</v>
      </c>
      <c r="I6" s="325">
        <v>74</v>
      </c>
      <c r="J6" s="325">
        <v>56</v>
      </c>
      <c r="K6" s="325">
        <v>42</v>
      </c>
      <c r="L6" s="325">
        <v>32</v>
      </c>
      <c r="M6" s="435">
        <v>24</v>
      </c>
    </row>
    <row r="7" spans="1:13" ht="15" customHeight="1">
      <c r="B7" s="434" t="s">
        <v>17</v>
      </c>
      <c r="C7" s="476" t="s">
        <v>18</v>
      </c>
      <c r="D7" s="477"/>
      <c r="E7" s="477"/>
      <c r="F7" s="477"/>
      <c r="G7" s="477"/>
      <c r="H7" s="477"/>
      <c r="I7" s="477"/>
      <c r="J7" s="477"/>
      <c r="K7" s="477"/>
      <c r="L7" s="477"/>
      <c r="M7" s="478"/>
    </row>
    <row r="8" spans="1:13" ht="14.25">
      <c r="B8" s="436"/>
      <c r="C8" s="436"/>
      <c r="D8" s="436"/>
      <c r="E8" s="436"/>
    </row>
    <row r="9" spans="1:13" ht="14.25">
      <c r="B9" s="431" t="s">
        <v>19</v>
      </c>
      <c r="C9" s="431"/>
      <c r="D9" s="431"/>
      <c r="E9" s="431"/>
    </row>
    <row r="10" spans="1:13" ht="14.25">
      <c r="B10" s="432" t="s">
        <v>2</v>
      </c>
      <c r="C10" s="433" t="s">
        <v>3</v>
      </c>
      <c r="D10" s="433" t="s">
        <v>4</v>
      </c>
      <c r="E10" s="433" t="s">
        <v>5</v>
      </c>
      <c r="F10" s="433" t="s">
        <v>6</v>
      </c>
      <c r="G10" s="433" t="s">
        <v>7</v>
      </c>
      <c r="H10" s="433" t="s">
        <v>8</v>
      </c>
      <c r="I10" s="433" t="s">
        <v>9</v>
      </c>
      <c r="J10" s="433" t="s">
        <v>10</v>
      </c>
      <c r="K10" s="433" t="s">
        <v>11</v>
      </c>
      <c r="L10" s="433" t="s">
        <v>12</v>
      </c>
      <c r="M10" s="432" t="s">
        <v>13</v>
      </c>
    </row>
    <row r="11" spans="1:13" ht="14.25">
      <c r="B11" s="434" t="s">
        <v>14</v>
      </c>
      <c r="C11" s="320">
        <v>1600</v>
      </c>
      <c r="D11" s="325">
        <v>1200</v>
      </c>
      <c r="E11" s="325">
        <v>900</v>
      </c>
      <c r="F11" s="325">
        <v>674</v>
      </c>
      <c r="G11" s="325">
        <v>506</v>
      </c>
      <c r="H11" s="325">
        <v>380</v>
      </c>
      <c r="I11" s="325">
        <v>284</v>
      </c>
      <c r="J11" s="325">
        <v>214</v>
      </c>
      <c r="K11" s="325">
        <v>160</v>
      </c>
      <c r="L11" s="325">
        <v>120</v>
      </c>
      <c r="M11" s="435">
        <v>90</v>
      </c>
    </row>
    <row r="12" spans="1:13" ht="14.25">
      <c r="B12" s="434" t="s">
        <v>15</v>
      </c>
      <c r="C12" s="325">
        <v>972</v>
      </c>
      <c r="D12" s="325">
        <v>730</v>
      </c>
      <c r="E12" s="325">
        <v>546</v>
      </c>
      <c r="F12" s="325">
        <v>410</v>
      </c>
      <c r="G12" s="325">
        <v>308</v>
      </c>
      <c r="H12" s="325">
        <v>230</v>
      </c>
      <c r="I12" s="325">
        <v>172</v>
      </c>
      <c r="J12" s="325">
        <v>130</v>
      </c>
      <c r="K12" s="325">
        <v>98</v>
      </c>
      <c r="L12" s="325">
        <v>72</v>
      </c>
      <c r="M12" s="435">
        <v>54</v>
      </c>
    </row>
    <row r="13" spans="1:13" ht="14.25">
      <c r="B13" s="434" t="s">
        <v>16</v>
      </c>
      <c r="C13" s="325">
        <v>624</v>
      </c>
      <c r="D13" s="325">
        <v>468</v>
      </c>
      <c r="E13" s="325">
        <v>352</v>
      </c>
      <c r="F13" s="325">
        <v>264</v>
      </c>
      <c r="G13" s="325">
        <v>198</v>
      </c>
      <c r="H13" s="325">
        <v>148</v>
      </c>
      <c r="I13" s="325">
        <v>112</v>
      </c>
      <c r="J13" s="325">
        <v>84</v>
      </c>
      <c r="K13" s="325">
        <v>62</v>
      </c>
      <c r="L13" s="325">
        <v>46</v>
      </c>
      <c r="M13" s="435">
        <v>36</v>
      </c>
    </row>
    <row r="14" spans="1:13" ht="14.25">
      <c r="B14" s="434" t="s">
        <v>17</v>
      </c>
      <c r="C14" s="476" t="s">
        <v>18</v>
      </c>
      <c r="D14" s="477"/>
      <c r="E14" s="477"/>
      <c r="F14" s="477"/>
      <c r="G14" s="477"/>
      <c r="H14" s="477"/>
      <c r="I14" s="477"/>
      <c r="J14" s="477"/>
      <c r="K14" s="477"/>
      <c r="L14" s="477"/>
      <c r="M14" s="478"/>
    </row>
    <row r="16" spans="1:13" ht="30" customHeight="1">
      <c r="A16" s="437"/>
      <c r="B16" s="430" t="s">
        <v>20</v>
      </c>
      <c r="C16" s="430"/>
      <c r="D16" s="430"/>
      <c r="E16" s="430"/>
    </row>
    <row r="17" spans="1:16" ht="14.25">
      <c r="A17" s="437"/>
      <c r="B17" s="431" t="s">
        <v>1</v>
      </c>
      <c r="C17" s="431"/>
      <c r="D17" s="431"/>
      <c r="E17" s="431"/>
    </row>
    <row r="18" spans="1:16" ht="14.25">
      <c r="A18" s="437"/>
      <c r="B18" s="432" t="s">
        <v>2</v>
      </c>
      <c r="C18" s="433" t="s">
        <v>3</v>
      </c>
      <c r="D18" s="433" t="s">
        <v>4</v>
      </c>
      <c r="E18" s="433" t="s">
        <v>5</v>
      </c>
      <c r="F18" s="433" t="s">
        <v>6</v>
      </c>
      <c r="G18" s="433" t="s">
        <v>7</v>
      </c>
      <c r="H18" s="433" t="s">
        <v>8</v>
      </c>
      <c r="I18" s="433" t="s">
        <v>9</v>
      </c>
      <c r="J18" s="433" t="s">
        <v>10</v>
      </c>
      <c r="K18" s="433" t="s">
        <v>11</v>
      </c>
      <c r="L18" s="433" t="s">
        <v>12</v>
      </c>
      <c r="M18" s="432" t="s">
        <v>13</v>
      </c>
    </row>
    <row r="19" spans="1:16" ht="15" customHeight="1">
      <c r="A19" s="437"/>
      <c r="B19" s="434" t="s">
        <v>14</v>
      </c>
      <c r="C19" s="320">
        <v>13750</v>
      </c>
      <c r="D19" s="325">
        <v>10312.5</v>
      </c>
      <c r="E19" s="325">
        <v>7735</v>
      </c>
      <c r="F19" s="325">
        <v>5800</v>
      </c>
      <c r="G19" s="325">
        <v>4350</v>
      </c>
      <c r="H19" s="325">
        <v>3262.5</v>
      </c>
      <c r="I19" s="325">
        <v>2447.5</v>
      </c>
      <c r="J19" s="325">
        <v>1835</v>
      </c>
      <c r="K19" s="325">
        <v>1377.5</v>
      </c>
      <c r="L19" s="325">
        <v>1032.5</v>
      </c>
      <c r="M19" s="435">
        <v>775</v>
      </c>
    </row>
    <row r="20" spans="1:16" ht="14.25">
      <c r="A20" s="437"/>
      <c r="B20" s="434" t="s">
        <v>15</v>
      </c>
      <c r="C20" s="325">
        <v>13000</v>
      </c>
      <c r="D20" s="325">
        <v>9750</v>
      </c>
      <c r="E20" s="325">
        <v>7312.5</v>
      </c>
      <c r="F20" s="325">
        <v>5485</v>
      </c>
      <c r="G20" s="325">
        <v>4112.5</v>
      </c>
      <c r="H20" s="325">
        <v>3085</v>
      </c>
      <c r="I20" s="325">
        <v>2312.5</v>
      </c>
      <c r="J20" s="325">
        <v>1735</v>
      </c>
      <c r="K20" s="325">
        <v>1302.5</v>
      </c>
      <c r="L20" s="325">
        <v>975</v>
      </c>
      <c r="M20" s="435">
        <v>732.5</v>
      </c>
    </row>
    <row r="21" spans="1:16" ht="14.25">
      <c r="A21" s="437"/>
      <c r="B21" s="434" t="s">
        <v>16</v>
      </c>
      <c r="C21" s="325">
        <v>12250</v>
      </c>
      <c r="D21" s="325">
        <v>9187.5</v>
      </c>
      <c r="E21" s="325">
        <v>6890</v>
      </c>
      <c r="F21" s="325">
        <v>5167.5</v>
      </c>
      <c r="G21" s="325">
        <v>3875</v>
      </c>
      <c r="H21" s="325">
        <v>2907.5</v>
      </c>
      <c r="I21" s="325">
        <v>2180</v>
      </c>
      <c r="J21" s="325">
        <v>1635</v>
      </c>
      <c r="K21" s="325">
        <v>1227.5</v>
      </c>
      <c r="L21" s="325">
        <v>920</v>
      </c>
      <c r="M21" s="435">
        <v>690</v>
      </c>
    </row>
    <row r="22" spans="1:16" ht="14.25">
      <c r="A22" s="437"/>
      <c r="B22" s="434" t="s">
        <v>17</v>
      </c>
      <c r="C22" s="435">
        <v>11500</v>
      </c>
      <c r="D22" s="435">
        <v>8625</v>
      </c>
      <c r="E22" s="435">
        <v>6470</v>
      </c>
      <c r="F22" s="435">
        <v>4852.5</v>
      </c>
      <c r="G22" s="435">
        <v>3637.5</v>
      </c>
      <c r="H22" s="435">
        <v>2730</v>
      </c>
      <c r="I22" s="435">
        <v>2047.5</v>
      </c>
      <c r="J22" s="435">
        <v>1535</v>
      </c>
      <c r="K22" s="435">
        <v>1152.5</v>
      </c>
      <c r="L22" s="435">
        <v>862.5</v>
      </c>
      <c r="M22" s="435">
        <v>647.5</v>
      </c>
    </row>
    <row r="23" spans="1:16" ht="12.75" customHeight="1">
      <c r="A23" s="437"/>
      <c r="B23" s="436"/>
      <c r="C23" s="436"/>
      <c r="D23" s="436"/>
      <c r="E23" s="436"/>
    </row>
    <row r="24" spans="1:16" ht="14.25">
      <c r="A24" s="437"/>
      <c r="B24" s="431" t="s">
        <v>19</v>
      </c>
      <c r="C24" s="431"/>
      <c r="D24" s="431"/>
      <c r="E24" s="431"/>
    </row>
    <row r="25" spans="1:16" ht="14.25">
      <c r="A25" s="437"/>
      <c r="B25" s="432" t="s">
        <v>2</v>
      </c>
      <c r="C25" s="433" t="s">
        <v>3</v>
      </c>
      <c r="D25" s="433" t="s">
        <v>4</v>
      </c>
      <c r="E25" s="433" t="s">
        <v>5</v>
      </c>
      <c r="F25" s="433" t="s">
        <v>6</v>
      </c>
      <c r="G25" s="433" t="s">
        <v>7</v>
      </c>
      <c r="H25" s="433" t="s">
        <v>8</v>
      </c>
      <c r="I25" s="433" t="s">
        <v>9</v>
      </c>
      <c r="J25" s="433" t="s">
        <v>10</v>
      </c>
      <c r="K25" s="433" t="s">
        <v>11</v>
      </c>
      <c r="L25" s="433" t="s">
        <v>12</v>
      </c>
      <c r="M25" s="432" t="s">
        <v>13</v>
      </c>
    </row>
    <row r="26" spans="1:16" ht="14.25">
      <c r="A26" s="437"/>
      <c r="B26" s="434" t="s">
        <v>14</v>
      </c>
      <c r="C26" s="320">
        <v>16250</v>
      </c>
      <c r="D26" s="325">
        <v>12187.5</v>
      </c>
      <c r="E26" s="325">
        <v>9140</v>
      </c>
      <c r="F26" s="325">
        <v>6855</v>
      </c>
      <c r="G26" s="325">
        <v>5142.5</v>
      </c>
      <c r="H26" s="325">
        <v>3855</v>
      </c>
      <c r="I26" s="325">
        <v>2892.5</v>
      </c>
      <c r="J26" s="325">
        <v>2170</v>
      </c>
      <c r="K26" s="325">
        <v>1627.5</v>
      </c>
      <c r="L26" s="325">
        <v>1220</v>
      </c>
      <c r="M26" s="435">
        <v>915</v>
      </c>
    </row>
    <row r="27" spans="1:16" ht="14.25">
      <c r="A27" s="437"/>
      <c r="B27" s="434" t="s">
        <v>15</v>
      </c>
      <c r="C27" s="325">
        <v>15375</v>
      </c>
      <c r="D27" s="325">
        <v>11532.5</v>
      </c>
      <c r="E27" s="325">
        <v>8647.5</v>
      </c>
      <c r="F27" s="325">
        <v>6487.5</v>
      </c>
      <c r="G27" s="325">
        <v>4865</v>
      </c>
      <c r="H27" s="325">
        <v>3647.5</v>
      </c>
      <c r="I27" s="325">
        <v>2737.5</v>
      </c>
      <c r="J27" s="325">
        <v>2052.5</v>
      </c>
      <c r="K27" s="325">
        <v>1540</v>
      </c>
      <c r="L27" s="325">
        <v>1155</v>
      </c>
      <c r="M27" s="435">
        <v>865</v>
      </c>
    </row>
    <row r="28" spans="1:16" ht="14.25">
      <c r="A28" s="437"/>
      <c r="B28" s="434" t="s">
        <v>16</v>
      </c>
      <c r="C28" s="325">
        <v>14500</v>
      </c>
      <c r="D28" s="325">
        <v>10875</v>
      </c>
      <c r="E28" s="325">
        <v>8157.5</v>
      </c>
      <c r="F28" s="325">
        <v>6117.5</v>
      </c>
      <c r="G28" s="325">
        <v>4587.5</v>
      </c>
      <c r="H28" s="325">
        <v>3440</v>
      </c>
      <c r="I28" s="325">
        <v>2580</v>
      </c>
      <c r="J28" s="325">
        <v>1935</v>
      </c>
      <c r="K28" s="325">
        <v>1452.5</v>
      </c>
      <c r="L28" s="325">
        <v>1087.5</v>
      </c>
      <c r="M28" s="435">
        <v>817.5</v>
      </c>
    </row>
    <row r="29" spans="1:16" ht="14.25">
      <c r="A29" s="437"/>
      <c r="B29" s="434" t="s">
        <v>17</v>
      </c>
      <c r="C29" s="435">
        <v>13625</v>
      </c>
      <c r="D29" s="435">
        <v>10220</v>
      </c>
      <c r="E29" s="435">
        <v>7665</v>
      </c>
      <c r="F29" s="435">
        <v>5747.5</v>
      </c>
      <c r="G29" s="435">
        <v>4310</v>
      </c>
      <c r="H29" s="435">
        <v>3232.5</v>
      </c>
      <c r="I29" s="435">
        <v>2425</v>
      </c>
      <c r="J29" s="435">
        <v>1817.5</v>
      </c>
      <c r="K29" s="435">
        <v>1365</v>
      </c>
      <c r="L29" s="435">
        <v>1022.5</v>
      </c>
      <c r="M29" s="435">
        <v>767.5</v>
      </c>
    </row>
    <row r="31" spans="1:16" ht="30" customHeight="1">
      <c r="A31" s="437"/>
      <c r="B31" s="438" t="s">
        <v>21</v>
      </c>
      <c r="C31" s="438"/>
      <c r="D31" s="438"/>
      <c r="E31" s="438"/>
    </row>
    <row r="32" spans="1:16" ht="14.25">
      <c r="B32" s="431" t="s">
        <v>1</v>
      </c>
      <c r="C32" s="431"/>
      <c r="D32" s="431"/>
      <c r="E32" s="431"/>
      <c r="P32" s="428">
        <f>4*200</f>
        <v>800</v>
      </c>
    </row>
    <row r="33" spans="1:18" ht="14.25">
      <c r="B33" s="432" t="s">
        <v>2</v>
      </c>
      <c r="C33" s="433" t="s">
        <v>3</v>
      </c>
      <c r="D33" s="433" t="s">
        <v>4</v>
      </c>
      <c r="E33" s="433" t="s">
        <v>5</v>
      </c>
      <c r="F33" s="433" t="s">
        <v>6</v>
      </c>
      <c r="G33" s="433" t="s">
        <v>7</v>
      </c>
      <c r="H33" s="433" t="s">
        <v>8</v>
      </c>
      <c r="I33" s="433" t="s">
        <v>9</v>
      </c>
      <c r="J33" s="433" t="s">
        <v>10</v>
      </c>
      <c r="K33" s="433" t="s">
        <v>11</v>
      </c>
      <c r="L33" s="433" t="s">
        <v>12</v>
      </c>
      <c r="M33" s="432" t="s">
        <v>13</v>
      </c>
      <c r="P33" s="428">
        <f>4500+P32</f>
        <v>5300</v>
      </c>
    </row>
    <row r="34" spans="1:18" ht="14.25">
      <c r="B34" s="434" t="s">
        <v>14</v>
      </c>
      <c r="C34" s="320">
        <v>3666</v>
      </c>
      <c r="D34" s="325">
        <v>2750</v>
      </c>
      <c r="E34" s="325">
        <v>2062</v>
      </c>
      <c r="F34" s="325">
        <v>1546</v>
      </c>
      <c r="G34" s="325">
        <v>1160</v>
      </c>
      <c r="H34" s="325">
        <v>870</v>
      </c>
      <c r="I34" s="325">
        <v>652</v>
      </c>
      <c r="J34" s="325">
        <v>490</v>
      </c>
      <c r="K34" s="325">
        <v>368</v>
      </c>
      <c r="L34" s="325">
        <v>276</v>
      </c>
      <c r="M34" s="435">
        <v>206</v>
      </c>
    </row>
    <row r="35" spans="1:18" ht="14.25">
      <c r="B35" s="434" t="s">
        <v>15</v>
      </c>
      <c r="C35" s="325">
        <v>2460</v>
      </c>
      <c r="D35" s="325">
        <v>1846</v>
      </c>
      <c r="E35" s="325">
        <v>1384</v>
      </c>
      <c r="F35" s="325">
        <v>1038</v>
      </c>
      <c r="G35" s="325">
        <v>778</v>
      </c>
      <c r="H35" s="325">
        <v>584</v>
      </c>
      <c r="I35" s="325">
        <v>438</v>
      </c>
      <c r="J35" s="325">
        <v>328</v>
      </c>
      <c r="K35" s="325">
        <v>246</v>
      </c>
      <c r="L35" s="325">
        <v>184</v>
      </c>
      <c r="M35" s="435">
        <v>138</v>
      </c>
    </row>
    <row r="36" spans="1:18" ht="14.25">
      <c r="B36" s="434" t="s">
        <v>16</v>
      </c>
      <c r="C36" s="325">
        <v>1652</v>
      </c>
      <c r="D36" s="325">
        <v>1238</v>
      </c>
      <c r="E36" s="325">
        <v>930</v>
      </c>
      <c r="F36" s="325">
        <v>696</v>
      </c>
      <c r="G36" s="325">
        <v>522</v>
      </c>
      <c r="H36" s="325">
        <v>392</v>
      </c>
      <c r="I36" s="325">
        <v>294</v>
      </c>
      <c r="J36" s="325">
        <v>220</v>
      </c>
      <c r="K36" s="325">
        <v>166</v>
      </c>
      <c r="L36" s="325">
        <v>124</v>
      </c>
      <c r="M36" s="435">
        <v>94</v>
      </c>
      <c r="O36" s="429">
        <f>14000</f>
        <v>14000</v>
      </c>
      <c r="P36" s="429">
        <f>1400*3</f>
        <v>4200</v>
      </c>
      <c r="Q36" s="429"/>
    </row>
    <row r="37" spans="1:18" ht="15" customHeight="1">
      <c r="B37" s="434" t="s">
        <v>17</v>
      </c>
      <c r="C37" s="476" t="s">
        <v>18</v>
      </c>
      <c r="D37" s="477"/>
      <c r="E37" s="477"/>
      <c r="F37" s="477"/>
      <c r="G37" s="477"/>
      <c r="H37" s="477"/>
      <c r="I37" s="477"/>
      <c r="J37" s="477"/>
      <c r="K37" s="477"/>
      <c r="L37" s="477"/>
      <c r="M37" s="478"/>
      <c r="O37" s="429">
        <v>12000</v>
      </c>
      <c r="P37" s="429">
        <f>P36+1400</f>
        <v>5600</v>
      </c>
      <c r="Q37" s="429"/>
    </row>
    <row r="38" spans="1:18" ht="14.25">
      <c r="B38" s="436"/>
      <c r="C38" s="436"/>
      <c r="D38" s="436"/>
      <c r="E38" s="436"/>
      <c r="O38" s="429">
        <f>O36+O37</f>
        <v>26000</v>
      </c>
      <c r="P38" s="429">
        <f>P37*2</f>
        <v>11200</v>
      </c>
      <c r="Q38" s="429"/>
    </row>
    <row r="39" spans="1:18" ht="14.25">
      <c r="B39" s="431" t="s">
        <v>19</v>
      </c>
      <c r="C39" s="431"/>
      <c r="D39" s="431"/>
      <c r="E39" s="431"/>
      <c r="O39" s="429"/>
      <c r="P39" s="429"/>
      <c r="Q39" s="429"/>
    </row>
    <row r="40" spans="1:18" ht="14.25">
      <c r="B40" s="432" t="s">
        <v>2</v>
      </c>
      <c r="C40" s="433" t="s">
        <v>3</v>
      </c>
      <c r="D40" s="433" t="s">
        <v>4</v>
      </c>
      <c r="E40" s="433" t="s">
        <v>5</v>
      </c>
      <c r="F40" s="433" t="s">
        <v>6</v>
      </c>
      <c r="G40" s="433" t="s">
        <v>7</v>
      </c>
      <c r="H40" s="433" t="s">
        <v>8</v>
      </c>
      <c r="I40" s="433" t="s">
        <v>9</v>
      </c>
      <c r="J40" s="433" t="s">
        <v>10</v>
      </c>
      <c r="K40" s="433" t="s">
        <v>11</v>
      </c>
      <c r="L40" s="433" t="s">
        <v>12</v>
      </c>
      <c r="M40" s="432" t="s">
        <v>13</v>
      </c>
      <c r="O40" s="429">
        <f>196</f>
        <v>196</v>
      </c>
      <c r="P40" s="429">
        <f>180</f>
        <v>180</v>
      </c>
      <c r="Q40" s="429">
        <f>O40*P40</f>
        <v>35280</v>
      </c>
    </row>
    <row r="41" spans="1:18" ht="14.25">
      <c r="B41" s="434" t="s">
        <v>14</v>
      </c>
      <c r="C41" s="320">
        <v>5500</v>
      </c>
      <c r="D41" s="325">
        <v>4124</v>
      </c>
      <c r="E41" s="325">
        <v>3094</v>
      </c>
      <c r="F41" s="325">
        <v>2320</v>
      </c>
      <c r="G41" s="325">
        <v>1740</v>
      </c>
      <c r="H41" s="325">
        <v>1306</v>
      </c>
      <c r="I41" s="325">
        <v>978</v>
      </c>
      <c r="J41" s="325">
        <v>734</v>
      </c>
      <c r="K41" s="325">
        <v>550</v>
      </c>
      <c r="L41" s="325">
        <v>412</v>
      </c>
      <c r="M41" s="435">
        <v>310</v>
      </c>
      <c r="O41" s="429">
        <v>24</v>
      </c>
      <c r="P41" s="429">
        <v>190</v>
      </c>
      <c r="Q41" s="429">
        <f>O41*P41</f>
        <v>4560</v>
      </c>
    </row>
    <row r="42" spans="1:18" ht="14.25">
      <c r="B42" s="434" t="s">
        <v>15</v>
      </c>
      <c r="C42" s="325">
        <v>3692</v>
      </c>
      <c r="D42" s="325">
        <v>2768</v>
      </c>
      <c r="E42" s="325">
        <v>2076</v>
      </c>
      <c r="F42" s="325">
        <v>1558</v>
      </c>
      <c r="G42" s="325">
        <v>1168</v>
      </c>
      <c r="H42" s="325">
        <v>876</v>
      </c>
      <c r="I42" s="325">
        <v>656</v>
      </c>
      <c r="J42" s="325">
        <v>492</v>
      </c>
      <c r="K42" s="325">
        <v>370</v>
      </c>
      <c r="L42" s="325">
        <v>278</v>
      </c>
      <c r="M42" s="435">
        <v>208</v>
      </c>
      <c r="O42" s="429"/>
      <c r="P42" s="429"/>
      <c r="Q42" s="429">
        <f>Q40+Q41</f>
        <v>39840</v>
      </c>
    </row>
    <row r="43" spans="1:18" ht="14.25">
      <c r="B43" s="434" t="s">
        <v>16</v>
      </c>
      <c r="C43" s="325">
        <v>2478</v>
      </c>
      <c r="D43" s="325">
        <v>1858</v>
      </c>
      <c r="E43" s="325">
        <v>1394</v>
      </c>
      <c r="F43" s="325">
        <v>1046</v>
      </c>
      <c r="G43" s="325">
        <v>784</v>
      </c>
      <c r="H43" s="325">
        <v>588</v>
      </c>
      <c r="I43" s="325">
        <v>442</v>
      </c>
      <c r="J43" s="325">
        <v>330</v>
      </c>
      <c r="K43" s="325">
        <v>248</v>
      </c>
      <c r="L43" s="325">
        <v>186</v>
      </c>
      <c r="M43" s="435">
        <v>140</v>
      </c>
      <c r="O43" s="429"/>
      <c r="P43" s="429"/>
      <c r="Q43" s="429">
        <f>Q42/2</f>
        <v>19920</v>
      </c>
      <c r="R43" s="429">
        <f>17000+25000</f>
        <v>42000</v>
      </c>
    </row>
    <row r="44" spans="1:18" ht="15" customHeight="1">
      <c r="B44" s="434" t="s">
        <v>17</v>
      </c>
      <c r="C44" s="476" t="s">
        <v>18</v>
      </c>
      <c r="D44" s="477"/>
      <c r="E44" s="477"/>
      <c r="F44" s="477"/>
      <c r="G44" s="477"/>
      <c r="H44" s="477"/>
      <c r="I44" s="477"/>
      <c r="J44" s="477"/>
      <c r="K44" s="477"/>
      <c r="L44" s="477"/>
      <c r="M44" s="478"/>
      <c r="Q44" s="439">
        <f>17000+Q43</f>
        <v>36920</v>
      </c>
    </row>
    <row r="45" spans="1:18" ht="15" customHeight="1">
      <c r="B45" s="440"/>
      <c r="C45" s="441"/>
      <c r="D45" s="441"/>
      <c r="E45" s="441"/>
      <c r="F45" s="441"/>
      <c r="G45" s="441"/>
      <c r="H45" s="441"/>
      <c r="I45" s="441"/>
      <c r="J45" s="441"/>
      <c r="K45" s="441"/>
      <c r="L45" s="441"/>
      <c r="M45" s="441"/>
      <c r="O45" s="429">
        <f>16*16*4</f>
        <v>1024</v>
      </c>
    </row>
    <row r="46" spans="1:18" ht="30" customHeight="1">
      <c r="A46" s="437"/>
      <c r="B46" s="438" t="s">
        <v>22</v>
      </c>
      <c r="C46" s="438"/>
      <c r="D46" s="438"/>
      <c r="E46" s="438"/>
      <c r="O46" s="428">
        <f>16*14*4</f>
        <v>896</v>
      </c>
    </row>
    <row r="47" spans="1:18" ht="14.25">
      <c r="B47" s="431" t="s">
        <v>1</v>
      </c>
      <c r="C47" s="431"/>
      <c r="D47" s="431"/>
      <c r="E47" s="431"/>
    </row>
    <row r="48" spans="1:18" ht="14.25">
      <c r="B48" s="432" t="s">
        <v>2</v>
      </c>
      <c r="C48" s="433" t="s">
        <v>3</v>
      </c>
      <c r="D48" s="433" t="s">
        <v>4</v>
      </c>
      <c r="E48" s="433" t="s">
        <v>5</v>
      </c>
      <c r="F48" s="433" t="s">
        <v>6</v>
      </c>
      <c r="G48" s="433" t="s">
        <v>7</v>
      </c>
      <c r="H48" s="433" t="s">
        <v>8</v>
      </c>
      <c r="I48" s="433" t="s">
        <v>9</v>
      </c>
      <c r="J48" s="433" t="s">
        <v>10</v>
      </c>
      <c r="K48" s="433" t="s">
        <v>11</v>
      </c>
      <c r="L48" s="433" t="s">
        <v>12</v>
      </c>
      <c r="M48" s="432" t="s">
        <v>13</v>
      </c>
    </row>
    <row r="49" spans="1:13" ht="14.25">
      <c r="B49" s="434" t="s">
        <v>14</v>
      </c>
      <c r="C49" s="320">
        <v>2042</v>
      </c>
      <c r="D49" s="325">
        <v>1532</v>
      </c>
      <c r="E49" s="325">
        <v>1150</v>
      </c>
      <c r="F49" s="325">
        <v>862</v>
      </c>
      <c r="G49" s="325">
        <v>646</v>
      </c>
      <c r="H49" s="325">
        <v>484</v>
      </c>
      <c r="I49" s="325">
        <v>364</v>
      </c>
      <c r="J49" s="325">
        <v>272</v>
      </c>
      <c r="K49" s="325">
        <v>204</v>
      </c>
      <c r="L49" s="325">
        <v>154</v>
      </c>
      <c r="M49" s="435">
        <v>116</v>
      </c>
    </row>
    <row r="50" spans="1:13" ht="14.25">
      <c r="B50" s="434" t="s">
        <v>15</v>
      </c>
      <c r="C50" s="476" t="s">
        <v>18</v>
      </c>
      <c r="D50" s="477"/>
      <c r="E50" s="477"/>
      <c r="F50" s="477"/>
      <c r="G50" s="477"/>
      <c r="H50" s="477"/>
      <c r="I50" s="477"/>
      <c r="J50" s="477"/>
      <c r="K50" s="477"/>
      <c r="L50" s="477"/>
      <c r="M50" s="478"/>
    </row>
    <row r="51" spans="1:13" ht="14.25">
      <c r="B51" s="434" t="s">
        <v>16</v>
      </c>
      <c r="C51" s="476" t="s">
        <v>18</v>
      </c>
      <c r="D51" s="477"/>
      <c r="E51" s="477"/>
      <c r="F51" s="477"/>
      <c r="G51" s="477"/>
      <c r="H51" s="477"/>
      <c r="I51" s="477"/>
      <c r="J51" s="477"/>
      <c r="K51" s="477"/>
      <c r="L51" s="477"/>
      <c r="M51" s="478"/>
    </row>
    <row r="52" spans="1:13" ht="15" customHeight="1">
      <c r="B52" s="434" t="s">
        <v>17</v>
      </c>
      <c r="C52" s="476" t="s">
        <v>18</v>
      </c>
      <c r="D52" s="477"/>
      <c r="E52" s="477"/>
      <c r="F52" s="477"/>
      <c r="G52" s="477"/>
      <c r="H52" s="477"/>
      <c r="I52" s="477"/>
      <c r="J52" s="477"/>
      <c r="K52" s="477"/>
      <c r="L52" s="477"/>
      <c r="M52" s="478"/>
    </row>
    <row r="53" spans="1:13" ht="14.25">
      <c r="B53" s="436"/>
      <c r="C53" s="436"/>
      <c r="D53" s="436"/>
      <c r="E53" s="436"/>
    </row>
    <row r="54" spans="1:13" ht="14.25">
      <c r="B54" s="431" t="s">
        <v>19</v>
      </c>
      <c r="C54" s="431"/>
      <c r="D54" s="431"/>
      <c r="E54" s="431"/>
    </row>
    <row r="55" spans="1:13" ht="14.25">
      <c r="B55" s="432" t="s">
        <v>2</v>
      </c>
      <c r="C55" s="433" t="s">
        <v>3</v>
      </c>
      <c r="D55" s="433" t="s">
        <v>4</v>
      </c>
      <c r="E55" s="433" t="s">
        <v>5</v>
      </c>
      <c r="F55" s="433" t="s">
        <v>6</v>
      </c>
      <c r="G55" s="433" t="s">
        <v>7</v>
      </c>
      <c r="H55" s="433" t="s">
        <v>8</v>
      </c>
      <c r="I55" s="433" t="s">
        <v>9</v>
      </c>
      <c r="J55" s="433" t="s">
        <v>10</v>
      </c>
      <c r="K55" s="433" t="s">
        <v>11</v>
      </c>
      <c r="L55" s="433" t="s">
        <v>12</v>
      </c>
      <c r="M55" s="432" t="s">
        <v>13</v>
      </c>
    </row>
    <row r="56" spans="1:13" ht="14.25">
      <c r="B56" s="434" t="s">
        <v>14</v>
      </c>
      <c r="C56" s="320">
        <v>2230</v>
      </c>
      <c r="D56" s="325">
        <v>1672</v>
      </c>
      <c r="E56" s="325">
        <v>1254</v>
      </c>
      <c r="F56" s="325">
        <v>940</v>
      </c>
      <c r="G56" s="325">
        <v>706</v>
      </c>
      <c r="H56" s="325">
        <v>528</v>
      </c>
      <c r="I56" s="325">
        <v>396</v>
      </c>
      <c r="J56" s="325">
        <v>298</v>
      </c>
      <c r="K56" s="325">
        <v>222</v>
      </c>
      <c r="L56" s="325">
        <v>168</v>
      </c>
      <c r="M56" s="435">
        <v>126</v>
      </c>
    </row>
    <row r="57" spans="1:13" ht="14.25">
      <c r="B57" s="434" t="s">
        <v>15</v>
      </c>
      <c r="C57" s="476" t="s">
        <v>18</v>
      </c>
      <c r="D57" s="477"/>
      <c r="E57" s="477"/>
      <c r="F57" s="477"/>
      <c r="G57" s="477"/>
      <c r="H57" s="477"/>
      <c r="I57" s="477"/>
      <c r="J57" s="477"/>
      <c r="K57" s="477"/>
      <c r="L57" s="477"/>
      <c r="M57" s="478"/>
    </row>
    <row r="58" spans="1:13" ht="14.25">
      <c r="B58" s="434" t="s">
        <v>16</v>
      </c>
      <c r="C58" s="476" t="s">
        <v>18</v>
      </c>
      <c r="D58" s="477"/>
      <c r="E58" s="477"/>
      <c r="F58" s="477"/>
      <c r="G58" s="477"/>
      <c r="H58" s="477"/>
      <c r="I58" s="477"/>
      <c r="J58" s="477"/>
      <c r="K58" s="477"/>
      <c r="L58" s="477"/>
      <c r="M58" s="478"/>
    </row>
    <row r="59" spans="1:13" ht="15" customHeight="1">
      <c r="B59" s="434" t="s">
        <v>17</v>
      </c>
      <c r="C59" s="476" t="s">
        <v>18</v>
      </c>
      <c r="D59" s="477"/>
      <c r="E59" s="477"/>
      <c r="F59" s="477"/>
      <c r="G59" s="477"/>
      <c r="H59" s="477"/>
      <c r="I59" s="477"/>
      <c r="J59" s="477"/>
      <c r="K59" s="477"/>
      <c r="L59" s="477"/>
      <c r="M59" s="478"/>
    </row>
    <row r="60" spans="1:13" ht="15" customHeight="1">
      <c r="B60" s="440"/>
      <c r="C60" s="441"/>
      <c r="D60" s="441"/>
      <c r="E60" s="441"/>
      <c r="F60" s="441"/>
      <c r="G60" s="441"/>
      <c r="H60" s="441"/>
      <c r="I60" s="441"/>
      <c r="J60" s="441"/>
      <c r="K60" s="441"/>
      <c r="L60" s="441"/>
      <c r="M60" s="441"/>
    </row>
    <row r="61" spans="1:13" ht="18">
      <c r="B61" s="438" t="s">
        <v>23</v>
      </c>
      <c r="C61" s="438"/>
      <c r="D61" s="438"/>
      <c r="E61" s="438"/>
    </row>
    <row r="62" spans="1:13" ht="30" customHeight="1">
      <c r="A62" s="437"/>
      <c r="B62" s="431" t="s">
        <v>1</v>
      </c>
      <c r="C62" s="431"/>
      <c r="D62" s="431"/>
      <c r="E62" s="431"/>
    </row>
    <row r="63" spans="1:13" ht="14.25">
      <c r="B63" s="432" t="s">
        <v>2</v>
      </c>
      <c r="C63" s="433" t="s">
        <v>3</v>
      </c>
      <c r="D63" s="433" t="s">
        <v>4</v>
      </c>
      <c r="E63" s="433" t="s">
        <v>5</v>
      </c>
      <c r="F63" s="433" t="s">
        <v>6</v>
      </c>
      <c r="G63" s="433" t="s">
        <v>7</v>
      </c>
      <c r="H63" s="433" t="s">
        <v>8</v>
      </c>
      <c r="I63" s="433" t="s">
        <v>9</v>
      </c>
      <c r="J63" s="433" t="s">
        <v>10</v>
      </c>
      <c r="K63" s="433" t="s">
        <v>11</v>
      </c>
      <c r="L63" s="433" t="s">
        <v>12</v>
      </c>
      <c r="M63" s="432" t="s">
        <v>13</v>
      </c>
    </row>
    <row r="64" spans="1:13" ht="14.25">
      <c r="B64" s="434" t="s">
        <v>14</v>
      </c>
      <c r="C64" s="320">
        <v>5776</v>
      </c>
      <c r="D64" s="325">
        <v>4338</v>
      </c>
      <c r="E64" s="325">
        <v>3246</v>
      </c>
      <c r="F64" s="325">
        <v>2436</v>
      </c>
      <c r="G64" s="325">
        <v>1828</v>
      </c>
      <c r="H64" s="325">
        <v>1378</v>
      </c>
      <c r="I64" s="325">
        <v>1030</v>
      </c>
      <c r="J64" s="325">
        <v>768</v>
      </c>
      <c r="K64" s="325">
        <v>580</v>
      </c>
      <c r="L64" s="325">
        <v>294</v>
      </c>
      <c r="M64" s="435">
        <v>148</v>
      </c>
    </row>
    <row r="65" spans="1:13" ht="14.25">
      <c r="B65" s="434" t="s">
        <v>15</v>
      </c>
      <c r="C65" s="476" t="s">
        <v>18</v>
      </c>
      <c r="D65" s="477"/>
      <c r="E65" s="477"/>
      <c r="F65" s="477"/>
      <c r="G65" s="477"/>
      <c r="H65" s="477"/>
      <c r="I65" s="477"/>
      <c r="J65" s="477"/>
      <c r="K65" s="477"/>
      <c r="L65" s="477"/>
      <c r="M65" s="478"/>
    </row>
    <row r="66" spans="1:13" ht="14.25">
      <c r="B66" s="434" t="s">
        <v>16</v>
      </c>
      <c r="C66" s="476" t="s">
        <v>18</v>
      </c>
      <c r="D66" s="477"/>
      <c r="E66" s="477"/>
      <c r="F66" s="477"/>
      <c r="G66" s="477"/>
      <c r="H66" s="477"/>
      <c r="I66" s="477"/>
      <c r="J66" s="477"/>
      <c r="K66" s="477"/>
      <c r="L66" s="477"/>
      <c r="M66" s="478"/>
    </row>
    <row r="67" spans="1:13" ht="14.25">
      <c r="B67" s="434" t="s">
        <v>17</v>
      </c>
      <c r="C67" s="476" t="s">
        <v>18</v>
      </c>
      <c r="D67" s="477"/>
      <c r="E67" s="477"/>
      <c r="F67" s="477"/>
      <c r="G67" s="477"/>
      <c r="H67" s="477"/>
      <c r="I67" s="477"/>
      <c r="J67" s="477"/>
      <c r="K67" s="477"/>
      <c r="L67" s="477"/>
      <c r="M67" s="478"/>
    </row>
    <row r="68" spans="1:13" ht="14.25">
      <c r="B68" s="436"/>
      <c r="C68" s="436"/>
      <c r="D68" s="436"/>
      <c r="E68" s="436"/>
    </row>
    <row r="69" spans="1:13" ht="18">
      <c r="B69" s="438" t="s">
        <v>24</v>
      </c>
      <c r="C69" s="438"/>
      <c r="D69" s="438"/>
      <c r="E69" s="438"/>
    </row>
    <row r="70" spans="1:13" ht="30" customHeight="1">
      <c r="A70" s="437"/>
      <c r="B70" s="431" t="s">
        <v>1</v>
      </c>
      <c r="C70" s="431"/>
      <c r="D70" s="431"/>
      <c r="E70" s="431"/>
    </row>
    <row r="71" spans="1:13" ht="14.25">
      <c r="B71" s="432" t="s">
        <v>2</v>
      </c>
      <c r="C71" s="433" t="s">
        <v>3</v>
      </c>
      <c r="D71" s="433" t="s">
        <v>4</v>
      </c>
      <c r="E71" s="433" t="s">
        <v>5</v>
      </c>
      <c r="F71" s="433" t="s">
        <v>6</v>
      </c>
      <c r="G71" s="433" t="s">
        <v>7</v>
      </c>
      <c r="H71" s="433" t="s">
        <v>8</v>
      </c>
      <c r="I71" s="433" t="s">
        <v>9</v>
      </c>
      <c r="J71" s="433" t="s">
        <v>10</v>
      </c>
      <c r="K71" s="433" t="s">
        <v>11</v>
      </c>
      <c r="L71" s="433" t="s">
        <v>12</v>
      </c>
      <c r="M71" s="432" t="s">
        <v>13</v>
      </c>
    </row>
    <row r="72" spans="1:13" ht="14.25">
      <c r="B72" s="434" t="s">
        <v>14</v>
      </c>
      <c r="C72" s="320">
        <v>2614</v>
      </c>
      <c r="D72" s="325">
        <v>1962</v>
      </c>
      <c r="E72" s="325">
        <v>1470</v>
      </c>
      <c r="F72" s="325">
        <v>1104</v>
      </c>
      <c r="G72" s="325">
        <v>828</v>
      </c>
      <c r="H72" s="325">
        <v>620</v>
      </c>
      <c r="I72" s="325">
        <v>466</v>
      </c>
      <c r="J72" s="325">
        <v>350</v>
      </c>
      <c r="K72" s="325">
        <v>262</v>
      </c>
      <c r="L72" s="325">
        <v>196</v>
      </c>
      <c r="M72" s="435">
        <v>146</v>
      </c>
    </row>
    <row r="73" spans="1:13" ht="15" customHeight="1">
      <c r="B73" s="434" t="s">
        <v>15</v>
      </c>
      <c r="C73" s="476" t="s">
        <v>18</v>
      </c>
      <c r="D73" s="477"/>
      <c r="E73" s="477"/>
      <c r="F73" s="477"/>
      <c r="G73" s="477"/>
      <c r="H73" s="477"/>
      <c r="I73" s="477"/>
      <c r="J73" s="477"/>
      <c r="K73" s="477"/>
      <c r="L73" s="477"/>
      <c r="M73" s="478"/>
    </row>
    <row r="74" spans="1:13" ht="14.25">
      <c r="B74" s="434" t="s">
        <v>16</v>
      </c>
      <c r="C74" s="476" t="s">
        <v>18</v>
      </c>
      <c r="D74" s="477"/>
      <c r="E74" s="477"/>
      <c r="F74" s="477"/>
      <c r="G74" s="477"/>
      <c r="H74" s="477"/>
      <c r="I74" s="477"/>
      <c r="J74" s="477"/>
      <c r="K74" s="477"/>
      <c r="L74" s="477"/>
      <c r="M74" s="478"/>
    </row>
    <row r="75" spans="1:13" ht="14.25">
      <c r="B75" s="434" t="s">
        <v>17</v>
      </c>
      <c r="C75" s="476" t="s">
        <v>18</v>
      </c>
      <c r="D75" s="477"/>
      <c r="E75" s="477"/>
      <c r="F75" s="477"/>
      <c r="G75" s="477"/>
      <c r="H75" s="477"/>
      <c r="I75" s="477"/>
      <c r="J75" s="477"/>
      <c r="K75" s="477"/>
      <c r="L75" s="477"/>
      <c r="M75" s="478"/>
    </row>
    <row r="76" spans="1:13" ht="15" customHeight="1">
      <c r="B76" s="436"/>
      <c r="C76" s="436"/>
      <c r="D76" s="436"/>
      <c r="E76" s="436"/>
    </row>
    <row r="77" spans="1:13" ht="14.25">
      <c r="B77" s="431" t="s">
        <v>19</v>
      </c>
      <c r="C77" s="431"/>
      <c r="D77" s="431"/>
      <c r="E77" s="431"/>
    </row>
    <row r="78" spans="1:13" ht="14.25">
      <c r="B78" s="432" t="s">
        <v>2</v>
      </c>
      <c r="C78" s="433" t="s">
        <v>3</v>
      </c>
      <c r="D78" s="433" t="s">
        <v>4</v>
      </c>
      <c r="E78" s="433" t="s">
        <v>5</v>
      </c>
      <c r="F78" s="433" t="s">
        <v>6</v>
      </c>
      <c r="G78" s="433" t="s">
        <v>7</v>
      </c>
      <c r="H78" s="433" t="s">
        <v>8</v>
      </c>
      <c r="I78" s="433" t="s">
        <v>9</v>
      </c>
      <c r="J78" s="433" t="s">
        <v>10</v>
      </c>
      <c r="K78" s="433" t="s">
        <v>11</v>
      </c>
      <c r="L78" s="433" t="s">
        <v>12</v>
      </c>
      <c r="M78" s="432" t="s">
        <v>13</v>
      </c>
    </row>
    <row r="79" spans="1:13" ht="14.25">
      <c r="B79" s="434" t="s">
        <v>14</v>
      </c>
      <c r="C79" s="320">
        <v>4232</v>
      </c>
      <c r="D79" s="325">
        <v>3174</v>
      </c>
      <c r="E79" s="325">
        <v>2380</v>
      </c>
      <c r="F79" s="325">
        <v>1786</v>
      </c>
      <c r="G79" s="325">
        <v>1340</v>
      </c>
      <c r="H79" s="325">
        <v>1004</v>
      </c>
      <c r="I79" s="325">
        <v>754</v>
      </c>
      <c r="J79" s="325">
        <v>564</v>
      </c>
      <c r="K79" s="325">
        <v>424</v>
      </c>
      <c r="L79" s="325">
        <v>318</v>
      </c>
      <c r="M79" s="435">
        <v>238</v>
      </c>
    </row>
    <row r="80" spans="1:13" ht="14.25">
      <c r="B80" s="434" t="s">
        <v>15</v>
      </c>
      <c r="C80" s="476" t="s">
        <v>18</v>
      </c>
      <c r="D80" s="477"/>
      <c r="E80" s="477"/>
      <c r="F80" s="477"/>
      <c r="G80" s="477"/>
      <c r="H80" s="477"/>
      <c r="I80" s="477"/>
      <c r="J80" s="477"/>
      <c r="K80" s="477"/>
      <c r="L80" s="477"/>
      <c r="M80" s="478"/>
    </row>
    <row r="81" spans="1:13" ht="14.25">
      <c r="B81" s="434" t="s">
        <v>16</v>
      </c>
      <c r="C81" s="476" t="s">
        <v>18</v>
      </c>
      <c r="D81" s="477"/>
      <c r="E81" s="477"/>
      <c r="F81" s="477"/>
      <c r="G81" s="477"/>
      <c r="H81" s="477"/>
      <c r="I81" s="477"/>
      <c r="J81" s="477"/>
      <c r="K81" s="477"/>
      <c r="L81" s="477"/>
      <c r="M81" s="478"/>
    </row>
    <row r="82" spans="1:13" ht="14.25">
      <c r="B82" s="434" t="s">
        <v>17</v>
      </c>
      <c r="C82" s="476" t="s">
        <v>18</v>
      </c>
      <c r="D82" s="477"/>
      <c r="E82" s="477"/>
      <c r="F82" s="477"/>
      <c r="G82" s="477"/>
      <c r="H82" s="477"/>
      <c r="I82" s="477"/>
      <c r="J82" s="477"/>
      <c r="K82" s="477"/>
      <c r="L82" s="477"/>
      <c r="M82" s="478"/>
    </row>
    <row r="83" spans="1:13" ht="14.25">
      <c r="B83" s="440"/>
      <c r="C83" s="436"/>
      <c r="D83" s="436"/>
      <c r="E83" s="436"/>
      <c r="F83" s="436"/>
      <c r="G83" s="436"/>
      <c r="H83" s="436"/>
      <c r="I83" s="436"/>
      <c r="J83" s="436"/>
      <c r="K83" s="436"/>
      <c r="L83" s="436"/>
      <c r="M83" s="436"/>
    </row>
    <row r="84" spans="1:13" ht="18">
      <c r="B84" s="438" t="s">
        <v>25</v>
      </c>
      <c r="C84" s="438"/>
      <c r="D84" s="438"/>
      <c r="E84" s="438"/>
    </row>
    <row r="85" spans="1:13" ht="30" customHeight="1">
      <c r="A85" s="437"/>
      <c r="B85" s="431" t="s">
        <v>1</v>
      </c>
      <c r="C85" s="431"/>
      <c r="D85" s="431"/>
      <c r="E85" s="431"/>
    </row>
    <row r="86" spans="1:13" ht="14.25">
      <c r="B86" s="432" t="s">
        <v>2</v>
      </c>
      <c r="C86" s="433" t="s">
        <v>3</v>
      </c>
      <c r="D86" s="433" t="s">
        <v>4</v>
      </c>
      <c r="E86" s="433" t="s">
        <v>5</v>
      </c>
      <c r="F86" s="433" t="s">
        <v>6</v>
      </c>
      <c r="G86" s="433" t="s">
        <v>7</v>
      </c>
      <c r="H86" s="433" t="s">
        <v>8</v>
      </c>
      <c r="I86" s="433" t="s">
        <v>9</v>
      </c>
      <c r="J86" s="433" t="s">
        <v>10</v>
      </c>
      <c r="K86" s="433" t="s">
        <v>11</v>
      </c>
      <c r="L86" s="433" t="s">
        <v>12</v>
      </c>
      <c r="M86" s="432" t="s">
        <v>13</v>
      </c>
    </row>
    <row r="87" spans="1:13" ht="14.25">
      <c r="B87" s="434" t="s">
        <v>14</v>
      </c>
      <c r="C87" s="320">
        <v>2440</v>
      </c>
      <c r="D87" s="325">
        <v>1806</v>
      </c>
      <c r="E87" s="325">
        <v>1336</v>
      </c>
      <c r="F87" s="325">
        <v>988</v>
      </c>
      <c r="G87" s="325">
        <v>732</v>
      </c>
      <c r="H87" s="325">
        <v>542</v>
      </c>
      <c r="I87" s="325">
        <v>400</v>
      </c>
      <c r="J87" s="325">
        <v>296</v>
      </c>
      <c r="K87" s="325">
        <v>220</v>
      </c>
      <c r="L87" s="325">
        <v>162</v>
      </c>
      <c r="M87" s="435">
        <v>120</v>
      </c>
    </row>
    <row r="88" spans="1:13" ht="15" customHeight="1">
      <c r="B88" s="434" t="s">
        <v>15</v>
      </c>
      <c r="C88" s="325">
        <v>1806</v>
      </c>
      <c r="D88" s="325">
        <v>1336</v>
      </c>
      <c r="E88" s="325">
        <v>988</v>
      </c>
      <c r="F88" s="325">
        <v>732</v>
      </c>
      <c r="G88" s="325">
        <v>542</v>
      </c>
      <c r="H88" s="325">
        <v>400</v>
      </c>
      <c r="I88" s="325">
        <v>296</v>
      </c>
      <c r="J88" s="325">
        <v>220</v>
      </c>
      <c r="K88" s="325">
        <v>162</v>
      </c>
      <c r="L88" s="325">
        <v>120</v>
      </c>
      <c r="M88" s="435">
        <v>100</v>
      </c>
    </row>
    <row r="89" spans="1:13" ht="14.25">
      <c r="B89" s="434" t="s">
        <v>16</v>
      </c>
      <c r="C89" s="325">
        <v>1336</v>
      </c>
      <c r="D89" s="325">
        <v>988</v>
      </c>
      <c r="E89" s="325">
        <v>732</v>
      </c>
      <c r="F89" s="325">
        <v>542</v>
      </c>
      <c r="G89" s="325">
        <v>400</v>
      </c>
      <c r="H89" s="325">
        <v>296</v>
      </c>
      <c r="I89" s="325">
        <v>220</v>
      </c>
      <c r="J89" s="325">
        <v>162</v>
      </c>
      <c r="K89" s="325">
        <v>120</v>
      </c>
      <c r="L89" s="325">
        <v>100</v>
      </c>
      <c r="M89" s="435">
        <v>80</v>
      </c>
    </row>
    <row r="90" spans="1:13" ht="14.25">
      <c r="B90" s="434" t="s">
        <v>17</v>
      </c>
      <c r="C90" s="435">
        <v>988</v>
      </c>
      <c r="D90" s="435">
        <v>732</v>
      </c>
      <c r="E90" s="435">
        <v>542</v>
      </c>
      <c r="F90" s="435">
        <v>400</v>
      </c>
      <c r="G90" s="435">
        <v>296</v>
      </c>
      <c r="H90" s="435">
        <v>220</v>
      </c>
      <c r="I90" s="435">
        <v>162</v>
      </c>
      <c r="J90" s="435">
        <v>120</v>
      </c>
      <c r="K90" s="435">
        <v>100</v>
      </c>
      <c r="L90" s="435">
        <v>80</v>
      </c>
      <c r="M90" s="435">
        <v>60</v>
      </c>
    </row>
    <row r="91" spans="1:13" ht="15" customHeight="1">
      <c r="B91" s="436"/>
      <c r="C91" s="436"/>
      <c r="D91" s="436"/>
      <c r="E91" s="436"/>
    </row>
    <row r="92" spans="1:13" ht="14.25">
      <c r="B92" s="431" t="s">
        <v>19</v>
      </c>
      <c r="C92" s="431"/>
      <c r="D92" s="431"/>
      <c r="E92" s="431"/>
    </row>
    <row r="93" spans="1:13" ht="14.25">
      <c r="B93" s="432" t="s">
        <v>2</v>
      </c>
      <c r="C93" s="433" t="s">
        <v>3</v>
      </c>
      <c r="D93" s="433" t="s">
        <v>4</v>
      </c>
      <c r="E93" s="433" t="s">
        <v>5</v>
      </c>
      <c r="F93" s="433" t="s">
        <v>6</v>
      </c>
      <c r="G93" s="433" t="s">
        <v>7</v>
      </c>
      <c r="H93" s="433" t="s">
        <v>8</v>
      </c>
      <c r="I93" s="433" t="s">
        <v>9</v>
      </c>
      <c r="J93" s="433" t="s">
        <v>10</v>
      </c>
      <c r="K93" s="433" t="s">
        <v>11</v>
      </c>
      <c r="L93" s="433" t="s">
        <v>12</v>
      </c>
      <c r="M93" s="432" t="s">
        <v>13</v>
      </c>
    </row>
    <row r="94" spans="1:13" ht="14.25">
      <c r="B94" s="434" t="s">
        <v>14</v>
      </c>
      <c r="C94" s="320">
        <v>3300</v>
      </c>
      <c r="D94" s="325">
        <v>2460</v>
      </c>
      <c r="E94" s="325">
        <v>1834</v>
      </c>
      <c r="F94" s="325">
        <v>1368</v>
      </c>
      <c r="G94" s="325">
        <v>1020</v>
      </c>
      <c r="H94" s="325">
        <v>760</v>
      </c>
      <c r="I94" s="325">
        <v>566</v>
      </c>
      <c r="J94" s="325">
        <v>422</v>
      </c>
      <c r="K94" s="325">
        <v>314</v>
      </c>
      <c r="L94" s="325">
        <v>234</v>
      </c>
      <c r="M94" s="435">
        <v>174</v>
      </c>
    </row>
    <row r="95" spans="1:13" ht="14.25">
      <c r="B95" s="434" t="s">
        <v>15</v>
      </c>
      <c r="C95" s="325">
        <v>2640</v>
      </c>
      <c r="D95" s="325">
        <v>1834</v>
      </c>
      <c r="E95" s="325">
        <v>1368</v>
      </c>
      <c r="F95" s="325">
        <v>1020</v>
      </c>
      <c r="G95" s="325">
        <v>760</v>
      </c>
      <c r="H95" s="325">
        <v>566</v>
      </c>
      <c r="I95" s="325">
        <v>422</v>
      </c>
      <c r="J95" s="325">
        <v>314</v>
      </c>
      <c r="K95" s="325">
        <v>234</v>
      </c>
      <c r="L95" s="325">
        <v>174</v>
      </c>
      <c r="M95" s="435">
        <v>114</v>
      </c>
    </row>
    <row r="96" spans="1:13" ht="14.25">
      <c r="B96" s="434" t="s">
        <v>16</v>
      </c>
      <c r="C96" s="325">
        <v>1832</v>
      </c>
      <c r="D96" s="325">
        <v>1368</v>
      </c>
      <c r="E96" s="325">
        <v>1020</v>
      </c>
      <c r="F96" s="325">
        <v>760</v>
      </c>
      <c r="G96" s="325">
        <v>566</v>
      </c>
      <c r="H96" s="325">
        <v>422</v>
      </c>
      <c r="I96" s="325">
        <v>314</v>
      </c>
      <c r="J96" s="325">
        <v>234</v>
      </c>
      <c r="K96" s="325">
        <v>174</v>
      </c>
      <c r="L96" s="325">
        <v>114</v>
      </c>
      <c r="M96" s="435">
        <v>54</v>
      </c>
    </row>
    <row r="97" spans="1:13" ht="14.25">
      <c r="B97" s="434" t="s">
        <v>17</v>
      </c>
      <c r="C97" s="435">
        <v>1368</v>
      </c>
      <c r="D97" s="435">
        <v>1020</v>
      </c>
      <c r="E97" s="435">
        <v>760</v>
      </c>
      <c r="F97" s="435">
        <v>566</v>
      </c>
      <c r="G97" s="435">
        <v>422</v>
      </c>
      <c r="H97" s="435">
        <v>314</v>
      </c>
      <c r="I97" s="435">
        <v>234</v>
      </c>
      <c r="J97" s="435">
        <v>174</v>
      </c>
      <c r="K97" s="435">
        <v>114</v>
      </c>
      <c r="L97" s="435">
        <v>54</v>
      </c>
      <c r="M97" s="435">
        <v>14</v>
      </c>
    </row>
    <row r="99" spans="1:13" ht="18">
      <c r="B99" s="438" t="s">
        <v>26</v>
      </c>
      <c r="C99" s="438"/>
      <c r="D99" s="438"/>
      <c r="E99" s="438"/>
    </row>
    <row r="100" spans="1:13" ht="30" customHeight="1">
      <c r="A100" s="437"/>
      <c r="B100" s="431" t="s">
        <v>1</v>
      </c>
      <c r="C100" s="431"/>
      <c r="D100" s="431"/>
      <c r="E100" s="431"/>
    </row>
    <row r="101" spans="1:13" ht="14.25">
      <c r="B101" s="432" t="s">
        <v>2</v>
      </c>
      <c r="C101" s="433" t="s">
        <v>3</v>
      </c>
      <c r="D101" s="433" t="s">
        <v>4</v>
      </c>
      <c r="E101" s="433" t="s">
        <v>5</v>
      </c>
      <c r="F101" s="433" t="s">
        <v>6</v>
      </c>
      <c r="G101" s="433" t="s">
        <v>7</v>
      </c>
      <c r="H101" s="433" t="s">
        <v>8</v>
      </c>
      <c r="I101" s="433" t="s">
        <v>9</v>
      </c>
      <c r="J101" s="433" t="s">
        <v>10</v>
      </c>
      <c r="K101" s="433" t="s">
        <v>11</v>
      </c>
      <c r="L101" s="433" t="s">
        <v>12</v>
      </c>
      <c r="M101" s="432" t="s">
        <v>13</v>
      </c>
    </row>
    <row r="102" spans="1:13" ht="14.25">
      <c r="B102" s="434" t="s">
        <v>14</v>
      </c>
      <c r="C102" s="320">
        <v>3226</v>
      </c>
      <c r="D102" s="325">
        <v>2420</v>
      </c>
      <c r="E102" s="325">
        <v>1814</v>
      </c>
      <c r="F102" s="325">
        <v>1360</v>
      </c>
      <c r="G102" s="325">
        <v>1020</v>
      </c>
      <c r="H102" s="325">
        <v>766</v>
      </c>
      <c r="I102" s="325">
        <v>574</v>
      </c>
      <c r="J102" s="325">
        <v>430</v>
      </c>
      <c r="K102" s="325">
        <v>322</v>
      </c>
      <c r="L102" s="325">
        <v>242</v>
      </c>
      <c r="M102" s="435">
        <v>182</v>
      </c>
    </row>
    <row r="103" spans="1:13" ht="15" customHeight="1">
      <c r="B103" s="434" t="s">
        <v>15</v>
      </c>
      <c r="C103" s="476" t="s">
        <v>18</v>
      </c>
      <c r="D103" s="477"/>
      <c r="E103" s="477"/>
      <c r="F103" s="477"/>
      <c r="G103" s="477"/>
      <c r="H103" s="477"/>
      <c r="I103" s="477"/>
      <c r="J103" s="477"/>
      <c r="K103" s="477"/>
      <c r="L103" s="477"/>
      <c r="M103" s="478"/>
    </row>
    <row r="104" spans="1:13" ht="14.25">
      <c r="B104" s="434" t="s">
        <v>16</v>
      </c>
      <c r="C104" s="476" t="s">
        <v>18</v>
      </c>
      <c r="D104" s="477"/>
      <c r="E104" s="477"/>
      <c r="F104" s="477"/>
      <c r="G104" s="477"/>
      <c r="H104" s="477"/>
      <c r="I104" s="477"/>
      <c r="J104" s="477"/>
      <c r="K104" s="477"/>
      <c r="L104" s="477"/>
      <c r="M104" s="478"/>
    </row>
    <row r="105" spans="1:13" ht="14.25">
      <c r="B105" s="434" t="s">
        <v>17</v>
      </c>
      <c r="C105" s="476" t="s">
        <v>18</v>
      </c>
      <c r="D105" s="477"/>
      <c r="E105" s="477"/>
      <c r="F105" s="477"/>
      <c r="G105" s="477"/>
      <c r="H105" s="477"/>
      <c r="I105" s="477"/>
      <c r="J105" s="477"/>
      <c r="K105" s="477"/>
      <c r="L105" s="477"/>
      <c r="M105" s="478"/>
    </row>
    <row r="106" spans="1:13" ht="15" customHeight="1">
      <c r="B106" s="436"/>
      <c r="C106" s="436"/>
      <c r="D106" s="436"/>
      <c r="E106" s="436"/>
    </row>
    <row r="107" spans="1:13" ht="14.25">
      <c r="B107" s="431" t="s">
        <v>19</v>
      </c>
      <c r="C107" s="431"/>
      <c r="D107" s="431"/>
      <c r="E107" s="431"/>
    </row>
    <row r="108" spans="1:13" ht="14.25">
      <c r="B108" s="432" t="s">
        <v>2</v>
      </c>
      <c r="C108" s="433" t="s">
        <v>3</v>
      </c>
      <c r="D108" s="433" t="s">
        <v>4</v>
      </c>
      <c r="E108" s="433" t="s">
        <v>5</v>
      </c>
      <c r="F108" s="433" t="s">
        <v>6</v>
      </c>
      <c r="G108" s="433" t="s">
        <v>7</v>
      </c>
      <c r="H108" s="433" t="s">
        <v>8</v>
      </c>
      <c r="I108" s="433" t="s">
        <v>9</v>
      </c>
      <c r="J108" s="433" t="s">
        <v>10</v>
      </c>
      <c r="K108" s="433" t="s">
        <v>11</v>
      </c>
      <c r="L108" s="433" t="s">
        <v>12</v>
      </c>
      <c r="M108" s="432" t="s">
        <v>13</v>
      </c>
    </row>
    <row r="109" spans="1:13" ht="14.25">
      <c r="B109" s="434" t="s">
        <v>14</v>
      </c>
      <c r="C109" s="320">
        <v>4718</v>
      </c>
      <c r="D109" s="325">
        <v>3538</v>
      </c>
      <c r="E109" s="325">
        <v>2654</v>
      </c>
      <c r="F109" s="325">
        <v>1990</v>
      </c>
      <c r="G109" s="325">
        <v>1492</v>
      </c>
      <c r="H109" s="325">
        <v>1120</v>
      </c>
      <c r="I109" s="325">
        <v>840</v>
      </c>
      <c r="J109" s="325">
        <v>630</v>
      </c>
      <c r="K109" s="325">
        <v>472</v>
      </c>
      <c r="L109" s="325">
        <v>354</v>
      </c>
      <c r="M109" s="325">
        <v>266</v>
      </c>
    </row>
    <row r="110" spans="1:13" ht="14.25">
      <c r="B110" s="434" t="s">
        <v>15</v>
      </c>
      <c r="C110" s="476" t="s">
        <v>18</v>
      </c>
      <c r="D110" s="477"/>
      <c r="E110" s="477"/>
      <c r="F110" s="477"/>
      <c r="G110" s="477"/>
      <c r="H110" s="477"/>
      <c r="I110" s="477"/>
      <c r="J110" s="477"/>
      <c r="K110" s="477"/>
      <c r="L110" s="477"/>
      <c r="M110" s="478"/>
    </row>
    <row r="111" spans="1:13" ht="14.25">
      <c r="B111" s="434" t="s">
        <v>16</v>
      </c>
      <c r="C111" s="476" t="s">
        <v>18</v>
      </c>
      <c r="D111" s="477"/>
      <c r="E111" s="477"/>
      <c r="F111" s="477"/>
      <c r="G111" s="477"/>
      <c r="H111" s="477"/>
      <c r="I111" s="477"/>
      <c r="J111" s="477"/>
      <c r="K111" s="477"/>
      <c r="L111" s="477"/>
      <c r="M111" s="478"/>
    </row>
    <row r="112" spans="1:13" ht="14.25">
      <c r="B112" s="434" t="s">
        <v>17</v>
      </c>
      <c r="C112" s="476" t="s">
        <v>18</v>
      </c>
      <c r="D112" s="477"/>
      <c r="E112" s="477"/>
      <c r="F112" s="477"/>
      <c r="G112" s="477"/>
      <c r="H112" s="477"/>
      <c r="I112" s="477"/>
      <c r="J112" s="477"/>
      <c r="K112" s="477"/>
      <c r="L112" s="477"/>
      <c r="M112" s="478"/>
    </row>
    <row r="113" spans="1:13" ht="14.25">
      <c r="B113" s="440"/>
      <c r="C113" s="436"/>
      <c r="D113" s="436"/>
      <c r="E113" s="436"/>
      <c r="F113" s="436"/>
      <c r="G113" s="436"/>
      <c r="H113" s="436"/>
      <c r="I113" s="436"/>
      <c r="J113" s="436"/>
      <c r="K113" s="436"/>
      <c r="L113" s="436"/>
      <c r="M113" s="436"/>
    </row>
    <row r="114" spans="1:13" ht="18">
      <c r="B114" s="438" t="s">
        <v>27</v>
      </c>
      <c r="C114" s="438"/>
      <c r="D114" s="438"/>
      <c r="E114" s="438"/>
    </row>
    <row r="115" spans="1:13" ht="30" customHeight="1">
      <c r="A115" s="437"/>
      <c r="B115" s="431" t="s">
        <v>1</v>
      </c>
      <c r="C115" s="431"/>
      <c r="D115" s="431"/>
      <c r="E115" s="431"/>
    </row>
    <row r="116" spans="1:13" ht="14.25">
      <c r="B116" s="432" t="s">
        <v>2</v>
      </c>
      <c r="C116" s="433" t="s">
        <v>3</v>
      </c>
      <c r="D116" s="433" t="s">
        <v>4</v>
      </c>
      <c r="E116" s="433" t="s">
        <v>5</v>
      </c>
      <c r="F116" s="433" t="s">
        <v>6</v>
      </c>
      <c r="G116" s="433" t="s">
        <v>7</v>
      </c>
      <c r="H116" s="433" t="s">
        <v>8</v>
      </c>
      <c r="I116" s="433" t="s">
        <v>9</v>
      </c>
      <c r="J116" s="433" t="s">
        <v>10</v>
      </c>
      <c r="K116" s="433" t="s">
        <v>11</v>
      </c>
      <c r="L116" s="433" t="s">
        <v>12</v>
      </c>
      <c r="M116" s="432" t="s">
        <v>13</v>
      </c>
    </row>
    <row r="117" spans="1:13" ht="14.25">
      <c r="B117" s="434" t="s">
        <v>14</v>
      </c>
      <c r="C117" s="320">
        <v>544</v>
      </c>
      <c r="D117" s="325">
        <v>408</v>
      </c>
      <c r="E117" s="325">
        <v>306</v>
      </c>
      <c r="F117" s="325">
        <v>230</v>
      </c>
      <c r="G117" s="325">
        <v>172</v>
      </c>
      <c r="H117" s="325">
        <v>128</v>
      </c>
      <c r="I117" s="325">
        <v>96</v>
      </c>
      <c r="J117" s="325">
        <v>72</v>
      </c>
      <c r="K117" s="325">
        <v>54</v>
      </c>
      <c r="L117" s="325">
        <v>40</v>
      </c>
      <c r="M117" s="435">
        <v>30</v>
      </c>
    </row>
    <row r="118" spans="1:13" ht="15" customHeight="1">
      <c r="B118" s="434" t="s">
        <v>15</v>
      </c>
      <c r="C118" s="476" t="s">
        <v>18</v>
      </c>
      <c r="D118" s="477"/>
      <c r="E118" s="477"/>
      <c r="F118" s="477"/>
      <c r="G118" s="477"/>
      <c r="H118" s="477"/>
      <c r="I118" s="477"/>
      <c r="J118" s="477"/>
      <c r="K118" s="477"/>
      <c r="L118" s="477"/>
      <c r="M118" s="478"/>
    </row>
    <row r="119" spans="1:13" ht="14.25">
      <c r="B119" s="434" t="s">
        <v>16</v>
      </c>
      <c r="C119" s="476" t="s">
        <v>18</v>
      </c>
      <c r="D119" s="477"/>
      <c r="E119" s="477"/>
      <c r="F119" s="477"/>
      <c r="G119" s="477"/>
      <c r="H119" s="477"/>
      <c r="I119" s="477"/>
      <c r="J119" s="477"/>
      <c r="K119" s="477"/>
      <c r="L119" s="477"/>
      <c r="M119" s="478"/>
    </row>
    <row r="120" spans="1:13" ht="14.25">
      <c r="B120" s="434" t="s">
        <v>17</v>
      </c>
      <c r="C120" s="476" t="s">
        <v>18</v>
      </c>
      <c r="D120" s="477"/>
      <c r="E120" s="477"/>
      <c r="F120" s="477"/>
      <c r="G120" s="477"/>
      <c r="H120" s="477"/>
      <c r="I120" s="477"/>
      <c r="J120" s="477"/>
      <c r="K120" s="477"/>
      <c r="L120" s="477"/>
      <c r="M120" s="478"/>
    </row>
    <row r="121" spans="1:13" ht="15" customHeight="1">
      <c r="B121" s="436"/>
      <c r="C121" s="436"/>
      <c r="D121" s="436"/>
      <c r="E121" s="436"/>
    </row>
    <row r="122" spans="1:13" ht="14.25">
      <c r="B122" s="431" t="s">
        <v>19</v>
      </c>
      <c r="C122" s="431"/>
      <c r="D122" s="431"/>
      <c r="E122" s="431"/>
    </row>
    <row r="123" spans="1:13" ht="14.25">
      <c r="B123" s="432" t="s">
        <v>2</v>
      </c>
      <c r="C123" s="433" t="s">
        <v>3</v>
      </c>
      <c r="D123" s="433" t="s">
        <v>4</v>
      </c>
      <c r="E123" s="433" t="s">
        <v>5</v>
      </c>
      <c r="F123" s="433" t="s">
        <v>6</v>
      </c>
      <c r="G123" s="433" t="s">
        <v>7</v>
      </c>
      <c r="H123" s="433" t="s">
        <v>8</v>
      </c>
      <c r="I123" s="433" t="s">
        <v>9</v>
      </c>
      <c r="J123" s="433" t="s">
        <v>10</v>
      </c>
      <c r="K123" s="433" t="s">
        <v>11</v>
      </c>
      <c r="L123" s="433" t="s">
        <v>12</v>
      </c>
      <c r="M123" s="432" t="s">
        <v>13</v>
      </c>
    </row>
    <row r="124" spans="1:13" ht="14.25">
      <c r="B124" s="434" t="s">
        <v>14</v>
      </c>
      <c r="C124" s="320">
        <v>636</v>
      </c>
      <c r="D124" s="325">
        <v>478</v>
      </c>
      <c r="E124" s="325">
        <v>358</v>
      </c>
      <c r="F124" s="325">
        <v>268</v>
      </c>
      <c r="G124" s="325">
        <v>202</v>
      </c>
      <c r="H124" s="325">
        <v>150</v>
      </c>
      <c r="I124" s="325">
        <v>114</v>
      </c>
      <c r="J124" s="325">
        <v>84</v>
      </c>
      <c r="K124" s="325">
        <v>64</v>
      </c>
      <c r="L124" s="325">
        <v>48</v>
      </c>
      <c r="M124" s="325">
        <v>36</v>
      </c>
    </row>
    <row r="125" spans="1:13" ht="14.25">
      <c r="B125" s="434" t="s">
        <v>15</v>
      </c>
      <c r="C125" s="476" t="s">
        <v>18</v>
      </c>
      <c r="D125" s="477"/>
      <c r="E125" s="477"/>
      <c r="F125" s="477"/>
      <c r="G125" s="477"/>
      <c r="H125" s="477"/>
      <c r="I125" s="477"/>
      <c r="J125" s="477"/>
      <c r="K125" s="477"/>
      <c r="L125" s="477"/>
      <c r="M125" s="478"/>
    </row>
    <row r="126" spans="1:13" ht="14.25">
      <c r="B126" s="434" t="s">
        <v>16</v>
      </c>
      <c r="C126" s="476" t="s">
        <v>18</v>
      </c>
      <c r="D126" s="477"/>
      <c r="E126" s="477"/>
      <c r="F126" s="477"/>
      <c r="G126" s="477"/>
      <c r="H126" s="477"/>
      <c r="I126" s="477"/>
      <c r="J126" s="477"/>
      <c r="K126" s="477"/>
      <c r="L126" s="477"/>
      <c r="M126" s="478"/>
    </row>
    <row r="127" spans="1:13" ht="14.25">
      <c r="B127" s="434" t="s">
        <v>17</v>
      </c>
      <c r="C127" s="476" t="s">
        <v>18</v>
      </c>
      <c r="D127" s="477"/>
      <c r="E127" s="477"/>
      <c r="F127" s="477"/>
      <c r="G127" s="477"/>
      <c r="H127" s="477"/>
      <c r="I127" s="477"/>
      <c r="J127" s="477"/>
      <c r="K127" s="477"/>
      <c r="L127" s="477"/>
      <c r="M127" s="478"/>
    </row>
    <row r="128" spans="1:13" ht="14.25">
      <c r="B128" s="440"/>
      <c r="C128" s="441"/>
      <c r="D128" s="441"/>
      <c r="E128" s="441"/>
      <c r="F128" s="441"/>
      <c r="G128" s="441"/>
      <c r="H128" s="441"/>
      <c r="I128" s="441"/>
      <c r="J128" s="441"/>
      <c r="K128" s="441"/>
      <c r="L128" s="441"/>
      <c r="M128" s="441"/>
    </row>
    <row r="129" spans="1:13" ht="18">
      <c r="B129" s="430" t="s">
        <v>28</v>
      </c>
      <c r="C129" s="430"/>
      <c r="D129" s="430"/>
      <c r="E129" s="430"/>
    </row>
    <row r="130" spans="1:13" ht="30" customHeight="1">
      <c r="A130" s="437"/>
      <c r="B130" s="431" t="s">
        <v>1</v>
      </c>
      <c r="C130" s="431"/>
      <c r="D130" s="431"/>
      <c r="E130" s="431"/>
    </row>
    <row r="131" spans="1:13" ht="14.25">
      <c r="B131" s="432" t="s">
        <v>2</v>
      </c>
      <c r="C131" s="433" t="s">
        <v>3</v>
      </c>
      <c r="D131" s="433" t="s">
        <v>4</v>
      </c>
      <c r="E131" s="433" t="s">
        <v>5</v>
      </c>
      <c r="F131" s="433" t="s">
        <v>6</v>
      </c>
      <c r="G131" s="433" t="s">
        <v>7</v>
      </c>
      <c r="H131" s="433" t="s">
        <v>8</v>
      </c>
      <c r="I131" s="433" t="s">
        <v>9</v>
      </c>
      <c r="J131" s="433" t="s">
        <v>10</v>
      </c>
      <c r="K131" s="433" t="s">
        <v>11</v>
      </c>
      <c r="L131" s="433" t="s">
        <v>12</v>
      </c>
      <c r="M131" s="432" t="s">
        <v>13</v>
      </c>
    </row>
    <row r="132" spans="1:13" ht="14.25">
      <c r="B132" s="434" t="s">
        <v>14</v>
      </c>
      <c r="C132" s="320">
        <v>4176</v>
      </c>
      <c r="D132" s="325">
        <v>3132</v>
      </c>
      <c r="E132" s="325">
        <v>2338</v>
      </c>
      <c r="F132" s="325">
        <v>1754</v>
      </c>
      <c r="G132" s="325">
        <v>1316</v>
      </c>
      <c r="H132" s="325">
        <v>982</v>
      </c>
      <c r="I132" s="325">
        <v>730</v>
      </c>
      <c r="J132" s="325">
        <v>542</v>
      </c>
      <c r="K132" s="325">
        <v>396</v>
      </c>
      <c r="L132" s="325">
        <v>292</v>
      </c>
      <c r="M132" s="435">
        <v>250</v>
      </c>
    </row>
    <row r="133" spans="1:13" ht="14.25">
      <c r="B133" s="434" t="s">
        <v>15</v>
      </c>
      <c r="C133" s="325">
        <v>3132</v>
      </c>
      <c r="D133" s="325">
        <v>2350</v>
      </c>
      <c r="E133" s="325">
        <v>1754</v>
      </c>
      <c r="F133" s="325">
        <v>1316</v>
      </c>
      <c r="G133" s="325">
        <v>986</v>
      </c>
      <c r="H133" s="325">
        <v>736</v>
      </c>
      <c r="I133" s="325">
        <v>548</v>
      </c>
      <c r="J133" s="325">
        <v>408</v>
      </c>
      <c r="K133" s="325">
        <v>298</v>
      </c>
      <c r="L133" s="325">
        <v>220</v>
      </c>
      <c r="M133" s="435">
        <v>188</v>
      </c>
    </row>
    <row r="134" spans="1:13" ht="14.25">
      <c r="B134" s="434" t="s">
        <v>16</v>
      </c>
      <c r="C134" s="476" t="s">
        <v>18</v>
      </c>
      <c r="D134" s="477"/>
      <c r="E134" s="477"/>
      <c r="F134" s="477"/>
      <c r="G134" s="477"/>
      <c r="H134" s="477"/>
      <c r="I134" s="477"/>
      <c r="J134" s="477"/>
      <c r="K134" s="477"/>
      <c r="L134" s="477"/>
      <c r="M134" s="478"/>
    </row>
    <row r="135" spans="1:13" ht="14.25">
      <c r="B135" s="434" t="s">
        <v>17</v>
      </c>
      <c r="C135" s="476" t="s">
        <v>18</v>
      </c>
      <c r="D135" s="477"/>
      <c r="E135" s="477"/>
      <c r="F135" s="477"/>
      <c r="G135" s="477"/>
      <c r="H135" s="477"/>
      <c r="I135" s="477"/>
      <c r="J135" s="477"/>
      <c r="K135" s="477"/>
      <c r="L135" s="477"/>
      <c r="M135" s="478"/>
    </row>
    <row r="136" spans="1:13" ht="14.25">
      <c r="B136" s="436"/>
      <c r="C136" s="436"/>
      <c r="D136" s="436"/>
      <c r="E136" s="436"/>
    </row>
    <row r="137" spans="1:13" ht="14.25">
      <c r="B137" s="431" t="s">
        <v>29</v>
      </c>
      <c r="C137" s="431"/>
      <c r="D137" s="431"/>
      <c r="E137" s="431"/>
    </row>
    <row r="138" spans="1:13" ht="14.25">
      <c r="B138" s="432" t="s">
        <v>2</v>
      </c>
      <c r="C138" s="433" t="s">
        <v>3</v>
      </c>
      <c r="D138" s="433" t="s">
        <v>4</v>
      </c>
      <c r="E138" s="433" t="s">
        <v>5</v>
      </c>
      <c r="F138" s="433" t="s">
        <v>6</v>
      </c>
      <c r="G138" s="433" t="s">
        <v>7</v>
      </c>
      <c r="H138" s="433" t="s">
        <v>8</v>
      </c>
      <c r="I138" s="433" t="s">
        <v>9</v>
      </c>
      <c r="J138" s="433" t="s">
        <v>10</v>
      </c>
      <c r="K138" s="433" t="s">
        <v>11</v>
      </c>
      <c r="L138" s="433" t="s">
        <v>12</v>
      </c>
      <c r="M138" s="432" t="s">
        <v>13</v>
      </c>
    </row>
    <row r="139" spans="1:13" ht="14.25">
      <c r="B139" s="434" t="s">
        <v>14</v>
      </c>
      <c r="C139" s="320">
        <v>7830</v>
      </c>
      <c r="D139" s="325">
        <v>5872</v>
      </c>
      <c r="E139" s="325">
        <v>4384</v>
      </c>
      <c r="F139" s="325">
        <v>3288</v>
      </c>
      <c r="G139" s="325">
        <v>2466</v>
      </c>
      <c r="H139" s="325">
        <v>1840</v>
      </c>
      <c r="I139" s="325">
        <v>1370</v>
      </c>
      <c r="J139" s="325">
        <v>1018</v>
      </c>
      <c r="K139" s="325">
        <v>744</v>
      </c>
      <c r="L139" s="325">
        <v>548</v>
      </c>
      <c r="M139" s="435">
        <v>470</v>
      </c>
    </row>
    <row r="140" spans="1:13" ht="14.25">
      <c r="B140" s="434" t="s">
        <v>15</v>
      </c>
      <c r="C140" s="325">
        <v>5870</v>
      </c>
      <c r="D140" s="325">
        <v>4404</v>
      </c>
      <c r="E140" s="325">
        <v>3288</v>
      </c>
      <c r="F140" s="325">
        <v>2466</v>
      </c>
      <c r="G140" s="325">
        <v>1850</v>
      </c>
      <c r="H140" s="325">
        <v>1380</v>
      </c>
      <c r="I140" s="325">
        <v>1028</v>
      </c>
      <c r="J140" s="325">
        <v>764</v>
      </c>
      <c r="K140" s="325">
        <v>558</v>
      </c>
      <c r="L140" s="325">
        <v>412</v>
      </c>
      <c r="M140" s="435">
        <v>352</v>
      </c>
    </row>
    <row r="141" spans="1:13" ht="14.25">
      <c r="B141" s="434" t="s">
        <v>16</v>
      </c>
      <c r="C141" s="476" t="s">
        <v>18</v>
      </c>
      <c r="D141" s="477"/>
      <c r="E141" s="477"/>
      <c r="F141" s="477"/>
      <c r="G141" s="477"/>
      <c r="H141" s="477"/>
      <c r="I141" s="477"/>
      <c r="J141" s="477"/>
      <c r="K141" s="477"/>
      <c r="L141" s="477"/>
      <c r="M141" s="478"/>
    </row>
    <row r="142" spans="1:13" ht="14.25">
      <c r="B142" s="434" t="s">
        <v>17</v>
      </c>
      <c r="C142" s="476" t="s">
        <v>18</v>
      </c>
      <c r="D142" s="477"/>
      <c r="E142" s="477"/>
      <c r="F142" s="477"/>
      <c r="G142" s="477"/>
      <c r="H142" s="477"/>
      <c r="I142" s="477"/>
      <c r="J142" s="477"/>
      <c r="K142" s="477"/>
      <c r="L142" s="477"/>
      <c r="M142" s="478"/>
    </row>
    <row r="143" spans="1:13" ht="14.25">
      <c r="B143" s="440"/>
      <c r="C143" s="441"/>
      <c r="D143" s="441"/>
      <c r="E143" s="441"/>
      <c r="F143" s="441"/>
      <c r="G143" s="441"/>
      <c r="H143" s="441"/>
      <c r="I143" s="441"/>
      <c r="J143" s="441"/>
      <c r="K143" s="441"/>
      <c r="L143" s="441"/>
      <c r="M143" s="441"/>
    </row>
    <row r="144" spans="1:13" ht="18">
      <c r="B144" s="430" t="s">
        <v>30</v>
      </c>
      <c r="C144" s="430"/>
      <c r="D144" s="430"/>
      <c r="E144" s="430"/>
    </row>
    <row r="145" spans="1:13" ht="30" customHeight="1">
      <c r="A145" s="437"/>
      <c r="B145" s="431" t="s">
        <v>1</v>
      </c>
      <c r="C145" s="431"/>
      <c r="D145" s="431"/>
      <c r="E145" s="431"/>
    </row>
    <row r="146" spans="1:13" ht="14.25">
      <c r="B146" s="432" t="s">
        <v>2</v>
      </c>
      <c r="C146" s="433" t="s">
        <v>3</v>
      </c>
      <c r="D146" s="433" t="s">
        <v>4</v>
      </c>
      <c r="E146" s="433" t="s">
        <v>5</v>
      </c>
      <c r="F146" s="433" t="s">
        <v>6</v>
      </c>
      <c r="G146" s="433" t="s">
        <v>7</v>
      </c>
      <c r="H146" s="433" t="s">
        <v>8</v>
      </c>
      <c r="I146" s="433" t="s">
        <v>9</v>
      </c>
      <c r="J146" s="433" t="s">
        <v>10</v>
      </c>
      <c r="K146" s="433" t="s">
        <v>11</v>
      </c>
      <c r="L146" s="433" t="s">
        <v>12</v>
      </c>
      <c r="M146" s="432" t="s">
        <v>13</v>
      </c>
    </row>
    <row r="147" spans="1:13" ht="14.25">
      <c r="B147" s="434" t="s">
        <v>14</v>
      </c>
      <c r="C147" s="320">
        <v>1314</v>
      </c>
      <c r="D147" s="325">
        <v>986</v>
      </c>
      <c r="E147" s="325">
        <v>738</v>
      </c>
      <c r="F147" s="325">
        <v>554</v>
      </c>
      <c r="G147" s="325">
        <v>416</v>
      </c>
      <c r="H147" s="325">
        <v>312</v>
      </c>
      <c r="I147" s="325">
        <v>234</v>
      </c>
      <c r="J147" s="325">
        <v>176</v>
      </c>
      <c r="K147" s="325">
        <v>132</v>
      </c>
      <c r="L147" s="325">
        <v>98</v>
      </c>
      <c r="M147" s="435">
        <v>74</v>
      </c>
    </row>
    <row r="148" spans="1:13" ht="14.25">
      <c r="B148" s="434" t="s">
        <v>15</v>
      </c>
      <c r="C148" s="325">
        <v>692</v>
      </c>
      <c r="D148" s="325">
        <v>520</v>
      </c>
      <c r="E148" s="325">
        <v>390</v>
      </c>
      <c r="F148" s="325">
        <v>292</v>
      </c>
      <c r="G148" s="325">
        <v>218</v>
      </c>
      <c r="H148" s="325">
        <v>164</v>
      </c>
      <c r="I148" s="325">
        <v>124</v>
      </c>
      <c r="J148" s="325">
        <v>92</v>
      </c>
      <c r="K148" s="325">
        <v>70</v>
      </c>
      <c r="L148" s="325">
        <v>52</v>
      </c>
      <c r="M148" s="435">
        <v>38</v>
      </c>
    </row>
    <row r="149" spans="1:13" ht="14.25">
      <c r="B149" s="434" t="s">
        <v>16</v>
      </c>
      <c r="C149" s="325">
        <v>380</v>
      </c>
      <c r="D149" s="325">
        <v>286</v>
      </c>
      <c r="E149" s="325">
        <v>214</v>
      </c>
      <c r="F149" s="325">
        <v>160</v>
      </c>
      <c r="G149" s="325">
        <v>120</v>
      </c>
      <c r="H149" s="325">
        <v>90</v>
      </c>
      <c r="I149" s="325">
        <v>68</v>
      </c>
      <c r="J149" s="325">
        <v>50</v>
      </c>
      <c r="K149" s="325">
        <v>38</v>
      </c>
      <c r="L149" s="325">
        <v>28</v>
      </c>
      <c r="M149" s="435">
        <v>22</v>
      </c>
    </row>
    <row r="150" spans="1:13" ht="14.25">
      <c r="B150" s="434" t="s">
        <v>17</v>
      </c>
      <c r="C150" s="476" t="s">
        <v>18</v>
      </c>
      <c r="D150" s="477"/>
      <c r="E150" s="477"/>
      <c r="F150" s="477"/>
      <c r="G150" s="477"/>
      <c r="H150" s="477"/>
      <c r="I150" s="477"/>
      <c r="J150" s="477"/>
      <c r="K150" s="477"/>
      <c r="L150" s="477"/>
      <c r="M150" s="478"/>
    </row>
    <row r="151" spans="1:13" ht="14.25">
      <c r="B151" s="436"/>
      <c r="C151" s="436"/>
      <c r="D151" s="436"/>
      <c r="E151" s="436"/>
    </row>
    <row r="152" spans="1:13" ht="14.25">
      <c r="B152" s="431" t="s">
        <v>29</v>
      </c>
      <c r="C152" s="431"/>
      <c r="D152" s="431"/>
      <c r="E152" s="431"/>
    </row>
    <row r="153" spans="1:13" ht="14.25">
      <c r="B153" s="432" t="s">
        <v>2</v>
      </c>
      <c r="C153" s="433" t="s">
        <v>3</v>
      </c>
      <c r="D153" s="433" t="s">
        <v>4</v>
      </c>
      <c r="E153" s="433" t="s">
        <v>5</v>
      </c>
      <c r="F153" s="433" t="s">
        <v>6</v>
      </c>
      <c r="G153" s="433" t="s">
        <v>7</v>
      </c>
      <c r="H153" s="433" t="s">
        <v>8</v>
      </c>
      <c r="I153" s="433" t="s">
        <v>9</v>
      </c>
      <c r="J153" s="433" t="s">
        <v>10</v>
      </c>
      <c r="K153" s="433" t="s">
        <v>11</v>
      </c>
      <c r="L153" s="433" t="s">
        <v>12</v>
      </c>
      <c r="M153" s="432" t="s">
        <v>13</v>
      </c>
    </row>
    <row r="154" spans="1:13" ht="14.25">
      <c r="B154" s="434" t="s">
        <v>14</v>
      </c>
      <c r="C154" s="320">
        <v>1970</v>
      </c>
      <c r="D154" s="325">
        <v>1478</v>
      </c>
      <c r="E154" s="325">
        <v>1108</v>
      </c>
      <c r="F154" s="325">
        <v>832</v>
      </c>
      <c r="G154" s="325">
        <v>624</v>
      </c>
      <c r="H154" s="325">
        <v>468</v>
      </c>
      <c r="I154" s="325">
        <v>350</v>
      </c>
      <c r="J154" s="325">
        <v>262</v>
      </c>
      <c r="K154" s="325">
        <v>198</v>
      </c>
      <c r="L154" s="325">
        <v>148</v>
      </c>
      <c r="M154" s="435">
        <v>110</v>
      </c>
    </row>
    <row r="155" spans="1:13" ht="14.25">
      <c r="B155" s="434" t="s">
        <v>15</v>
      </c>
      <c r="C155" s="325">
        <v>1038</v>
      </c>
      <c r="D155" s="325">
        <v>778</v>
      </c>
      <c r="E155" s="325">
        <v>584</v>
      </c>
      <c r="F155" s="325">
        <v>438</v>
      </c>
      <c r="G155" s="325">
        <v>328</v>
      </c>
      <c r="H155" s="325">
        <v>246</v>
      </c>
      <c r="I155" s="325">
        <v>184</v>
      </c>
      <c r="J155" s="325">
        <v>138</v>
      </c>
      <c r="K155" s="325">
        <v>104</v>
      </c>
      <c r="L155" s="325">
        <v>78</v>
      </c>
      <c r="M155" s="435">
        <v>58</v>
      </c>
    </row>
    <row r="156" spans="1:13" ht="14.25">
      <c r="B156" s="434" t="s">
        <v>16</v>
      </c>
      <c r="C156" s="325">
        <v>572</v>
      </c>
      <c r="D156" s="325">
        <v>428</v>
      </c>
      <c r="E156" s="325">
        <v>322</v>
      </c>
      <c r="F156" s="325">
        <v>240</v>
      </c>
      <c r="G156" s="325">
        <v>180</v>
      </c>
      <c r="H156" s="325">
        <v>136</v>
      </c>
      <c r="I156" s="325">
        <v>102</v>
      </c>
      <c r="J156" s="325">
        <v>76</v>
      </c>
      <c r="K156" s="325">
        <v>58</v>
      </c>
      <c r="L156" s="325">
        <v>42</v>
      </c>
      <c r="M156" s="435">
        <v>32</v>
      </c>
    </row>
    <row r="157" spans="1:13" ht="14.25">
      <c r="B157" s="434" t="s">
        <v>17</v>
      </c>
      <c r="C157" s="476" t="s">
        <v>18</v>
      </c>
      <c r="D157" s="477"/>
      <c r="E157" s="477"/>
      <c r="F157" s="477"/>
      <c r="G157" s="477"/>
      <c r="H157" s="477"/>
      <c r="I157" s="477"/>
      <c r="J157" s="477"/>
      <c r="K157" s="477"/>
      <c r="L157" s="477"/>
      <c r="M157" s="478"/>
    </row>
    <row r="158" spans="1:13" ht="14.25">
      <c r="B158" s="440"/>
      <c r="C158" s="441"/>
      <c r="D158" s="441"/>
      <c r="E158" s="441"/>
      <c r="F158" s="441"/>
      <c r="G158" s="441"/>
      <c r="H158" s="441"/>
      <c r="I158" s="441"/>
      <c r="J158" s="441"/>
      <c r="K158" s="441"/>
      <c r="L158" s="441"/>
      <c r="M158" s="441"/>
    </row>
    <row r="159" spans="1:13" ht="18">
      <c r="B159" s="430" t="s">
        <v>31</v>
      </c>
      <c r="C159" s="430"/>
      <c r="D159" s="430"/>
      <c r="E159" s="430"/>
    </row>
    <row r="160" spans="1:13" ht="30" customHeight="1">
      <c r="A160" s="437"/>
      <c r="B160" s="431" t="s">
        <v>1</v>
      </c>
      <c r="C160" s="431"/>
      <c r="D160" s="431"/>
      <c r="E160" s="431"/>
    </row>
    <row r="161" spans="1:13" ht="14.25">
      <c r="B161" s="432" t="s">
        <v>2</v>
      </c>
      <c r="C161" s="433" t="s">
        <v>3</v>
      </c>
      <c r="D161" s="433" t="s">
        <v>4</v>
      </c>
      <c r="E161" s="433" t="s">
        <v>5</v>
      </c>
      <c r="F161" s="433" t="s">
        <v>6</v>
      </c>
      <c r="G161" s="433" t="s">
        <v>7</v>
      </c>
      <c r="H161" s="433" t="s">
        <v>8</v>
      </c>
      <c r="I161" s="433" t="s">
        <v>9</v>
      </c>
      <c r="J161" s="433" t="s">
        <v>10</v>
      </c>
      <c r="K161" s="433" t="s">
        <v>11</v>
      </c>
      <c r="L161" s="433" t="s">
        <v>12</v>
      </c>
      <c r="M161" s="432" t="s">
        <v>13</v>
      </c>
    </row>
    <row r="162" spans="1:13" ht="14.25">
      <c r="B162" s="434" t="s">
        <v>14</v>
      </c>
      <c r="C162" s="320">
        <v>3000</v>
      </c>
      <c r="D162" s="325">
        <v>2300</v>
      </c>
      <c r="E162" s="325">
        <v>1900</v>
      </c>
      <c r="F162" s="325">
        <v>1500</v>
      </c>
      <c r="G162" s="325">
        <v>1100</v>
      </c>
      <c r="H162" s="325">
        <v>900</v>
      </c>
      <c r="I162" s="325">
        <v>700</v>
      </c>
      <c r="J162" s="325">
        <v>500</v>
      </c>
      <c r="K162" s="325">
        <v>300</v>
      </c>
      <c r="L162" s="325">
        <v>100</v>
      </c>
      <c r="M162" s="435">
        <v>60</v>
      </c>
    </row>
    <row r="163" spans="1:13" ht="14.25">
      <c r="B163" s="434" t="s">
        <v>15</v>
      </c>
      <c r="C163" s="325">
        <v>2300</v>
      </c>
      <c r="D163" s="325">
        <v>1900</v>
      </c>
      <c r="E163" s="325">
        <v>1500</v>
      </c>
      <c r="F163" s="325">
        <v>1100</v>
      </c>
      <c r="G163" s="325">
        <v>900</v>
      </c>
      <c r="H163" s="325">
        <v>700</v>
      </c>
      <c r="I163" s="325">
        <v>500</v>
      </c>
      <c r="J163" s="325">
        <v>300</v>
      </c>
      <c r="K163" s="325">
        <v>100</v>
      </c>
      <c r="L163" s="435">
        <v>60</v>
      </c>
      <c r="M163" s="435">
        <v>40</v>
      </c>
    </row>
    <row r="164" spans="1:13" ht="14.25">
      <c r="B164" s="434" t="s">
        <v>16</v>
      </c>
      <c r="C164" s="325">
        <v>1900</v>
      </c>
      <c r="D164" s="325">
        <v>1500</v>
      </c>
      <c r="E164" s="325">
        <v>1100</v>
      </c>
      <c r="F164" s="325">
        <v>900</v>
      </c>
      <c r="G164" s="325">
        <v>700</v>
      </c>
      <c r="H164" s="325">
        <v>500</v>
      </c>
      <c r="I164" s="325">
        <v>300</v>
      </c>
      <c r="J164" s="325">
        <v>100</v>
      </c>
      <c r="K164" s="435">
        <v>60</v>
      </c>
      <c r="L164" s="435">
        <v>40</v>
      </c>
      <c r="M164" s="435">
        <v>20</v>
      </c>
    </row>
    <row r="165" spans="1:13" ht="14.25">
      <c r="B165" s="434" t="s">
        <v>17</v>
      </c>
      <c r="C165" s="476" t="s">
        <v>18</v>
      </c>
      <c r="D165" s="477"/>
      <c r="E165" s="477"/>
      <c r="F165" s="477"/>
      <c r="G165" s="477"/>
      <c r="H165" s="477"/>
      <c r="I165" s="477"/>
      <c r="J165" s="477"/>
      <c r="K165" s="477"/>
      <c r="L165" s="477"/>
      <c r="M165" s="478"/>
    </row>
    <row r="166" spans="1:13" ht="14.25">
      <c r="B166" s="436"/>
      <c r="C166" s="436"/>
      <c r="D166" s="436"/>
      <c r="E166" s="436"/>
    </row>
    <row r="167" spans="1:13" ht="14.25">
      <c r="B167" s="431" t="s">
        <v>29</v>
      </c>
      <c r="C167" s="431"/>
      <c r="D167" s="431"/>
      <c r="E167" s="431"/>
    </row>
    <row r="168" spans="1:13" ht="14.25">
      <c r="B168" s="432" t="s">
        <v>2</v>
      </c>
      <c r="C168" s="433" t="s">
        <v>3</v>
      </c>
      <c r="D168" s="433" t="s">
        <v>4</v>
      </c>
      <c r="E168" s="433" t="s">
        <v>5</v>
      </c>
      <c r="F168" s="433" t="s">
        <v>6</v>
      </c>
      <c r="G168" s="433" t="s">
        <v>7</v>
      </c>
      <c r="H168" s="433" t="s">
        <v>8</v>
      </c>
      <c r="I168" s="433" t="s">
        <v>9</v>
      </c>
      <c r="J168" s="433" t="s">
        <v>10</v>
      </c>
      <c r="K168" s="433" t="s">
        <v>11</v>
      </c>
      <c r="L168" s="433" t="s">
        <v>12</v>
      </c>
      <c r="M168" s="432" t="s">
        <v>13</v>
      </c>
    </row>
    <row r="169" spans="1:13" ht="14.25">
      <c r="B169" s="434" t="s">
        <v>14</v>
      </c>
      <c r="C169" s="320">
        <v>3730</v>
      </c>
      <c r="D169" s="325">
        <v>2730</v>
      </c>
      <c r="E169" s="325">
        <v>2130</v>
      </c>
      <c r="F169" s="325">
        <v>1530</v>
      </c>
      <c r="G169" s="325">
        <v>1130</v>
      </c>
      <c r="H169" s="325">
        <v>930</v>
      </c>
      <c r="I169" s="325">
        <v>730</v>
      </c>
      <c r="J169" s="325">
        <v>530</v>
      </c>
      <c r="K169" s="325">
        <v>330</v>
      </c>
      <c r="L169" s="325">
        <v>130</v>
      </c>
      <c r="M169" s="435">
        <v>90</v>
      </c>
    </row>
    <row r="170" spans="1:13" ht="14.25">
      <c r="B170" s="434" t="s">
        <v>15</v>
      </c>
      <c r="C170" s="325">
        <v>2730</v>
      </c>
      <c r="D170" s="325">
        <v>2130</v>
      </c>
      <c r="E170" s="325">
        <v>1530</v>
      </c>
      <c r="F170" s="325">
        <v>1130</v>
      </c>
      <c r="G170" s="325">
        <v>930</v>
      </c>
      <c r="H170" s="325">
        <v>730</v>
      </c>
      <c r="I170" s="325">
        <v>530</v>
      </c>
      <c r="J170" s="325">
        <v>330</v>
      </c>
      <c r="K170" s="325">
        <v>130</v>
      </c>
      <c r="L170" s="435">
        <v>90</v>
      </c>
      <c r="M170" s="435">
        <v>60</v>
      </c>
    </row>
    <row r="171" spans="1:13" ht="14.25">
      <c r="B171" s="434" t="s">
        <v>16</v>
      </c>
      <c r="C171" s="325">
        <v>2130</v>
      </c>
      <c r="D171" s="325">
        <v>1530</v>
      </c>
      <c r="E171" s="325">
        <v>1130</v>
      </c>
      <c r="F171" s="325">
        <v>930</v>
      </c>
      <c r="G171" s="325">
        <v>730</v>
      </c>
      <c r="H171" s="325">
        <v>530</v>
      </c>
      <c r="I171" s="325">
        <v>330</v>
      </c>
      <c r="J171" s="325">
        <v>130</v>
      </c>
      <c r="K171" s="435">
        <v>90</v>
      </c>
      <c r="L171" s="435">
        <v>60</v>
      </c>
      <c r="M171" s="435">
        <v>40</v>
      </c>
    </row>
    <row r="172" spans="1:13" ht="14.25">
      <c r="B172" s="434" t="s">
        <v>17</v>
      </c>
      <c r="C172" s="476" t="s">
        <v>18</v>
      </c>
      <c r="D172" s="477"/>
      <c r="E172" s="477"/>
      <c r="F172" s="477"/>
      <c r="G172" s="477"/>
      <c r="H172" s="477"/>
      <c r="I172" s="477"/>
      <c r="J172" s="477"/>
      <c r="K172" s="477"/>
      <c r="L172" s="477"/>
      <c r="M172" s="478"/>
    </row>
    <row r="173" spans="1:13" ht="14.25">
      <c r="B173" s="440"/>
      <c r="C173" s="441"/>
      <c r="D173" s="441"/>
      <c r="E173" s="441"/>
      <c r="F173" s="441"/>
      <c r="G173" s="441"/>
      <c r="H173" s="441"/>
      <c r="I173" s="441"/>
      <c r="J173" s="441"/>
      <c r="K173" s="441"/>
      <c r="L173" s="441"/>
      <c r="M173" s="441"/>
    </row>
    <row r="174" spans="1:13" ht="18">
      <c r="B174" s="430" t="s">
        <v>32</v>
      </c>
      <c r="C174" s="430"/>
      <c r="D174" s="430"/>
      <c r="E174" s="430"/>
    </row>
    <row r="175" spans="1:13" ht="30" customHeight="1">
      <c r="A175" s="437"/>
      <c r="B175" s="431" t="s">
        <v>1</v>
      </c>
      <c r="C175" s="431"/>
      <c r="D175" s="431"/>
      <c r="E175" s="431"/>
    </row>
    <row r="176" spans="1:13" ht="14.25">
      <c r="B176" s="432" t="s">
        <v>2</v>
      </c>
      <c r="C176" s="433" t="s">
        <v>3</v>
      </c>
      <c r="D176" s="433" t="s">
        <v>4</v>
      </c>
      <c r="E176" s="433" t="s">
        <v>5</v>
      </c>
      <c r="F176" s="433" t="s">
        <v>6</v>
      </c>
      <c r="G176" s="433" t="s">
        <v>7</v>
      </c>
      <c r="H176" s="433" t="s">
        <v>8</v>
      </c>
      <c r="I176" s="433" t="s">
        <v>9</v>
      </c>
      <c r="J176" s="433" t="s">
        <v>10</v>
      </c>
      <c r="K176" s="433" t="s">
        <v>11</v>
      </c>
      <c r="L176" s="433" t="s">
        <v>12</v>
      </c>
      <c r="M176" s="432" t="s">
        <v>13</v>
      </c>
    </row>
    <row r="177" spans="1:13" ht="14.25">
      <c r="B177" s="434" t="s">
        <v>14</v>
      </c>
      <c r="C177" s="320">
        <v>622</v>
      </c>
      <c r="D177" s="325">
        <v>498</v>
      </c>
      <c r="E177" s="325">
        <v>404</v>
      </c>
      <c r="F177" s="325">
        <v>374</v>
      </c>
      <c r="G177" s="325">
        <v>312</v>
      </c>
      <c r="H177" s="325">
        <v>156</v>
      </c>
      <c r="I177" s="325">
        <v>62</v>
      </c>
      <c r="J177" s="325">
        <v>50</v>
      </c>
      <c r="K177" s="325">
        <v>38</v>
      </c>
      <c r="L177" s="325">
        <v>24</v>
      </c>
      <c r="M177" s="435">
        <v>20</v>
      </c>
    </row>
    <row r="178" spans="1:13" ht="14.25">
      <c r="B178" s="434" t="s">
        <v>15</v>
      </c>
      <c r="C178" s="325">
        <v>436</v>
      </c>
      <c r="D178" s="325">
        <v>350</v>
      </c>
      <c r="E178" s="325">
        <v>284</v>
      </c>
      <c r="F178" s="325">
        <v>262</v>
      </c>
      <c r="G178" s="325">
        <v>218</v>
      </c>
      <c r="H178" s="325">
        <v>110</v>
      </c>
      <c r="I178" s="325">
        <v>44</v>
      </c>
      <c r="J178" s="325">
        <v>34</v>
      </c>
      <c r="K178" s="325">
        <v>26</v>
      </c>
      <c r="L178" s="435">
        <v>20</v>
      </c>
      <c r="M178" s="435">
        <v>16</v>
      </c>
    </row>
    <row r="179" spans="1:13" ht="14.25">
      <c r="B179" s="434" t="s">
        <v>16</v>
      </c>
      <c r="C179" s="476" t="s">
        <v>18</v>
      </c>
      <c r="D179" s="477"/>
      <c r="E179" s="477"/>
      <c r="F179" s="477"/>
      <c r="G179" s="477"/>
      <c r="H179" s="477"/>
      <c r="I179" s="477"/>
      <c r="J179" s="477"/>
      <c r="K179" s="477"/>
      <c r="L179" s="477"/>
      <c r="M179" s="478"/>
    </row>
    <row r="180" spans="1:13" ht="14.25">
      <c r="B180" s="434" t="s">
        <v>17</v>
      </c>
      <c r="C180" s="476" t="s">
        <v>18</v>
      </c>
      <c r="D180" s="477"/>
      <c r="E180" s="477"/>
      <c r="F180" s="477"/>
      <c r="G180" s="477"/>
      <c r="H180" s="477"/>
      <c r="I180" s="477"/>
      <c r="J180" s="477"/>
      <c r="K180" s="477"/>
      <c r="L180" s="477"/>
      <c r="M180" s="478"/>
    </row>
    <row r="181" spans="1:13" ht="14.25">
      <c r="B181" s="436"/>
      <c r="C181" s="436"/>
      <c r="D181" s="436"/>
      <c r="E181" s="436"/>
    </row>
    <row r="182" spans="1:13" ht="18">
      <c r="B182" s="430" t="s">
        <v>33</v>
      </c>
      <c r="C182" s="430"/>
      <c r="D182" s="430"/>
      <c r="E182" s="430"/>
    </row>
    <row r="183" spans="1:13" ht="30" customHeight="1">
      <c r="A183" s="437"/>
      <c r="B183" s="431" t="s">
        <v>1</v>
      </c>
      <c r="C183" s="431"/>
      <c r="D183" s="431"/>
      <c r="E183" s="431"/>
    </row>
    <row r="184" spans="1:13" ht="14.25">
      <c r="B184" s="432" t="s">
        <v>2</v>
      </c>
      <c r="C184" s="433" t="s">
        <v>3</v>
      </c>
      <c r="D184" s="433" t="s">
        <v>4</v>
      </c>
      <c r="E184" s="433" t="s">
        <v>5</v>
      </c>
      <c r="F184" s="433" t="s">
        <v>6</v>
      </c>
      <c r="G184" s="433" t="s">
        <v>7</v>
      </c>
      <c r="H184" s="433" t="s">
        <v>8</v>
      </c>
      <c r="I184" s="433" t="s">
        <v>9</v>
      </c>
      <c r="J184" s="433" t="s">
        <v>10</v>
      </c>
      <c r="K184" s="433" t="s">
        <v>11</v>
      </c>
      <c r="L184" s="433" t="s">
        <v>12</v>
      </c>
      <c r="M184" s="432" t="s">
        <v>13</v>
      </c>
    </row>
    <row r="185" spans="1:13" ht="14.25">
      <c r="B185" s="434" t="s">
        <v>14</v>
      </c>
      <c r="C185" s="320">
        <v>434</v>
      </c>
      <c r="D185" s="325">
        <v>348</v>
      </c>
      <c r="E185" s="325">
        <v>282</v>
      </c>
      <c r="F185" s="325">
        <v>260</v>
      </c>
      <c r="G185" s="325">
        <v>218</v>
      </c>
      <c r="H185" s="325">
        <v>108</v>
      </c>
      <c r="I185" s="325">
        <v>44</v>
      </c>
      <c r="J185" s="325">
        <v>34</v>
      </c>
      <c r="K185" s="325">
        <v>26</v>
      </c>
      <c r="L185" s="325">
        <v>18</v>
      </c>
      <c r="M185" s="435">
        <v>16</v>
      </c>
    </row>
    <row r="186" spans="1:13" ht="14.25">
      <c r="B186" s="434" t="s">
        <v>15</v>
      </c>
      <c r="C186" s="325">
        <v>304</v>
      </c>
      <c r="D186" s="325">
        <v>244</v>
      </c>
      <c r="E186" s="325">
        <v>198</v>
      </c>
      <c r="F186" s="325">
        <v>182</v>
      </c>
      <c r="G186" s="325">
        <v>152</v>
      </c>
      <c r="H186" s="325">
        <v>76</v>
      </c>
      <c r="I186" s="325">
        <v>30</v>
      </c>
      <c r="J186" s="325">
        <v>24</v>
      </c>
      <c r="K186" s="325">
        <v>18</v>
      </c>
      <c r="L186" s="435">
        <v>12</v>
      </c>
      <c r="M186" s="435">
        <v>10</v>
      </c>
    </row>
    <row r="187" spans="1:13" ht="14.25">
      <c r="B187" s="434" t="s">
        <v>16</v>
      </c>
      <c r="C187" s="476" t="s">
        <v>18</v>
      </c>
      <c r="D187" s="477"/>
      <c r="E187" s="477"/>
      <c r="F187" s="477"/>
      <c r="G187" s="477"/>
      <c r="H187" s="477"/>
      <c r="I187" s="477"/>
      <c r="J187" s="477"/>
      <c r="K187" s="477"/>
      <c r="L187" s="477"/>
      <c r="M187" s="478"/>
    </row>
    <row r="188" spans="1:13" ht="14.25">
      <c r="B188" s="434" t="s">
        <v>17</v>
      </c>
      <c r="C188" s="476" t="s">
        <v>18</v>
      </c>
      <c r="D188" s="477"/>
      <c r="E188" s="477"/>
      <c r="F188" s="477"/>
      <c r="G188" s="477"/>
      <c r="H188" s="477"/>
      <c r="I188" s="477"/>
      <c r="J188" s="477"/>
      <c r="K188" s="477"/>
      <c r="L188" s="477"/>
      <c r="M188" s="478"/>
    </row>
    <row r="189" spans="1:13" ht="14.25">
      <c r="B189" s="440"/>
      <c r="C189" s="441"/>
      <c r="D189" s="441"/>
      <c r="E189" s="441"/>
      <c r="F189" s="441"/>
      <c r="G189" s="441"/>
      <c r="H189" s="441"/>
      <c r="I189" s="441"/>
      <c r="J189" s="441"/>
      <c r="K189" s="441"/>
      <c r="L189" s="441"/>
      <c r="M189" s="441"/>
    </row>
    <row r="190" spans="1:13" ht="18">
      <c r="B190" s="430" t="s">
        <v>34</v>
      </c>
      <c r="C190" s="430"/>
      <c r="D190" s="430"/>
      <c r="E190" s="430"/>
    </row>
    <row r="191" spans="1:13" ht="30" customHeight="1">
      <c r="A191" s="437"/>
      <c r="B191" s="431" t="s">
        <v>1</v>
      </c>
      <c r="C191" s="431"/>
      <c r="D191" s="431"/>
      <c r="E191" s="431"/>
    </row>
    <row r="192" spans="1:13" ht="14.25">
      <c r="B192" s="432" t="s">
        <v>2</v>
      </c>
      <c r="C192" s="433" t="s">
        <v>3</v>
      </c>
      <c r="D192" s="433" t="s">
        <v>4</v>
      </c>
      <c r="E192" s="433" t="s">
        <v>5</v>
      </c>
      <c r="F192" s="433" t="s">
        <v>6</v>
      </c>
      <c r="G192" s="433" t="s">
        <v>7</v>
      </c>
      <c r="H192" s="433" t="s">
        <v>8</v>
      </c>
      <c r="I192" s="433" t="s">
        <v>9</v>
      </c>
      <c r="J192" s="433" t="s">
        <v>10</v>
      </c>
      <c r="K192" s="433" t="s">
        <v>11</v>
      </c>
      <c r="L192" s="433" t="s">
        <v>12</v>
      </c>
      <c r="M192" s="432" t="s">
        <v>13</v>
      </c>
    </row>
    <row r="193" spans="1:13" ht="14.25">
      <c r="B193" s="434" t="s">
        <v>14</v>
      </c>
      <c r="C193" s="320">
        <v>6000</v>
      </c>
      <c r="D193" s="325">
        <v>4500</v>
      </c>
      <c r="E193" s="325">
        <v>3376</v>
      </c>
      <c r="F193" s="325">
        <v>2532</v>
      </c>
      <c r="G193" s="325">
        <v>1898</v>
      </c>
      <c r="H193" s="325">
        <v>1424</v>
      </c>
      <c r="I193" s="325">
        <v>1068</v>
      </c>
      <c r="J193" s="325">
        <v>800</v>
      </c>
      <c r="K193" s="325">
        <v>600</v>
      </c>
      <c r="L193" s="325">
        <v>450</v>
      </c>
      <c r="M193" s="435">
        <v>338</v>
      </c>
    </row>
    <row r="194" spans="1:13" ht="14.25">
      <c r="B194" s="434" t="s">
        <v>15</v>
      </c>
      <c r="C194" s="325">
        <v>4000</v>
      </c>
      <c r="D194" s="325">
        <v>3000</v>
      </c>
      <c r="E194" s="325">
        <v>2250</v>
      </c>
      <c r="F194" s="325">
        <v>1688</v>
      </c>
      <c r="G194" s="325">
        <v>1266</v>
      </c>
      <c r="H194" s="325">
        <v>950</v>
      </c>
      <c r="I194" s="325">
        <v>712</v>
      </c>
      <c r="J194" s="325">
        <v>534</v>
      </c>
      <c r="K194" s="325">
        <v>400</v>
      </c>
      <c r="L194" s="325">
        <v>300</v>
      </c>
      <c r="M194" s="435">
        <v>226</v>
      </c>
    </row>
    <row r="195" spans="1:13" ht="14.25">
      <c r="B195" s="434" t="s">
        <v>16</v>
      </c>
      <c r="C195" s="325">
        <v>2600</v>
      </c>
      <c r="D195" s="325">
        <v>1950</v>
      </c>
      <c r="E195" s="325">
        <v>1462</v>
      </c>
      <c r="F195" s="325">
        <v>1096</v>
      </c>
      <c r="G195" s="325">
        <v>822</v>
      </c>
      <c r="H195" s="325">
        <v>618</v>
      </c>
      <c r="I195" s="325">
        <v>462</v>
      </c>
      <c r="J195" s="325">
        <v>348</v>
      </c>
      <c r="K195" s="325">
        <v>260</v>
      </c>
      <c r="L195" s="325">
        <v>196</v>
      </c>
      <c r="M195" s="435">
        <v>146</v>
      </c>
    </row>
    <row r="196" spans="1:13" ht="14.25">
      <c r="B196" s="434" t="s">
        <v>17</v>
      </c>
      <c r="C196" s="435">
        <v>1500</v>
      </c>
      <c r="D196" s="435">
        <v>1126</v>
      </c>
      <c r="E196" s="435">
        <v>844</v>
      </c>
      <c r="F196" s="435">
        <v>632</v>
      </c>
      <c r="G196" s="435">
        <v>474</v>
      </c>
      <c r="H196" s="435">
        <v>356</v>
      </c>
      <c r="I196" s="435">
        <v>266</v>
      </c>
      <c r="J196" s="435">
        <v>200</v>
      </c>
      <c r="K196" s="435">
        <v>150</v>
      </c>
      <c r="L196" s="435">
        <v>112</v>
      </c>
      <c r="M196" s="435">
        <v>84</v>
      </c>
    </row>
    <row r="197" spans="1:13" ht="14.25">
      <c r="B197" s="436"/>
      <c r="C197" s="436"/>
      <c r="D197" s="436"/>
      <c r="E197" s="436"/>
    </row>
    <row r="198" spans="1:13" ht="14.25">
      <c r="B198" s="431" t="s">
        <v>29</v>
      </c>
      <c r="C198" s="431"/>
      <c r="D198" s="431"/>
      <c r="E198" s="431"/>
    </row>
    <row r="199" spans="1:13" ht="14.25">
      <c r="B199" s="432" t="s">
        <v>2</v>
      </c>
      <c r="C199" s="433" t="s">
        <v>3</v>
      </c>
      <c r="D199" s="433" t="s">
        <v>4</v>
      </c>
      <c r="E199" s="433" t="s">
        <v>5</v>
      </c>
      <c r="F199" s="433" t="s">
        <v>6</v>
      </c>
      <c r="G199" s="433" t="s">
        <v>7</v>
      </c>
      <c r="H199" s="433" t="s">
        <v>8</v>
      </c>
      <c r="I199" s="433" t="s">
        <v>9</v>
      </c>
      <c r="J199" s="433" t="s">
        <v>10</v>
      </c>
      <c r="K199" s="433" t="s">
        <v>11</v>
      </c>
      <c r="L199" s="433" t="s">
        <v>12</v>
      </c>
      <c r="M199" s="432" t="s">
        <v>13</v>
      </c>
    </row>
    <row r="200" spans="1:13" ht="14.25">
      <c r="B200" s="434" t="s">
        <v>14</v>
      </c>
      <c r="C200" s="320">
        <v>12000</v>
      </c>
      <c r="D200" s="325">
        <v>9000</v>
      </c>
      <c r="E200" s="325">
        <v>6750</v>
      </c>
      <c r="F200" s="325">
        <v>5062</v>
      </c>
      <c r="G200" s="325">
        <v>3796</v>
      </c>
      <c r="H200" s="325">
        <v>2848</v>
      </c>
      <c r="I200" s="325">
        <v>2136</v>
      </c>
      <c r="J200" s="325">
        <v>1602</v>
      </c>
      <c r="K200" s="325">
        <v>1202</v>
      </c>
      <c r="L200" s="325">
        <v>902</v>
      </c>
      <c r="M200" s="435">
        <v>676</v>
      </c>
    </row>
    <row r="201" spans="1:13" ht="14.25">
      <c r="B201" s="434" t="s">
        <v>15</v>
      </c>
      <c r="C201" s="325">
        <v>7600</v>
      </c>
      <c r="D201" s="325">
        <v>5700</v>
      </c>
      <c r="E201" s="325">
        <v>4276</v>
      </c>
      <c r="F201" s="325">
        <v>3206</v>
      </c>
      <c r="G201" s="325">
        <v>2404</v>
      </c>
      <c r="H201" s="325">
        <v>1804</v>
      </c>
      <c r="I201" s="325">
        <v>1352</v>
      </c>
      <c r="J201" s="325">
        <v>1194</v>
      </c>
      <c r="K201" s="325">
        <v>760</v>
      </c>
      <c r="L201" s="325">
        <v>570</v>
      </c>
      <c r="M201" s="435">
        <v>428</v>
      </c>
    </row>
    <row r="202" spans="1:13" ht="14.25">
      <c r="B202" s="434" t="s">
        <v>16</v>
      </c>
      <c r="C202" s="325">
        <v>4600</v>
      </c>
      <c r="D202" s="325">
        <v>3450</v>
      </c>
      <c r="E202" s="325">
        <v>2588</v>
      </c>
      <c r="F202" s="325">
        <v>1940</v>
      </c>
      <c r="G202" s="325">
        <v>1456</v>
      </c>
      <c r="H202" s="325">
        <v>1092</v>
      </c>
      <c r="I202" s="325">
        <v>818</v>
      </c>
      <c r="J202" s="325">
        <v>614</v>
      </c>
      <c r="K202" s="325">
        <v>460</v>
      </c>
      <c r="L202" s="325">
        <v>346</v>
      </c>
      <c r="M202" s="435">
        <v>260</v>
      </c>
    </row>
    <row r="203" spans="1:13" ht="14.25">
      <c r="B203" s="434" t="s">
        <v>17</v>
      </c>
      <c r="C203" s="435">
        <v>2840</v>
      </c>
      <c r="D203" s="435">
        <v>2130</v>
      </c>
      <c r="E203" s="435">
        <v>1598</v>
      </c>
      <c r="F203" s="435">
        <v>1198</v>
      </c>
      <c r="G203" s="435">
        <v>898</v>
      </c>
      <c r="H203" s="435">
        <v>674</v>
      </c>
      <c r="I203" s="435">
        <v>506</v>
      </c>
      <c r="J203" s="435">
        <v>380</v>
      </c>
      <c r="K203" s="435">
        <v>284</v>
      </c>
      <c r="L203" s="435">
        <v>214</v>
      </c>
      <c r="M203" s="435">
        <v>160</v>
      </c>
    </row>
    <row r="204" spans="1:13" ht="14.25">
      <c r="B204" s="440"/>
      <c r="C204" s="441"/>
      <c r="D204" s="441"/>
      <c r="E204" s="441"/>
      <c r="F204" s="441"/>
      <c r="G204" s="441"/>
      <c r="H204" s="441"/>
      <c r="I204" s="441"/>
      <c r="J204" s="441"/>
      <c r="K204" s="441"/>
      <c r="L204" s="441"/>
      <c r="M204" s="441"/>
    </row>
    <row r="205" spans="1:13" ht="18">
      <c r="B205" s="430" t="s">
        <v>35</v>
      </c>
      <c r="C205" s="430"/>
      <c r="D205" s="430"/>
      <c r="E205" s="430"/>
    </row>
    <row r="206" spans="1:13" ht="30" customHeight="1">
      <c r="A206" s="437"/>
      <c r="B206" s="431" t="s">
        <v>1</v>
      </c>
      <c r="C206" s="431"/>
      <c r="D206" s="431"/>
      <c r="E206" s="431"/>
    </row>
    <row r="207" spans="1:13" ht="14.25">
      <c r="B207" s="432" t="s">
        <v>2</v>
      </c>
      <c r="C207" s="433" t="s">
        <v>3</v>
      </c>
      <c r="D207" s="433" t="s">
        <v>4</v>
      </c>
      <c r="E207" s="433" t="s">
        <v>5</v>
      </c>
      <c r="F207" s="433" t="s">
        <v>6</v>
      </c>
      <c r="G207" s="433" t="s">
        <v>7</v>
      </c>
      <c r="H207" s="433" t="s">
        <v>8</v>
      </c>
      <c r="I207" s="433" t="s">
        <v>9</v>
      </c>
      <c r="J207" s="433" t="s">
        <v>10</v>
      </c>
      <c r="K207" s="433" t="s">
        <v>11</v>
      </c>
      <c r="L207" s="433" t="s">
        <v>12</v>
      </c>
      <c r="M207" s="432" t="s">
        <v>13</v>
      </c>
    </row>
    <row r="208" spans="1:13" ht="14.25">
      <c r="B208" s="434" t="s">
        <v>14</v>
      </c>
      <c r="C208" s="320">
        <v>1994</v>
      </c>
      <c r="D208" s="325">
        <v>1496</v>
      </c>
      <c r="E208" s="325">
        <v>1122</v>
      </c>
      <c r="F208" s="325">
        <v>840</v>
      </c>
      <c r="G208" s="325">
        <v>630</v>
      </c>
      <c r="H208" s="325">
        <v>474</v>
      </c>
      <c r="I208" s="325">
        <v>354</v>
      </c>
      <c r="J208" s="325">
        <v>266</v>
      </c>
      <c r="K208" s="325">
        <v>200</v>
      </c>
      <c r="L208" s="325">
        <v>150</v>
      </c>
      <c r="M208" s="435">
        <v>112</v>
      </c>
    </row>
    <row r="209" spans="1:13" ht="14.25">
      <c r="B209" s="434" t="s">
        <v>15</v>
      </c>
      <c r="C209" s="325">
        <v>1368</v>
      </c>
      <c r="D209" s="325">
        <v>1026</v>
      </c>
      <c r="E209" s="325">
        <v>770</v>
      </c>
      <c r="F209" s="325">
        <v>578</v>
      </c>
      <c r="G209" s="325">
        <v>432</v>
      </c>
      <c r="H209" s="325">
        <v>324</v>
      </c>
      <c r="I209" s="325">
        <v>244</v>
      </c>
      <c r="J209" s="325">
        <v>182</v>
      </c>
      <c r="K209" s="325">
        <v>136</v>
      </c>
      <c r="L209" s="435">
        <v>102</v>
      </c>
      <c r="M209" s="435">
        <v>78</v>
      </c>
    </row>
    <row r="210" spans="1:13" ht="14.25">
      <c r="B210" s="434" t="s">
        <v>16</v>
      </c>
      <c r="C210" s="476" t="s">
        <v>18</v>
      </c>
      <c r="D210" s="477"/>
      <c r="E210" s="477"/>
      <c r="F210" s="477"/>
      <c r="G210" s="477"/>
      <c r="H210" s="477"/>
      <c r="I210" s="477"/>
      <c r="J210" s="477"/>
      <c r="K210" s="477"/>
      <c r="L210" s="477"/>
      <c r="M210" s="478"/>
    </row>
    <row r="211" spans="1:13" ht="14.25">
      <c r="B211" s="434" t="s">
        <v>17</v>
      </c>
      <c r="C211" s="476" t="s">
        <v>18</v>
      </c>
      <c r="D211" s="477"/>
      <c r="E211" s="477"/>
      <c r="F211" s="477"/>
      <c r="G211" s="477"/>
      <c r="H211" s="477"/>
      <c r="I211" s="477"/>
      <c r="J211" s="477"/>
      <c r="K211" s="477"/>
      <c r="L211" s="477"/>
      <c r="M211" s="478"/>
    </row>
    <row r="212" spans="1:13" ht="14.25">
      <c r="B212" s="436"/>
      <c r="C212" s="436"/>
      <c r="D212" s="436"/>
      <c r="E212" s="436"/>
    </row>
    <row r="213" spans="1:13" ht="14.25">
      <c r="B213" s="431" t="s">
        <v>29</v>
      </c>
      <c r="C213" s="431"/>
      <c r="D213" s="431"/>
      <c r="E213" s="431"/>
    </row>
    <row r="214" spans="1:13" ht="14.25">
      <c r="B214" s="432" t="s">
        <v>2</v>
      </c>
      <c r="C214" s="433" t="s">
        <v>3</v>
      </c>
      <c r="D214" s="433" t="s">
        <v>4</v>
      </c>
      <c r="E214" s="433" t="s">
        <v>5</v>
      </c>
      <c r="F214" s="433" t="s">
        <v>6</v>
      </c>
      <c r="G214" s="433" t="s">
        <v>7</v>
      </c>
      <c r="H214" s="433" t="s">
        <v>8</v>
      </c>
      <c r="I214" s="433" t="s">
        <v>9</v>
      </c>
      <c r="J214" s="433" t="s">
        <v>10</v>
      </c>
      <c r="K214" s="433" t="s">
        <v>11</v>
      </c>
      <c r="L214" s="433" t="s">
        <v>12</v>
      </c>
      <c r="M214" s="432" t="s">
        <v>13</v>
      </c>
    </row>
    <row r="215" spans="1:13" ht="14.25">
      <c r="B215" s="434" t="s">
        <v>14</v>
      </c>
      <c r="C215" s="320">
        <v>2990</v>
      </c>
      <c r="D215" s="325">
        <v>2242</v>
      </c>
      <c r="E215" s="325">
        <v>1682</v>
      </c>
      <c r="F215" s="325">
        <v>1262</v>
      </c>
      <c r="G215" s="325">
        <v>946</v>
      </c>
      <c r="H215" s="325">
        <v>710</v>
      </c>
      <c r="I215" s="325">
        <v>532</v>
      </c>
      <c r="J215" s="325">
        <v>400</v>
      </c>
      <c r="K215" s="325">
        <v>300</v>
      </c>
      <c r="L215" s="325">
        <v>224</v>
      </c>
      <c r="M215" s="435">
        <v>168</v>
      </c>
    </row>
    <row r="216" spans="1:13" ht="14.25">
      <c r="B216" s="434" t="s">
        <v>15</v>
      </c>
      <c r="C216" s="325">
        <v>2052</v>
      </c>
      <c r="D216" s="325">
        <v>1540</v>
      </c>
      <c r="E216" s="325">
        <v>1154</v>
      </c>
      <c r="F216" s="325">
        <v>866</v>
      </c>
      <c r="G216" s="325">
        <v>650</v>
      </c>
      <c r="H216" s="325">
        <v>486</v>
      </c>
      <c r="I216" s="325">
        <v>366</v>
      </c>
      <c r="J216" s="325">
        <v>274</v>
      </c>
      <c r="K216" s="325">
        <v>206</v>
      </c>
      <c r="L216" s="435">
        <v>154</v>
      </c>
      <c r="M216" s="435">
        <v>116</v>
      </c>
    </row>
    <row r="217" spans="1:13" ht="14.25">
      <c r="B217" s="434" t="s">
        <v>16</v>
      </c>
      <c r="C217" s="476" t="s">
        <v>18</v>
      </c>
      <c r="D217" s="477"/>
      <c r="E217" s="477"/>
      <c r="F217" s="477"/>
      <c r="G217" s="477"/>
      <c r="H217" s="477"/>
      <c r="I217" s="477"/>
      <c r="J217" s="477"/>
      <c r="K217" s="477"/>
      <c r="L217" s="477"/>
      <c r="M217" s="478"/>
    </row>
    <row r="218" spans="1:13" ht="14.25">
      <c r="B218" s="434" t="s">
        <v>17</v>
      </c>
      <c r="C218" s="476" t="s">
        <v>18</v>
      </c>
      <c r="D218" s="477"/>
      <c r="E218" s="477"/>
      <c r="F218" s="477"/>
      <c r="G218" s="477"/>
      <c r="H218" s="477"/>
      <c r="I218" s="477"/>
      <c r="J218" s="477"/>
      <c r="K218" s="477"/>
      <c r="L218" s="477"/>
      <c r="M218" s="478"/>
    </row>
    <row r="219" spans="1:13" ht="14.25">
      <c r="B219" s="440"/>
      <c r="C219" s="441"/>
      <c r="D219" s="441"/>
      <c r="E219" s="441"/>
      <c r="F219" s="441"/>
      <c r="G219" s="441"/>
      <c r="H219" s="441"/>
      <c r="I219" s="441"/>
      <c r="J219" s="441"/>
      <c r="K219" s="441"/>
      <c r="L219" s="441"/>
      <c r="M219" s="441"/>
    </row>
    <row r="220" spans="1:13" ht="18">
      <c r="B220" s="430" t="s">
        <v>36</v>
      </c>
      <c r="C220" s="430"/>
      <c r="D220" s="430"/>
      <c r="E220" s="430"/>
    </row>
    <row r="221" spans="1:13" ht="30" customHeight="1">
      <c r="A221" s="437"/>
      <c r="B221" s="431" t="s">
        <v>1</v>
      </c>
      <c r="C221" s="431"/>
      <c r="D221" s="431"/>
      <c r="E221" s="431"/>
    </row>
    <row r="222" spans="1:13" ht="14.25">
      <c r="B222" s="432" t="s">
        <v>2</v>
      </c>
      <c r="C222" s="433" t="s">
        <v>3</v>
      </c>
      <c r="D222" s="433" t="s">
        <v>4</v>
      </c>
      <c r="E222" s="433" t="s">
        <v>5</v>
      </c>
      <c r="F222" s="433" t="s">
        <v>6</v>
      </c>
      <c r="G222" s="433" t="s">
        <v>7</v>
      </c>
      <c r="H222" s="433" t="s">
        <v>8</v>
      </c>
      <c r="I222" s="433" t="s">
        <v>9</v>
      </c>
      <c r="J222" s="433" t="s">
        <v>10</v>
      </c>
      <c r="K222" s="433" t="s">
        <v>11</v>
      </c>
      <c r="L222" s="433" t="s">
        <v>12</v>
      </c>
      <c r="M222" s="432" t="s">
        <v>13</v>
      </c>
    </row>
    <row r="223" spans="1:13" ht="14.25">
      <c r="B223" s="434" t="s">
        <v>14</v>
      </c>
      <c r="C223" s="320">
        <v>344</v>
      </c>
      <c r="D223" s="325">
        <v>260</v>
      </c>
      <c r="E223" s="325">
        <v>192</v>
      </c>
      <c r="F223" s="325">
        <v>144</v>
      </c>
      <c r="G223" s="325">
        <v>112</v>
      </c>
      <c r="H223" s="325">
        <v>84</v>
      </c>
      <c r="I223" s="325">
        <v>60</v>
      </c>
      <c r="J223" s="325">
        <v>48</v>
      </c>
      <c r="K223" s="325">
        <v>36</v>
      </c>
      <c r="L223" s="325">
        <v>24</v>
      </c>
      <c r="M223" s="435">
        <v>16</v>
      </c>
    </row>
    <row r="224" spans="1:13" ht="14.25">
      <c r="B224" s="434" t="s">
        <v>15</v>
      </c>
      <c r="C224" s="325">
        <v>240</v>
      </c>
      <c r="D224" s="325">
        <v>180</v>
      </c>
      <c r="E224" s="325">
        <v>136</v>
      </c>
      <c r="F224" s="325">
        <v>100</v>
      </c>
      <c r="G224" s="325">
        <v>76</v>
      </c>
      <c r="H224" s="325">
        <v>56</v>
      </c>
      <c r="I224" s="325">
        <v>44</v>
      </c>
      <c r="J224" s="325">
        <v>32</v>
      </c>
      <c r="K224" s="325">
        <v>24</v>
      </c>
      <c r="L224" s="435">
        <v>16</v>
      </c>
      <c r="M224" s="435">
        <v>12</v>
      </c>
    </row>
    <row r="225" spans="1:13" ht="14.25">
      <c r="B225" s="434" t="s">
        <v>16</v>
      </c>
      <c r="C225" s="476" t="s">
        <v>18</v>
      </c>
      <c r="D225" s="477"/>
      <c r="E225" s="477"/>
      <c r="F225" s="477"/>
      <c r="G225" s="477"/>
      <c r="H225" s="477"/>
      <c r="I225" s="477"/>
      <c r="J225" s="477"/>
      <c r="K225" s="477"/>
      <c r="L225" s="477"/>
      <c r="M225" s="478"/>
    </row>
    <row r="226" spans="1:13" ht="14.25">
      <c r="B226" s="434" t="s">
        <v>17</v>
      </c>
      <c r="C226" s="476" t="s">
        <v>18</v>
      </c>
      <c r="D226" s="477"/>
      <c r="E226" s="477"/>
      <c r="F226" s="477"/>
      <c r="G226" s="477"/>
      <c r="H226" s="477"/>
      <c r="I226" s="477"/>
      <c r="J226" s="477"/>
      <c r="K226" s="477"/>
      <c r="L226" s="477"/>
      <c r="M226" s="478"/>
    </row>
    <row r="227" spans="1:13" ht="14.25">
      <c r="B227" s="436"/>
      <c r="C227" s="436"/>
      <c r="D227" s="436"/>
      <c r="E227" s="436"/>
    </row>
    <row r="228" spans="1:13" ht="14.25">
      <c r="B228" s="431" t="s">
        <v>29</v>
      </c>
      <c r="C228" s="431"/>
      <c r="D228" s="431"/>
      <c r="E228" s="431"/>
    </row>
    <row r="229" spans="1:13" ht="14.25">
      <c r="B229" s="432" t="s">
        <v>2</v>
      </c>
      <c r="C229" s="433" t="s">
        <v>3</v>
      </c>
      <c r="D229" s="433" t="s">
        <v>4</v>
      </c>
      <c r="E229" s="433" t="s">
        <v>5</v>
      </c>
      <c r="F229" s="433" t="s">
        <v>6</v>
      </c>
      <c r="G229" s="433" t="s">
        <v>7</v>
      </c>
      <c r="H229" s="433" t="s">
        <v>8</v>
      </c>
      <c r="I229" s="433" t="s">
        <v>9</v>
      </c>
      <c r="J229" s="433" t="s">
        <v>10</v>
      </c>
      <c r="K229" s="433" t="s">
        <v>11</v>
      </c>
      <c r="L229" s="433" t="s">
        <v>12</v>
      </c>
      <c r="M229" s="432" t="s">
        <v>13</v>
      </c>
    </row>
    <row r="230" spans="1:13" ht="14.25">
      <c r="B230" s="434" t="s">
        <v>14</v>
      </c>
      <c r="C230" s="320">
        <v>588</v>
      </c>
      <c r="D230" s="325">
        <v>444</v>
      </c>
      <c r="E230" s="325">
        <v>330</v>
      </c>
      <c r="F230" s="325">
        <v>246</v>
      </c>
      <c r="G230" s="325">
        <v>186</v>
      </c>
      <c r="H230" s="325">
        <v>144</v>
      </c>
      <c r="I230" s="325">
        <v>108</v>
      </c>
      <c r="J230" s="325">
        <v>84</v>
      </c>
      <c r="K230" s="325">
        <v>60</v>
      </c>
      <c r="L230" s="325">
        <v>42</v>
      </c>
      <c r="M230" s="435">
        <v>30</v>
      </c>
    </row>
    <row r="231" spans="1:13" ht="14.25">
      <c r="B231" s="434" t="s">
        <v>15</v>
      </c>
      <c r="C231" s="325">
        <v>414</v>
      </c>
      <c r="D231" s="325">
        <v>312</v>
      </c>
      <c r="E231" s="325">
        <v>234</v>
      </c>
      <c r="F231" s="325">
        <v>174</v>
      </c>
      <c r="G231" s="325">
        <v>132</v>
      </c>
      <c r="H231" s="325">
        <v>102</v>
      </c>
      <c r="I231" s="325">
        <v>72</v>
      </c>
      <c r="J231" s="325">
        <v>60</v>
      </c>
      <c r="K231" s="325">
        <v>42</v>
      </c>
      <c r="L231" s="435">
        <v>30</v>
      </c>
      <c r="M231" s="435">
        <v>18</v>
      </c>
    </row>
    <row r="232" spans="1:13" ht="14.25">
      <c r="B232" s="434" t="s">
        <v>16</v>
      </c>
      <c r="C232" s="476" t="s">
        <v>18</v>
      </c>
      <c r="D232" s="477"/>
      <c r="E232" s="477"/>
      <c r="F232" s="477"/>
      <c r="G232" s="477"/>
      <c r="H232" s="477"/>
      <c r="I232" s="477"/>
      <c r="J232" s="477"/>
      <c r="K232" s="477"/>
      <c r="L232" s="477"/>
      <c r="M232" s="478"/>
    </row>
    <row r="233" spans="1:13" ht="14.25">
      <c r="B233" s="434" t="s">
        <v>17</v>
      </c>
      <c r="C233" s="476" t="s">
        <v>18</v>
      </c>
      <c r="D233" s="477"/>
      <c r="E233" s="477"/>
      <c r="F233" s="477"/>
      <c r="G233" s="477"/>
      <c r="H233" s="477"/>
      <c r="I233" s="477"/>
      <c r="J233" s="477"/>
      <c r="K233" s="477"/>
      <c r="L233" s="477"/>
      <c r="M233" s="478"/>
    </row>
    <row r="234" spans="1:13" ht="14.25">
      <c r="B234" s="440"/>
      <c r="C234" s="441"/>
      <c r="D234" s="441"/>
      <c r="E234" s="441"/>
      <c r="F234" s="441"/>
      <c r="G234" s="441"/>
      <c r="H234" s="441"/>
      <c r="I234" s="441"/>
      <c r="J234" s="441"/>
      <c r="K234" s="441"/>
      <c r="L234" s="441"/>
      <c r="M234" s="441"/>
    </row>
    <row r="235" spans="1:13" ht="18">
      <c r="B235" s="430" t="s">
        <v>37</v>
      </c>
      <c r="C235" s="430"/>
      <c r="D235" s="430"/>
      <c r="E235" s="430"/>
    </row>
    <row r="236" spans="1:13" ht="30" customHeight="1">
      <c r="A236" s="437"/>
      <c r="B236" s="431" t="s">
        <v>1</v>
      </c>
      <c r="C236" s="431"/>
      <c r="D236" s="431"/>
      <c r="E236" s="431"/>
    </row>
    <row r="237" spans="1:13" ht="14.25">
      <c r="B237" s="432" t="s">
        <v>2</v>
      </c>
      <c r="C237" s="433" t="s">
        <v>3</v>
      </c>
      <c r="D237" s="433" t="s">
        <v>4</v>
      </c>
      <c r="E237" s="433" t="s">
        <v>5</v>
      </c>
      <c r="F237" s="433" t="s">
        <v>6</v>
      </c>
      <c r="G237" s="433" t="s">
        <v>7</v>
      </c>
      <c r="H237" s="433" t="s">
        <v>8</v>
      </c>
      <c r="I237" s="433" t="s">
        <v>9</v>
      </c>
      <c r="J237" s="433" t="s">
        <v>10</v>
      </c>
      <c r="K237" s="433" t="s">
        <v>11</v>
      </c>
      <c r="L237" s="433" t="s">
        <v>12</v>
      </c>
      <c r="M237" s="432" t="s">
        <v>13</v>
      </c>
    </row>
    <row r="238" spans="1:13" ht="14.25">
      <c r="B238" s="434" t="s">
        <v>14</v>
      </c>
      <c r="C238" s="320">
        <v>5600</v>
      </c>
      <c r="D238" s="325">
        <v>4200</v>
      </c>
      <c r="E238" s="325">
        <v>3150</v>
      </c>
      <c r="F238" s="325">
        <v>2362</v>
      </c>
      <c r="G238" s="325">
        <v>1772</v>
      </c>
      <c r="H238" s="325">
        <v>1328</v>
      </c>
      <c r="I238" s="325">
        <v>996</v>
      </c>
      <c r="J238" s="325">
        <v>748</v>
      </c>
      <c r="K238" s="325">
        <v>560</v>
      </c>
      <c r="L238" s="325">
        <v>420</v>
      </c>
      <c r="M238" s="435">
        <v>316</v>
      </c>
    </row>
    <row r="239" spans="1:13" ht="14.25">
      <c r="B239" s="434" t="s">
        <v>15</v>
      </c>
      <c r="C239" s="325">
        <v>5400</v>
      </c>
      <c r="D239" s="325">
        <v>4050</v>
      </c>
      <c r="E239" s="325">
        <v>3038</v>
      </c>
      <c r="F239" s="325">
        <v>2278</v>
      </c>
      <c r="G239" s="325">
        <v>1708</v>
      </c>
      <c r="H239" s="325">
        <v>1282</v>
      </c>
      <c r="I239" s="325">
        <v>962</v>
      </c>
      <c r="J239" s="325">
        <v>720</v>
      </c>
      <c r="K239" s="325">
        <v>540</v>
      </c>
      <c r="L239" s="325">
        <v>406</v>
      </c>
      <c r="M239" s="435">
        <v>304</v>
      </c>
    </row>
    <row r="240" spans="1:13" ht="14.25">
      <c r="B240" s="434" t="s">
        <v>16</v>
      </c>
      <c r="C240" s="325">
        <v>5200</v>
      </c>
      <c r="D240" s="325">
        <v>3900</v>
      </c>
      <c r="E240" s="325">
        <v>2872</v>
      </c>
      <c r="F240" s="325">
        <v>2194</v>
      </c>
      <c r="G240" s="325">
        <v>1646</v>
      </c>
      <c r="H240" s="325">
        <v>1234</v>
      </c>
      <c r="I240" s="325">
        <v>926</v>
      </c>
      <c r="J240" s="325">
        <v>694</v>
      </c>
      <c r="K240" s="325">
        <v>520</v>
      </c>
      <c r="L240" s="325">
        <v>390</v>
      </c>
      <c r="M240" s="435">
        <v>292</v>
      </c>
    </row>
    <row r="241" spans="1:13" ht="14.25">
      <c r="B241" s="434" t="s">
        <v>17</v>
      </c>
      <c r="C241" s="476" t="s">
        <v>18</v>
      </c>
      <c r="D241" s="477"/>
      <c r="E241" s="477"/>
      <c r="F241" s="477"/>
      <c r="G241" s="477"/>
      <c r="H241" s="477"/>
      <c r="I241" s="477"/>
      <c r="J241" s="477"/>
      <c r="K241" s="477"/>
      <c r="L241" s="477"/>
      <c r="M241" s="478"/>
    </row>
    <row r="242" spans="1:13" ht="14.25">
      <c r="B242" s="436"/>
      <c r="C242" s="436"/>
      <c r="D242" s="436"/>
      <c r="E242" s="436"/>
    </row>
    <row r="243" spans="1:13" ht="14.25">
      <c r="B243" s="431" t="s">
        <v>29</v>
      </c>
      <c r="C243" s="431"/>
      <c r="D243" s="431"/>
      <c r="E243" s="431"/>
    </row>
    <row r="244" spans="1:13" ht="14.25">
      <c r="B244" s="432" t="s">
        <v>2</v>
      </c>
      <c r="C244" s="433" t="s">
        <v>3</v>
      </c>
      <c r="D244" s="433" t="s">
        <v>4</v>
      </c>
      <c r="E244" s="433" t="s">
        <v>5</v>
      </c>
      <c r="F244" s="433" t="s">
        <v>6</v>
      </c>
      <c r="G244" s="433" t="s">
        <v>7</v>
      </c>
      <c r="H244" s="433" t="s">
        <v>8</v>
      </c>
      <c r="I244" s="433" t="s">
        <v>9</v>
      </c>
      <c r="J244" s="433" t="s">
        <v>10</v>
      </c>
      <c r="K244" s="433" t="s">
        <v>11</v>
      </c>
      <c r="L244" s="433" t="s">
        <v>12</v>
      </c>
      <c r="M244" s="432" t="s">
        <v>13</v>
      </c>
    </row>
    <row r="245" spans="1:13" ht="14.25">
      <c r="B245" s="434" t="s">
        <v>14</v>
      </c>
      <c r="C245" s="320">
        <v>8000</v>
      </c>
      <c r="D245" s="325">
        <v>6000</v>
      </c>
      <c r="E245" s="325">
        <v>4500</v>
      </c>
      <c r="F245" s="325">
        <v>3376</v>
      </c>
      <c r="G245" s="325">
        <v>2532</v>
      </c>
      <c r="H245" s="325">
        <v>1898</v>
      </c>
      <c r="I245" s="325">
        <v>1424</v>
      </c>
      <c r="J245" s="325">
        <v>1068</v>
      </c>
      <c r="K245" s="325">
        <v>800</v>
      </c>
      <c r="L245" s="325">
        <v>600</v>
      </c>
      <c r="M245" s="435">
        <v>450</v>
      </c>
    </row>
    <row r="246" spans="1:13" ht="14.25">
      <c r="B246" s="434" t="s">
        <v>15</v>
      </c>
      <c r="C246" s="325">
        <v>7800</v>
      </c>
      <c r="D246" s="325">
        <v>5850</v>
      </c>
      <c r="E246" s="325">
        <v>4388</v>
      </c>
      <c r="F246" s="325">
        <v>3290</v>
      </c>
      <c r="G246" s="325">
        <v>2468</v>
      </c>
      <c r="H246" s="325">
        <v>1850</v>
      </c>
      <c r="I246" s="325">
        <v>1388</v>
      </c>
      <c r="J246" s="325">
        <v>1042</v>
      </c>
      <c r="K246" s="325">
        <v>780</v>
      </c>
      <c r="L246" s="325">
        <v>586</v>
      </c>
      <c r="M246" s="435">
        <v>440</v>
      </c>
    </row>
    <row r="247" spans="1:13" ht="14.25">
      <c r="B247" s="434" t="s">
        <v>16</v>
      </c>
      <c r="C247" s="325">
        <v>7600</v>
      </c>
      <c r="D247" s="325">
        <v>5700</v>
      </c>
      <c r="E247" s="325">
        <v>4276</v>
      </c>
      <c r="F247" s="325">
        <v>3206</v>
      </c>
      <c r="G247" s="325">
        <v>2404</v>
      </c>
      <c r="H247" s="325">
        <v>1804</v>
      </c>
      <c r="I247" s="325">
        <v>1352</v>
      </c>
      <c r="J247" s="325">
        <v>1014</v>
      </c>
      <c r="K247" s="325">
        <v>760</v>
      </c>
      <c r="L247" s="325">
        <v>570</v>
      </c>
      <c r="M247" s="435">
        <v>428</v>
      </c>
    </row>
    <row r="248" spans="1:13" ht="14.25">
      <c r="B248" s="434" t="s">
        <v>17</v>
      </c>
      <c r="C248" s="476" t="s">
        <v>18</v>
      </c>
      <c r="D248" s="477"/>
      <c r="E248" s="477"/>
      <c r="F248" s="477"/>
      <c r="G248" s="477"/>
      <c r="H248" s="477"/>
      <c r="I248" s="477"/>
      <c r="J248" s="477"/>
      <c r="K248" s="477"/>
      <c r="L248" s="477"/>
      <c r="M248" s="478"/>
    </row>
    <row r="250" spans="1:13" ht="18">
      <c r="B250" s="438" t="s">
        <v>38</v>
      </c>
      <c r="C250" s="438"/>
      <c r="D250" s="438"/>
      <c r="E250" s="438"/>
    </row>
    <row r="251" spans="1:13" ht="30" customHeight="1">
      <c r="A251" s="437"/>
      <c r="B251" s="431" t="s">
        <v>39</v>
      </c>
      <c r="C251" s="431"/>
      <c r="D251" s="431"/>
      <c r="E251" s="431"/>
    </row>
    <row r="252" spans="1:13" ht="14.25">
      <c r="B252" s="432" t="s">
        <v>2</v>
      </c>
      <c r="C252" s="433" t="s">
        <v>3</v>
      </c>
      <c r="D252" s="433" t="s">
        <v>4</v>
      </c>
      <c r="E252" s="433" t="s">
        <v>5</v>
      </c>
      <c r="F252" s="433" t="s">
        <v>6</v>
      </c>
      <c r="G252" s="433" t="s">
        <v>7</v>
      </c>
      <c r="H252" s="433" t="s">
        <v>8</v>
      </c>
      <c r="I252" s="433" t="s">
        <v>9</v>
      </c>
      <c r="J252" s="433" t="s">
        <v>10</v>
      </c>
      <c r="K252" s="433" t="s">
        <v>11</v>
      </c>
      <c r="L252" s="433" t="s">
        <v>12</v>
      </c>
      <c r="M252" s="432" t="s">
        <v>13</v>
      </c>
    </row>
    <row r="253" spans="1:13" ht="14.25">
      <c r="B253" s="434" t="s">
        <v>14</v>
      </c>
      <c r="C253" s="320">
        <v>2652</v>
      </c>
      <c r="D253" s="325">
        <v>2122</v>
      </c>
      <c r="E253" s="325">
        <v>1724</v>
      </c>
      <c r="F253" s="325">
        <v>1592</v>
      </c>
      <c r="G253" s="325">
        <v>1326</v>
      </c>
      <c r="H253" s="325">
        <v>664</v>
      </c>
      <c r="I253" s="325">
        <v>266</v>
      </c>
      <c r="J253" s="325">
        <v>212</v>
      </c>
      <c r="K253" s="325">
        <v>160</v>
      </c>
      <c r="L253" s="325">
        <v>106</v>
      </c>
      <c r="M253" s="435">
        <v>92</v>
      </c>
    </row>
    <row r="254" spans="1:13" ht="14.25">
      <c r="B254" s="434" t="s">
        <v>15</v>
      </c>
      <c r="C254" s="325">
        <v>1856</v>
      </c>
      <c r="D254" s="325">
        <v>1484</v>
      </c>
      <c r="E254" s="325">
        <v>1206</v>
      </c>
      <c r="F254" s="325">
        <v>1114</v>
      </c>
      <c r="G254" s="325">
        <v>928</v>
      </c>
      <c r="H254" s="325">
        <v>464</v>
      </c>
      <c r="I254" s="325">
        <v>186</v>
      </c>
      <c r="J254" s="325">
        <v>148</v>
      </c>
      <c r="K254" s="325">
        <v>112</v>
      </c>
      <c r="L254" s="325">
        <v>74</v>
      </c>
      <c r="M254" s="435">
        <v>64</v>
      </c>
    </row>
    <row r="255" spans="1:13" ht="14.25">
      <c r="B255" s="434" t="s">
        <v>16</v>
      </c>
      <c r="C255" s="325">
        <v>1194</v>
      </c>
      <c r="D255" s="325">
        <v>956</v>
      </c>
      <c r="E255" s="325">
        <v>776</v>
      </c>
      <c r="F255" s="325">
        <v>716</v>
      </c>
      <c r="G255" s="325">
        <v>598</v>
      </c>
      <c r="H255" s="325">
        <v>298</v>
      </c>
      <c r="I255" s="325">
        <v>120</v>
      </c>
      <c r="J255" s="325">
        <v>96</v>
      </c>
      <c r="K255" s="325">
        <v>72</v>
      </c>
      <c r="L255" s="325">
        <v>48</v>
      </c>
      <c r="M255" s="435">
        <v>42</v>
      </c>
    </row>
    <row r="256" spans="1:13" ht="14.25">
      <c r="B256" s="434" t="s">
        <v>17</v>
      </c>
      <c r="C256" s="476" t="s">
        <v>18</v>
      </c>
      <c r="D256" s="477"/>
      <c r="E256" s="477"/>
      <c r="F256" s="477"/>
      <c r="G256" s="477"/>
      <c r="H256" s="477"/>
      <c r="I256" s="477"/>
      <c r="J256" s="477"/>
      <c r="K256" s="477"/>
      <c r="L256" s="477"/>
      <c r="M256" s="478"/>
    </row>
    <row r="257" spans="1:13" ht="14.25">
      <c r="B257" s="436"/>
      <c r="C257" s="436"/>
      <c r="D257" s="436"/>
      <c r="E257" s="436"/>
    </row>
    <row r="258" spans="1:13" ht="14.25">
      <c r="B258" s="431" t="s">
        <v>19</v>
      </c>
      <c r="C258" s="431"/>
      <c r="D258" s="431"/>
      <c r="E258" s="431"/>
    </row>
    <row r="259" spans="1:13" ht="14.25">
      <c r="B259" s="432" t="s">
        <v>2</v>
      </c>
      <c r="C259" s="433" t="s">
        <v>3</v>
      </c>
      <c r="D259" s="433" t="s">
        <v>4</v>
      </c>
      <c r="E259" s="433" t="s">
        <v>5</v>
      </c>
      <c r="F259" s="433" t="s">
        <v>6</v>
      </c>
      <c r="G259" s="433" t="s">
        <v>7</v>
      </c>
      <c r="H259" s="433" t="s">
        <v>8</v>
      </c>
      <c r="I259" s="433" t="s">
        <v>9</v>
      </c>
      <c r="J259" s="433" t="s">
        <v>10</v>
      </c>
      <c r="K259" s="433" t="s">
        <v>11</v>
      </c>
      <c r="L259" s="433" t="s">
        <v>12</v>
      </c>
      <c r="M259" s="432" t="s">
        <v>13</v>
      </c>
    </row>
    <row r="260" spans="1:13" ht="14.25">
      <c r="B260" s="434" t="s">
        <v>14</v>
      </c>
      <c r="C260" s="320">
        <v>2652</v>
      </c>
      <c r="D260" s="325">
        <v>2122</v>
      </c>
      <c r="E260" s="325">
        <v>1724</v>
      </c>
      <c r="F260" s="325">
        <v>1592</v>
      </c>
      <c r="G260" s="325">
        <v>1326</v>
      </c>
      <c r="H260" s="325">
        <v>664</v>
      </c>
      <c r="I260" s="325">
        <v>266</v>
      </c>
      <c r="J260" s="325">
        <v>212</v>
      </c>
      <c r="K260" s="325">
        <v>160</v>
      </c>
      <c r="L260" s="325">
        <v>106</v>
      </c>
      <c r="M260" s="435">
        <v>92</v>
      </c>
    </row>
    <row r="261" spans="1:13" ht="14.25">
      <c r="B261" s="434" t="s">
        <v>15</v>
      </c>
      <c r="C261" s="325">
        <v>1856</v>
      </c>
      <c r="D261" s="325">
        <v>1484</v>
      </c>
      <c r="E261" s="325">
        <v>1206</v>
      </c>
      <c r="F261" s="325">
        <v>1114</v>
      </c>
      <c r="G261" s="325">
        <v>928</v>
      </c>
      <c r="H261" s="325">
        <v>464</v>
      </c>
      <c r="I261" s="325">
        <v>186</v>
      </c>
      <c r="J261" s="325">
        <v>148</v>
      </c>
      <c r="K261" s="325">
        <v>112</v>
      </c>
      <c r="L261" s="325">
        <v>74</v>
      </c>
      <c r="M261" s="435">
        <v>64</v>
      </c>
    </row>
    <row r="262" spans="1:13" ht="14.25">
      <c r="B262" s="434" t="s">
        <v>16</v>
      </c>
      <c r="C262" s="325">
        <v>1194</v>
      </c>
      <c r="D262" s="325">
        <v>956</v>
      </c>
      <c r="E262" s="325">
        <v>776</v>
      </c>
      <c r="F262" s="325">
        <v>716</v>
      </c>
      <c r="G262" s="325">
        <v>598</v>
      </c>
      <c r="H262" s="325">
        <v>298</v>
      </c>
      <c r="I262" s="325">
        <v>120</v>
      </c>
      <c r="J262" s="325">
        <v>96</v>
      </c>
      <c r="K262" s="325">
        <v>72</v>
      </c>
      <c r="L262" s="325">
        <v>48</v>
      </c>
      <c r="M262" s="435">
        <v>42</v>
      </c>
    </row>
    <row r="263" spans="1:13" ht="14.25">
      <c r="B263" s="434" t="s">
        <v>17</v>
      </c>
      <c r="C263" s="476" t="s">
        <v>18</v>
      </c>
      <c r="D263" s="477"/>
      <c r="E263" s="477"/>
      <c r="F263" s="477"/>
      <c r="G263" s="477"/>
      <c r="H263" s="477"/>
      <c r="I263" s="477"/>
      <c r="J263" s="477"/>
      <c r="K263" s="477"/>
      <c r="L263" s="477"/>
      <c r="M263" s="478"/>
    </row>
    <row r="265" spans="1:13" ht="18">
      <c r="B265" s="438" t="s">
        <v>40</v>
      </c>
      <c r="C265" s="438"/>
      <c r="D265" s="438"/>
      <c r="E265" s="438"/>
    </row>
    <row r="266" spans="1:13" ht="30" customHeight="1">
      <c r="A266" s="437"/>
      <c r="B266" s="431" t="s">
        <v>39</v>
      </c>
      <c r="C266" s="431"/>
      <c r="D266" s="431"/>
      <c r="E266" s="431"/>
    </row>
    <row r="267" spans="1:13" ht="14.25">
      <c r="B267" s="432" t="s">
        <v>2</v>
      </c>
      <c r="C267" s="433" t="s">
        <v>3</v>
      </c>
      <c r="D267" s="433" t="s">
        <v>4</v>
      </c>
      <c r="E267" s="433" t="s">
        <v>5</v>
      </c>
      <c r="F267" s="433" t="s">
        <v>6</v>
      </c>
      <c r="G267" s="433" t="s">
        <v>7</v>
      </c>
      <c r="H267" s="433" t="s">
        <v>8</v>
      </c>
      <c r="I267" s="433" t="s">
        <v>9</v>
      </c>
      <c r="J267" s="433" t="s">
        <v>10</v>
      </c>
      <c r="K267" s="433" t="s">
        <v>11</v>
      </c>
      <c r="L267" s="433" t="s">
        <v>12</v>
      </c>
      <c r="M267" s="432" t="s">
        <v>13</v>
      </c>
    </row>
    <row r="268" spans="1:13" ht="14.25">
      <c r="B268" s="434" t="s">
        <v>14</v>
      </c>
      <c r="C268" s="320">
        <v>3126</v>
      </c>
      <c r="D268" s="325">
        <v>2346</v>
      </c>
      <c r="E268" s="325">
        <v>1758</v>
      </c>
      <c r="F268" s="325">
        <v>1320</v>
      </c>
      <c r="G268" s="325">
        <v>990</v>
      </c>
      <c r="H268" s="325">
        <v>742</v>
      </c>
      <c r="I268" s="325">
        <v>556</v>
      </c>
      <c r="J268" s="325">
        <v>418</v>
      </c>
      <c r="K268" s="325">
        <v>312</v>
      </c>
      <c r="L268" s="325">
        <v>236</v>
      </c>
      <c r="M268" s="435">
        <v>176</v>
      </c>
    </row>
    <row r="269" spans="1:13" ht="14.25">
      <c r="B269" s="434" t="s">
        <v>15</v>
      </c>
      <c r="C269" s="476" t="s">
        <v>18</v>
      </c>
      <c r="D269" s="477"/>
      <c r="E269" s="477"/>
      <c r="F269" s="477"/>
      <c r="G269" s="477"/>
      <c r="H269" s="477"/>
      <c r="I269" s="477"/>
      <c r="J269" s="477"/>
      <c r="K269" s="477"/>
      <c r="L269" s="477"/>
      <c r="M269" s="478"/>
    </row>
    <row r="270" spans="1:13" ht="14.25">
      <c r="B270" s="434" t="s">
        <v>16</v>
      </c>
      <c r="C270" s="476" t="s">
        <v>18</v>
      </c>
      <c r="D270" s="477"/>
      <c r="E270" s="477"/>
      <c r="F270" s="477"/>
      <c r="G270" s="477"/>
      <c r="H270" s="477"/>
      <c r="I270" s="477"/>
      <c r="J270" s="477"/>
      <c r="K270" s="477"/>
      <c r="L270" s="477"/>
      <c r="M270" s="478"/>
    </row>
    <row r="271" spans="1:13" ht="14.25">
      <c r="B271" s="434" t="s">
        <v>17</v>
      </c>
      <c r="C271" s="476" t="s">
        <v>18</v>
      </c>
      <c r="D271" s="477"/>
      <c r="E271" s="477"/>
      <c r="F271" s="477"/>
      <c r="G271" s="477"/>
      <c r="H271" s="477"/>
      <c r="I271" s="477"/>
      <c r="J271" s="477"/>
      <c r="K271" s="477"/>
      <c r="L271" s="477"/>
      <c r="M271" s="478"/>
    </row>
    <row r="272" spans="1:13" ht="14.25">
      <c r="B272" s="436"/>
      <c r="C272" s="436"/>
      <c r="D272" s="436"/>
      <c r="E272" s="436"/>
    </row>
    <row r="273" spans="1:13" ht="14.25">
      <c r="B273" s="431" t="s">
        <v>19</v>
      </c>
      <c r="C273" s="431"/>
      <c r="D273" s="431"/>
      <c r="E273" s="431"/>
    </row>
    <row r="274" spans="1:13" ht="14.25">
      <c r="B274" s="432" t="s">
        <v>2</v>
      </c>
      <c r="C274" s="433" t="s">
        <v>3</v>
      </c>
      <c r="D274" s="433" t="s">
        <v>4</v>
      </c>
      <c r="E274" s="433" t="s">
        <v>5</v>
      </c>
      <c r="F274" s="433" t="s">
        <v>6</v>
      </c>
      <c r="G274" s="433" t="s">
        <v>7</v>
      </c>
      <c r="H274" s="433" t="s">
        <v>8</v>
      </c>
      <c r="I274" s="433" t="s">
        <v>9</v>
      </c>
      <c r="J274" s="433" t="s">
        <v>10</v>
      </c>
      <c r="K274" s="433" t="s">
        <v>11</v>
      </c>
      <c r="L274" s="433" t="s">
        <v>12</v>
      </c>
      <c r="M274" s="432" t="s">
        <v>13</v>
      </c>
    </row>
    <row r="275" spans="1:13" ht="14.25">
      <c r="B275" s="434" t="s">
        <v>14</v>
      </c>
      <c r="C275" s="320">
        <v>5738</v>
      </c>
      <c r="D275" s="325">
        <v>4304</v>
      </c>
      <c r="E275" s="325">
        <v>3228</v>
      </c>
      <c r="F275" s="325">
        <v>2422</v>
      </c>
      <c r="G275" s="325">
        <v>1816</v>
      </c>
      <c r="H275" s="325">
        <v>1362</v>
      </c>
      <c r="I275" s="325">
        <v>1022</v>
      </c>
      <c r="J275" s="325">
        <v>766</v>
      </c>
      <c r="K275" s="325">
        <v>574</v>
      </c>
      <c r="L275" s="325">
        <v>432</v>
      </c>
      <c r="M275" s="435">
        <v>324</v>
      </c>
    </row>
    <row r="276" spans="1:13" ht="14.25">
      <c r="B276" s="434" t="s">
        <v>15</v>
      </c>
      <c r="C276" s="476" t="s">
        <v>18</v>
      </c>
      <c r="D276" s="477"/>
      <c r="E276" s="477"/>
      <c r="F276" s="477"/>
      <c r="G276" s="477"/>
      <c r="H276" s="477"/>
      <c r="I276" s="477"/>
      <c r="J276" s="477"/>
      <c r="K276" s="477"/>
      <c r="L276" s="477"/>
      <c r="M276" s="478"/>
    </row>
    <row r="277" spans="1:13" ht="14.25">
      <c r="B277" s="434" t="s">
        <v>16</v>
      </c>
      <c r="C277" s="476" t="s">
        <v>18</v>
      </c>
      <c r="D277" s="477"/>
      <c r="E277" s="477"/>
      <c r="F277" s="477"/>
      <c r="G277" s="477"/>
      <c r="H277" s="477"/>
      <c r="I277" s="477"/>
      <c r="J277" s="477"/>
      <c r="K277" s="477"/>
      <c r="L277" s="477"/>
      <c r="M277" s="478"/>
    </row>
    <row r="278" spans="1:13" ht="14.25">
      <c r="B278" s="434" t="s">
        <v>17</v>
      </c>
      <c r="C278" s="476" t="s">
        <v>18</v>
      </c>
      <c r="D278" s="477"/>
      <c r="E278" s="477"/>
      <c r="F278" s="477"/>
      <c r="G278" s="477"/>
      <c r="H278" s="477"/>
      <c r="I278" s="477"/>
      <c r="J278" s="477"/>
      <c r="K278" s="477"/>
      <c r="L278" s="477"/>
      <c r="M278" s="478"/>
    </row>
    <row r="279" spans="1:13" ht="14.25">
      <c r="B279" s="440"/>
      <c r="C279" s="441"/>
      <c r="D279" s="441"/>
      <c r="E279" s="441"/>
      <c r="F279" s="441"/>
      <c r="G279" s="441"/>
      <c r="H279" s="441"/>
      <c r="I279" s="441"/>
      <c r="J279" s="441"/>
      <c r="K279" s="441"/>
      <c r="L279" s="441"/>
      <c r="M279" s="441"/>
    </row>
    <row r="280" spans="1:13" ht="18">
      <c r="B280" s="438" t="s">
        <v>40</v>
      </c>
      <c r="C280" s="438"/>
      <c r="D280" s="438"/>
      <c r="E280" s="438"/>
    </row>
    <row r="281" spans="1:13" ht="30" customHeight="1">
      <c r="A281" s="437"/>
      <c r="B281" s="431" t="s">
        <v>39</v>
      </c>
      <c r="C281" s="431"/>
      <c r="D281" s="431"/>
      <c r="E281" s="431"/>
    </row>
    <row r="282" spans="1:13" ht="14.25">
      <c r="B282" s="432" t="s">
        <v>2</v>
      </c>
      <c r="C282" s="433" t="s">
        <v>3</v>
      </c>
      <c r="D282" s="433" t="s">
        <v>4</v>
      </c>
      <c r="E282" s="433" t="s">
        <v>5</v>
      </c>
      <c r="F282" s="433" t="s">
        <v>6</v>
      </c>
      <c r="G282" s="433" t="s">
        <v>7</v>
      </c>
      <c r="H282" s="433" t="s">
        <v>8</v>
      </c>
      <c r="I282" s="433" t="s">
        <v>9</v>
      </c>
      <c r="J282" s="433" t="s">
        <v>10</v>
      </c>
      <c r="K282" s="433" t="s">
        <v>11</v>
      </c>
      <c r="L282" s="433" t="s">
        <v>12</v>
      </c>
      <c r="M282" s="432" t="s">
        <v>13</v>
      </c>
    </row>
    <row r="283" spans="1:13" ht="14.25">
      <c r="B283" s="434" t="s">
        <v>14</v>
      </c>
      <c r="C283" s="320">
        <v>2000</v>
      </c>
      <c r="D283" s="325">
        <v>1500</v>
      </c>
      <c r="E283" s="325">
        <v>1126</v>
      </c>
      <c r="F283" s="325">
        <v>844</v>
      </c>
      <c r="G283" s="325">
        <v>632</v>
      </c>
      <c r="H283" s="325">
        <v>474</v>
      </c>
      <c r="I283" s="325">
        <v>356</v>
      </c>
      <c r="J283" s="325">
        <v>266</v>
      </c>
      <c r="K283" s="325">
        <v>200</v>
      </c>
      <c r="L283" s="325">
        <v>150</v>
      </c>
      <c r="M283" s="435">
        <v>112</v>
      </c>
    </row>
    <row r="284" spans="1:13" ht="14.25">
      <c r="B284" s="434" t="s">
        <v>15</v>
      </c>
      <c r="C284" s="320">
        <v>1400</v>
      </c>
      <c r="D284" s="325">
        <v>1050</v>
      </c>
      <c r="E284" s="325">
        <v>788</v>
      </c>
      <c r="F284" s="325">
        <v>590</v>
      </c>
      <c r="G284" s="325">
        <v>442</v>
      </c>
      <c r="H284" s="325">
        <v>332</v>
      </c>
      <c r="I284" s="325">
        <v>250</v>
      </c>
      <c r="J284" s="325">
        <v>186</v>
      </c>
      <c r="K284" s="325">
        <v>140</v>
      </c>
      <c r="L284" s="325">
        <v>106</v>
      </c>
      <c r="M284" s="435">
        <v>78</v>
      </c>
    </row>
    <row r="285" spans="1:13" ht="14.25">
      <c r="B285" s="434" t="s">
        <v>16</v>
      </c>
      <c r="C285" s="476" t="s">
        <v>18</v>
      </c>
      <c r="D285" s="477"/>
      <c r="E285" s="477"/>
      <c r="F285" s="477"/>
      <c r="G285" s="477"/>
      <c r="H285" s="477"/>
      <c r="I285" s="477"/>
      <c r="J285" s="477"/>
      <c r="K285" s="477"/>
      <c r="L285" s="477"/>
      <c r="M285" s="478"/>
    </row>
    <row r="286" spans="1:13" ht="14.25">
      <c r="B286" s="434" t="s">
        <v>17</v>
      </c>
      <c r="C286" s="476" t="s">
        <v>18</v>
      </c>
      <c r="D286" s="477"/>
      <c r="E286" s="477"/>
      <c r="F286" s="477"/>
      <c r="G286" s="477"/>
      <c r="H286" s="477"/>
      <c r="I286" s="477"/>
      <c r="J286" s="477"/>
      <c r="K286" s="477"/>
      <c r="L286" s="477"/>
      <c r="M286" s="478"/>
    </row>
    <row r="287" spans="1:13" ht="14.25">
      <c r="B287" s="436"/>
      <c r="C287" s="436"/>
      <c r="D287" s="436"/>
      <c r="E287" s="436"/>
    </row>
    <row r="288" spans="1:13" ht="14.25">
      <c r="B288" s="431" t="s">
        <v>19</v>
      </c>
      <c r="C288" s="431"/>
      <c r="D288" s="431"/>
      <c r="E288" s="431"/>
    </row>
    <row r="289" spans="1:13" ht="14.25">
      <c r="B289" s="432" t="s">
        <v>2</v>
      </c>
      <c r="C289" s="433" t="s">
        <v>3</v>
      </c>
      <c r="D289" s="433" t="s">
        <v>4</v>
      </c>
      <c r="E289" s="433" t="s">
        <v>5</v>
      </c>
      <c r="F289" s="433" t="s">
        <v>6</v>
      </c>
      <c r="G289" s="433" t="s">
        <v>7</v>
      </c>
      <c r="H289" s="433" t="s">
        <v>8</v>
      </c>
      <c r="I289" s="433" t="s">
        <v>9</v>
      </c>
      <c r="J289" s="433" t="s">
        <v>10</v>
      </c>
      <c r="K289" s="433" t="s">
        <v>11</v>
      </c>
      <c r="L289" s="433" t="s">
        <v>12</v>
      </c>
      <c r="M289" s="432" t="s">
        <v>13</v>
      </c>
    </row>
    <row r="290" spans="1:13" ht="14.25">
      <c r="B290" s="434" t="s">
        <v>14</v>
      </c>
      <c r="C290" s="320">
        <v>2600</v>
      </c>
      <c r="D290" s="325">
        <v>1950</v>
      </c>
      <c r="E290" s="325">
        <v>1462</v>
      </c>
      <c r="F290" s="325">
        <v>1096</v>
      </c>
      <c r="G290" s="325">
        <v>822</v>
      </c>
      <c r="H290" s="325">
        <v>616</v>
      </c>
      <c r="I290" s="325">
        <v>462</v>
      </c>
      <c r="J290" s="325">
        <v>348</v>
      </c>
      <c r="K290" s="325">
        <v>260</v>
      </c>
      <c r="L290" s="325">
        <v>196</v>
      </c>
      <c r="M290" s="435">
        <v>146</v>
      </c>
    </row>
    <row r="291" spans="1:13" ht="14.25">
      <c r="B291" s="434" t="s">
        <v>15</v>
      </c>
      <c r="C291" s="320">
        <v>2000</v>
      </c>
      <c r="D291" s="325">
        <v>1500</v>
      </c>
      <c r="E291" s="325">
        <v>1126</v>
      </c>
      <c r="F291" s="325">
        <v>844</v>
      </c>
      <c r="G291" s="325">
        <v>632</v>
      </c>
      <c r="H291" s="325">
        <v>474</v>
      </c>
      <c r="I291" s="325">
        <v>356</v>
      </c>
      <c r="J291" s="325">
        <v>266</v>
      </c>
      <c r="K291" s="325">
        <v>200</v>
      </c>
      <c r="L291" s="325">
        <v>150</v>
      </c>
      <c r="M291" s="435">
        <v>112</v>
      </c>
    </row>
    <row r="292" spans="1:13" ht="14.25">
      <c r="B292" s="434" t="s">
        <v>16</v>
      </c>
      <c r="C292" s="476" t="s">
        <v>18</v>
      </c>
      <c r="D292" s="477"/>
      <c r="E292" s="477"/>
      <c r="F292" s="477"/>
      <c r="G292" s="477"/>
      <c r="H292" s="477"/>
      <c r="I292" s="477"/>
      <c r="J292" s="477"/>
      <c r="K292" s="477"/>
      <c r="L292" s="477"/>
      <c r="M292" s="478"/>
    </row>
    <row r="293" spans="1:13" ht="14.25">
      <c r="B293" s="434" t="s">
        <v>17</v>
      </c>
      <c r="C293" s="476" t="s">
        <v>18</v>
      </c>
      <c r="D293" s="477"/>
      <c r="E293" s="477"/>
      <c r="F293" s="477"/>
      <c r="G293" s="477"/>
      <c r="H293" s="477"/>
      <c r="I293" s="477"/>
      <c r="J293" s="477"/>
      <c r="K293" s="477"/>
      <c r="L293" s="477"/>
      <c r="M293" s="478"/>
    </row>
    <row r="294" spans="1:13" ht="14.25">
      <c r="B294" s="440"/>
      <c r="C294" s="441"/>
      <c r="D294" s="441"/>
      <c r="E294" s="441"/>
      <c r="F294" s="441"/>
      <c r="G294" s="441"/>
      <c r="H294" s="441"/>
      <c r="I294" s="441"/>
      <c r="J294" s="441"/>
      <c r="K294" s="441"/>
      <c r="L294" s="441"/>
      <c r="M294" s="441"/>
    </row>
    <row r="295" spans="1:13" ht="18">
      <c r="B295" s="438" t="s">
        <v>41</v>
      </c>
      <c r="C295" s="438"/>
      <c r="D295" s="438"/>
      <c r="E295" s="438"/>
    </row>
    <row r="296" spans="1:13" ht="30" customHeight="1">
      <c r="A296" s="437"/>
      <c r="B296" s="431" t="s">
        <v>39</v>
      </c>
      <c r="C296" s="431"/>
      <c r="D296" s="431"/>
      <c r="E296" s="431"/>
    </row>
    <row r="297" spans="1:13" ht="14.25">
      <c r="B297" s="432" t="s">
        <v>2</v>
      </c>
      <c r="C297" s="433" t="s">
        <v>3</v>
      </c>
      <c r="D297" s="433" t="s">
        <v>4</v>
      </c>
      <c r="E297" s="433" t="s">
        <v>5</v>
      </c>
      <c r="F297" s="433" t="s">
        <v>6</v>
      </c>
      <c r="G297" s="433" t="s">
        <v>7</v>
      </c>
      <c r="H297" s="433" t="s">
        <v>8</v>
      </c>
      <c r="I297" s="433" t="s">
        <v>9</v>
      </c>
      <c r="J297" s="433" t="s">
        <v>10</v>
      </c>
      <c r="K297" s="433" t="s">
        <v>11</v>
      </c>
      <c r="L297" s="433" t="s">
        <v>12</v>
      </c>
      <c r="M297" s="432" t="s">
        <v>13</v>
      </c>
    </row>
    <row r="298" spans="1:13" ht="14.25">
      <c r="B298" s="434" t="s">
        <v>14</v>
      </c>
      <c r="C298" s="320">
        <v>2500</v>
      </c>
      <c r="D298" s="325">
        <v>1876</v>
      </c>
      <c r="E298" s="325">
        <v>1406</v>
      </c>
      <c r="F298" s="325">
        <v>1054</v>
      </c>
      <c r="G298" s="325">
        <v>792</v>
      </c>
      <c r="H298" s="325">
        <v>594</v>
      </c>
      <c r="I298" s="325">
        <v>444</v>
      </c>
      <c r="J298" s="325">
        <v>334</v>
      </c>
      <c r="K298" s="325">
        <v>250</v>
      </c>
      <c r="L298" s="325">
        <v>188</v>
      </c>
      <c r="M298" s="435">
        <v>140</v>
      </c>
    </row>
    <row r="299" spans="1:13" ht="14.25">
      <c r="B299" s="434" t="s">
        <v>15</v>
      </c>
      <c r="C299" s="320">
        <v>2000</v>
      </c>
      <c r="D299" s="325">
        <v>1500</v>
      </c>
      <c r="E299" s="325">
        <v>1126</v>
      </c>
      <c r="F299" s="325">
        <v>844</v>
      </c>
      <c r="G299" s="325">
        <v>632</v>
      </c>
      <c r="H299" s="325">
        <v>474</v>
      </c>
      <c r="I299" s="325">
        <v>356</v>
      </c>
      <c r="J299" s="325">
        <v>266</v>
      </c>
      <c r="K299" s="325">
        <v>200</v>
      </c>
      <c r="L299" s="325">
        <v>150</v>
      </c>
      <c r="M299" s="435">
        <v>112</v>
      </c>
    </row>
    <row r="300" spans="1:13" ht="14.25">
      <c r="B300" s="434" t="s">
        <v>16</v>
      </c>
      <c r="C300" s="476" t="s">
        <v>18</v>
      </c>
      <c r="D300" s="477"/>
      <c r="E300" s="477"/>
      <c r="F300" s="477"/>
      <c r="G300" s="477"/>
      <c r="H300" s="477"/>
      <c r="I300" s="477"/>
      <c r="J300" s="477"/>
      <c r="K300" s="477"/>
      <c r="L300" s="477"/>
      <c r="M300" s="478"/>
    </row>
    <row r="301" spans="1:13" ht="14.25">
      <c r="B301" s="434" t="s">
        <v>17</v>
      </c>
      <c r="C301" s="476" t="s">
        <v>18</v>
      </c>
      <c r="D301" s="477"/>
      <c r="E301" s="477"/>
      <c r="F301" s="477"/>
      <c r="G301" s="477"/>
      <c r="H301" s="477"/>
      <c r="I301" s="477"/>
      <c r="J301" s="477"/>
      <c r="K301" s="477"/>
      <c r="L301" s="477"/>
      <c r="M301" s="478"/>
    </row>
    <row r="302" spans="1:13" ht="14.25">
      <c r="B302" s="436"/>
      <c r="C302" s="436"/>
      <c r="D302" s="436"/>
      <c r="E302" s="436"/>
    </row>
    <row r="303" spans="1:13" ht="14.25">
      <c r="B303" s="431" t="s">
        <v>19</v>
      </c>
      <c r="C303" s="431"/>
      <c r="D303" s="431"/>
      <c r="E303" s="431"/>
    </row>
    <row r="304" spans="1:13" ht="14.25">
      <c r="B304" s="432" t="s">
        <v>2</v>
      </c>
      <c r="C304" s="433" t="s">
        <v>3</v>
      </c>
      <c r="D304" s="433" t="s">
        <v>4</v>
      </c>
      <c r="E304" s="433" t="s">
        <v>5</v>
      </c>
      <c r="F304" s="433" t="s">
        <v>6</v>
      </c>
      <c r="G304" s="433" t="s">
        <v>7</v>
      </c>
      <c r="H304" s="433" t="s">
        <v>8</v>
      </c>
      <c r="I304" s="433" t="s">
        <v>9</v>
      </c>
      <c r="J304" s="433" t="s">
        <v>10</v>
      </c>
      <c r="K304" s="433" t="s">
        <v>11</v>
      </c>
      <c r="L304" s="433" t="s">
        <v>12</v>
      </c>
      <c r="M304" s="432" t="s">
        <v>13</v>
      </c>
    </row>
    <row r="305" spans="1:13" ht="14.25">
      <c r="B305" s="434" t="s">
        <v>14</v>
      </c>
      <c r="C305" s="320">
        <v>3400</v>
      </c>
      <c r="D305" s="325">
        <v>2550</v>
      </c>
      <c r="E305" s="325">
        <v>1912</v>
      </c>
      <c r="F305" s="325">
        <v>1434</v>
      </c>
      <c r="G305" s="325">
        <v>1076</v>
      </c>
      <c r="H305" s="325">
        <v>806</v>
      </c>
      <c r="I305" s="325">
        <v>606</v>
      </c>
      <c r="J305" s="325">
        <v>454</v>
      </c>
      <c r="K305" s="325">
        <v>340</v>
      </c>
      <c r="L305" s="325">
        <v>256</v>
      </c>
      <c r="M305" s="435">
        <v>192</v>
      </c>
    </row>
    <row r="306" spans="1:13" ht="14.25">
      <c r="B306" s="434" t="s">
        <v>15</v>
      </c>
      <c r="C306" s="320">
        <v>2600</v>
      </c>
      <c r="D306" s="325">
        <v>1950</v>
      </c>
      <c r="E306" s="325">
        <v>1462</v>
      </c>
      <c r="F306" s="325">
        <v>1096</v>
      </c>
      <c r="G306" s="325">
        <v>822</v>
      </c>
      <c r="H306" s="325">
        <v>616</v>
      </c>
      <c r="I306" s="325">
        <v>462</v>
      </c>
      <c r="J306" s="325">
        <v>348</v>
      </c>
      <c r="K306" s="325">
        <v>260</v>
      </c>
      <c r="L306" s="325">
        <v>196</v>
      </c>
      <c r="M306" s="435">
        <v>146</v>
      </c>
    </row>
    <row r="307" spans="1:13" ht="14.25">
      <c r="B307" s="434" t="s">
        <v>16</v>
      </c>
      <c r="C307" s="476" t="s">
        <v>18</v>
      </c>
      <c r="D307" s="477"/>
      <c r="E307" s="477"/>
      <c r="F307" s="477"/>
      <c r="G307" s="477"/>
      <c r="H307" s="477"/>
      <c r="I307" s="477"/>
      <c r="J307" s="477"/>
      <c r="K307" s="477"/>
      <c r="L307" s="477"/>
      <c r="M307" s="478"/>
    </row>
    <row r="308" spans="1:13" ht="14.25">
      <c r="B308" s="434" t="s">
        <v>17</v>
      </c>
      <c r="C308" s="476" t="s">
        <v>18</v>
      </c>
      <c r="D308" s="477"/>
      <c r="E308" s="477"/>
      <c r="F308" s="477"/>
      <c r="G308" s="477"/>
      <c r="H308" s="477"/>
      <c r="I308" s="477"/>
      <c r="J308" s="477"/>
      <c r="K308" s="477"/>
      <c r="L308" s="477"/>
      <c r="M308" s="478"/>
    </row>
    <row r="309" spans="1:13" ht="14.25">
      <c r="B309" s="440"/>
      <c r="C309" s="441"/>
      <c r="D309" s="441"/>
      <c r="E309" s="441"/>
      <c r="F309" s="441"/>
      <c r="G309" s="441"/>
      <c r="H309" s="441"/>
      <c r="I309" s="441"/>
      <c r="J309" s="441"/>
      <c r="K309" s="441"/>
      <c r="L309" s="441"/>
      <c r="M309" s="441"/>
    </row>
    <row r="310" spans="1:13" ht="18">
      <c r="B310" s="438" t="s">
        <v>42</v>
      </c>
      <c r="C310" s="438"/>
      <c r="D310" s="438"/>
      <c r="E310" s="438"/>
    </row>
    <row r="311" spans="1:13" ht="30" customHeight="1">
      <c r="A311" s="437"/>
      <c r="B311" s="431" t="s">
        <v>39</v>
      </c>
      <c r="C311" s="431"/>
      <c r="D311" s="431"/>
      <c r="E311" s="431"/>
    </row>
    <row r="312" spans="1:13" ht="14.25">
      <c r="B312" s="432" t="s">
        <v>2</v>
      </c>
      <c r="C312" s="433" t="s">
        <v>3</v>
      </c>
      <c r="D312" s="433" t="s">
        <v>4</v>
      </c>
      <c r="E312" s="433" t="s">
        <v>5</v>
      </c>
      <c r="F312" s="433" t="s">
        <v>6</v>
      </c>
      <c r="G312" s="433" t="s">
        <v>7</v>
      </c>
      <c r="H312" s="433" t="s">
        <v>8</v>
      </c>
      <c r="I312" s="433" t="s">
        <v>9</v>
      </c>
      <c r="J312" s="433" t="s">
        <v>10</v>
      </c>
      <c r="K312" s="433" t="s">
        <v>11</v>
      </c>
      <c r="L312" s="433" t="s">
        <v>12</v>
      </c>
      <c r="M312" s="432" t="s">
        <v>13</v>
      </c>
    </row>
    <row r="313" spans="1:13" ht="14.25">
      <c r="B313" s="434" t="s">
        <v>14</v>
      </c>
      <c r="C313" s="320">
        <v>2400</v>
      </c>
      <c r="D313" s="325">
        <v>1800</v>
      </c>
      <c r="E313" s="325">
        <v>1352</v>
      </c>
      <c r="F313" s="325">
        <v>1012</v>
      </c>
      <c r="G313" s="325">
        <v>760</v>
      </c>
      <c r="H313" s="325">
        <v>568</v>
      </c>
      <c r="I313" s="325">
        <v>428</v>
      </c>
      <c r="J313" s="325">
        <v>320</v>
      </c>
      <c r="K313" s="325">
        <v>240</v>
      </c>
      <c r="L313" s="325">
        <v>120</v>
      </c>
      <c r="M313" s="435">
        <v>60</v>
      </c>
    </row>
    <row r="314" spans="1:13" ht="14.25">
      <c r="B314" s="434" t="s">
        <v>15</v>
      </c>
      <c r="C314" s="320">
        <v>1896</v>
      </c>
      <c r="D314" s="325">
        <v>1424</v>
      </c>
      <c r="E314" s="325">
        <v>1068</v>
      </c>
      <c r="F314" s="325">
        <v>800</v>
      </c>
      <c r="G314" s="325">
        <v>600</v>
      </c>
      <c r="H314" s="325">
        <v>448</v>
      </c>
      <c r="I314" s="325">
        <v>336</v>
      </c>
      <c r="J314" s="325">
        <v>252</v>
      </c>
      <c r="K314" s="325">
        <v>188</v>
      </c>
      <c r="L314" s="325">
        <v>96</v>
      </c>
      <c r="M314" s="435">
        <v>0</v>
      </c>
    </row>
    <row r="315" spans="1:13" ht="14.25">
      <c r="B315" s="434" t="s">
        <v>16</v>
      </c>
      <c r="C315" s="320">
        <v>1824</v>
      </c>
      <c r="D315" s="325">
        <v>1368</v>
      </c>
      <c r="E315" s="325">
        <v>1028</v>
      </c>
      <c r="F315" s="325">
        <v>768</v>
      </c>
      <c r="G315" s="325">
        <v>576</v>
      </c>
      <c r="H315" s="325">
        <v>432</v>
      </c>
      <c r="I315" s="325">
        <v>324</v>
      </c>
      <c r="J315" s="325">
        <v>244</v>
      </c>
      <c r="K315" s="325">
        <v>184</v>
      </c>
      <c r="L315" s="325">
        <v>92</v>
      </c>
      <c r="M315" s="435">
        <v>0</v>
      </c>
    </row>
    <row r="316" spans="1:13" ht="14.25">
      <c r="B316" s="434" t="s">
        <v>17</v>
      </c>
      <c r="C316" s="476" t="s">
        <v>18</v>
      </c>
      <c r="D316" s="477"/>
      <c r="E316" s="477"/>
      <c r="F316" s="477"/>
      <c r="G316" s="477"/>
      <c r="H316" s="477"/>
      <c r="I316" s="477"/>
      <c r="J316" s="477"/>
      <c r="K316" s="477"/>
      <c r="L316" s="477"/>
      <c r="M316" s="478"/>
    </row>
    <row r="317" spans="1:13" ht="14.25">
      <c r="B317" s="436"/>
      <c r="C317" s="436"/>
      <c r="D317" s="436"/>
      <c r="E317" s="436"/>
    </row>
    <row r="318" spans="1:13" ht="14.25">
      <c r="B318" s="431" t="s">
        <v>19</v>
      </c>
      <c r="C318" s="431"/>
      <c r="D318" s="431"/>
      <c r="E318" s="431"/>
    </row>
    <row r="319" spans="1:13" ht="14.25">
      <c r="B319" s="432" t="s">
        <v>2</v>
      </c>
      <c r="C319" s="433" t="s">
        <v>3</v>
      </c>
      <c r="D319" s="433" t="s">
        <v>4</v>
      </c>
      <c r="E319" s="433" t="s">
        <v>5</v>
      </c>
      <c r="F319" s="433" t="s">
        <v>6</v>
      </c>
      <c r="G319" s="433" t="s">
        <v>7</v>
      </c>
      <c r="H319" s="433" t="s">
        <v>8</v>
      </c>
      <c r="I319" s="433" t="s">
        <v>9</v>
      </c>
      <c r="J319" s="433" t="s">
        <v>10</v>
      </c>
      <c r="K319" s="433" t="s">
        <v>11</v>
      </c>
      <c r="L319" s="433" t="s">
        <v>12</v>
      </c>
      <c r="M319" s="432" t="s">
        <v>13</v>
      </c>
    </row>
    <row r="320" spans="1:13" ht="14.25">
      <c r="B320" s="434" t="s">
        <v>14</v>
      </c>
      <c r="C320" s="320">
        <v>4350</v>
      </c>
      <c r="D320" s="325">
        <v>3264</v>
      </c>
      <c r="E320" s="325">
        <v>2448</v>
      </c>
      <c r="F320" s="325">
        <v>1836</v>
      </c>
      <c r="G320" s="325">
        <v>1374</v>
      </c>
      <c r="H320" s="325">
        <v>1032</v>
      </c>
      <c r="I320" s="325">
        <v>774</v>
      </c>
      <c r="J320" s="325">
        <v>582</v>
      </c>
      <c r="K320" s="325">
        <v>438</v>
      </c>
      <c r="L320" s="325">
        <v>216</v>
      </c>
      <c r="M320" s="435">
        <v>108</v>
      </c>
    </row>
    <row r="321" spans="1:13" ht="14.25">
      <c r="B321" s="434" t="s">
        <v>15</v>
      </c>
      <c r="C321" s="320">
        <v>3912</v>
      </c>
      <c r="D321" s="325">
        <v>2934</v>
      </c>
      <c r="E321" s="325">
        <v>2202</v>
      </c>
      <c r="F321" s="325">
        <v>1650</v>
      </c>
      <c r="G321" s="325">
        <v>1236</v>
      </c>
      <c r="H321" s="325">
        <v>930</v>
      </c>
      <c r="I321" s="325">
        <v>696</v>
      </c>
      <c r="J321" s="325">
        <v>522</v>
      </c>
      <c r="K321" s="325">
        <v>390</v>
      </c>
      <c r="L321" s="325">
        <v>198</v>
      </c>
      <c r="M321" s="435">
        <v>96</v>
      </c>
    </row>
    <row r="322" spans="1:13" ht="14.25">
      <c r="B322" s="434" t="s">
        <v>16</v>
      </c>
      <c r="C322" s="320">
        <v>2508</v>
      </c>
      <c r="D322" s="325">
        <v>1884</v>
      </c>
      <c r="E322" s="325">
        <v>1410</v>
      </c>
      <c r="F322" s="325">
        <v>1056</v>
      </c>
      <c r="G322" s="325">
        <v>792</v>
      </c>
      <c r="H322" s="325">
        <v>594</v>
      </c>
      <c r="I322" s="325">
        <v>444</v>
      </c>
      <c r="J322" s="325">
        <v>336</v>
      </c>
      <c r="K322" s="325">
        <v>252</v>
      </c>
      <c r="L322" s="325">
        <v>126</v>
      </c>
      <c r="M322" s="435">
        <v>60</v>
      </c>
    </row>
    <row r="323" spans="1:13" ht="14.25">
      <c r="B323" s="434" t="s">
        <v>17</v>
      </c>
      <c r="C323" s="476" t="s">
        <v>18</v>
      </c>
      <c r="D323" s="477"/>
      <c r="E323" s="477"/>
      <c r="F323" s="477"/>
      <c r="G323" s="477"/>
      <c r="H323" s="477"/>
      <c r="I323" s="477"/>
      <c r="J323" s="477"/>
      <c r="K323" s="477"/>
      <c r="L323" s="477"/>
      <c r="M323" s="478"/>
    </row>
    <row r="324" spans="1:13" ht="14.25">
      <c r="B324" s="440"/>
      <c r="C324" s="441"/>
      <c r="D324" s="441"/>
      <c r="E324" s="441"/>
      <c r="F324" s="441"/>
      <c r="G324" s="441"/>
      <c r="H324" s="441"/>
      <c r="I324" s="441"/>
      <c r="J324" s="441"/>
      <c r="K324" s="441"/>
      <c r="L324" s="441"/>
      <c r="M324" s="441"/>
    </row>
    <row r="325" spans="1:13" ht="18">
      <c r="B325" s="430" t="s">
        <v>43</v>
      </c>
      <c r="C325" s="430"/>
      <c r="D325" s="430"/>
      <c r="E325" s="430"/>
    </row>
    <row r="326" spans="1:13" ht="30" customHeight="1">
      <c r="A326" s="437"/>
      <c r="B326" s="431" t="s">
        <v>39</v>
      </c>
      <c r="C326" s="431"/>
      <c r="D326" s="431"/>
      <c r="E326" s="431"/>
    </row>
    <row r="327" spans="1:13" ht="14.25">
      <c r="B327" s="432" t="s">
        <v>2</v>
      </c>
      <c r="C327" s="433" t="s">
        <v>3</v>
      </c>
      <c r="D327" s="433" t="s">
        <v>4</v>
      </c>
      <c r="E327" s="433" t="s">
        <v>5</v>
      </c>
      <c r="F327" s="433" t="s">
        <v>6</v>
      </c>
      <c r="G327" s="433" t="s">
        <v>7</v>
      </c>
      <c r="H327" s="433" t="s">
        <v>8</v>
      </c>
      <c r="I327" s="433" t="s">
        <v>9</v>
      </c>
      <c r="J327" s="433" t="s">
        <v>10</v>
      </c>
      <c r="K327" s="433" t="s">
        <v>11</v>
      </c>
      <c r="L327" s="433" t="s">
        <v>12</v>
      </c>
      <c r="M327" s="432" t="s">
        <v>13</v>
      </c>
    </row>
    <row r="328" spans="1:13" ht="14.25">
      <c r="B328" s="434" t="s">
        <v>14</v>
      </c>
      <c r="C328" s="320">
        <v>10625</v>
      </c>
      <c r="D328" s="325">
        <v>7970</v>
      </c>
      <c r="E328" s="325">
        <v>5980</v>
      </c>
      <c r="F328" s="325">
        <v>4487.5</v>
      </c>
      <c r="G328" s="325">
        <v>3367.5</v>
      </c>
      <c r="H328" s="325">
        <v>2525</v>
      </c>
      <c r="I328" s="325">
        <v>1895</v>
      </c>
      <c r="J328" s="325">
        <v>1422.5</v>
      </c>
      <c r="K328" s="325">
        <v>1067.5</v>
      </c>
      <c r="L328" s="325">
        <v>800</v>
      </c>
      <c r="M328" s="435">
        <v>600</v>
      </c>
    </row>
    <row r="329" spans="1:13" ht="14.25">
      <c r="B329" s="434" t="s">
        <v>15</v>
      </c>
      <c r="C329" s="325">
        <v>6375</v>
      </c>
      <c r="D329" s="325">
        <v>4782.5</v>
      </c>
      <c r="E329" s="325">
        <v>3590</v>
      </c>
      <c r="F329" s="325">
        <v>2692.5</v>
      </c>
      <c r="G329" s="325">
        <v>2020</v>
      </c>
      <c r="H329" s="325">
        <v>1515</v>
      </c>
      <c r="I329" s="325">
        <v>1137.5</v>
      </c>
      <c r="J329" s="325">
        <v>852.5</v>
      </c>
      <c r="K329" s="325">
        <v>640</v>
      </c>
      <c r="L329" s="325">
        <v>480</v>
      </c>
      <c r="M329" s="435">
        <v>360</v>
      </c>
    </row>
    <row r="330" spans="1:13" ht="14.25">
      <c r="B330" s="434" t="s">
        <v>16</v>
      </c>
      <c r="C330" s="325">
        <v>3825</v>
      </c>
      <c r="D330" s="325">
        <v>2870</v>
      </c>
      <c r="E330" s="325">
        <v>2152.5</v>
      </c>
      <c r="F330" s="325">
        <v>1615</v>
      </c>
      <c r="G330" s="325">
        <v>1212.5</v>
      </c>
      <c r="H330" s="325">
        <v>910</v>
      </c>
      <c r="I330" s="325">
        <v>682.5</v>
      </c>
      <c r="J330" s="325">
        <v>512.5</v>
      </c>
      <c r="K330" s="325">
        <v>385</v>
      </c>
      <c r="L330" s="325">
        <v>287.5</v>
      </c>
      <c r="M330" s="435">
        <v>217.5</v>
      </c>
    </row>
    <row r="331" spans="1:13" ht="14.25">
      <c r="B331" s="434" t="s">
        <v>17</v>
      </c>
      <c r="C331" s="435">
        <v>2295</v>
      </c>
      <c r="D331" s="435">
        <v>1722.5</v>
      </c>
      <c r="E331" s="435">
        <v>1292.5</v>
      </c>
      <c r="F331" s="435">
        <v>970</v>
      </c>
      <c r="G331" s="435">
        <v>727.5</v>
      </c>
      <c r="H331" s="435">
        <v>545</v>
      </c>
      <c r="I331" s="435">
        <v>410</v>
      </c>
      <c r="J331" s="435">
        <v>307.5</v>
      </c>
      <c r="K331" s="435">
        <v>230</v>
      </c>
      <c r="L331" s="435">
        <v>172.5</v>
      </c>
      <c r="M331" s="435">
        <v>130</v>
      </c>
    </row>
    <row r="332" spans="1:13" ht="14.25">
      <c r="B332" s="436"/>
      <c r="C332" s="436"/>
      <c r="D332" s="436"/>
      <c r="E332" s="436"/>
    </row>
    <row r="333" spans="1:13" ht="14.25">
      <c r="B333" s="431" t="s">
        <v>44</v>
      </c>
      <c r="C333" s="431"/>
      <c r="D333" s="431"/>
      <c r="E333" s="431"/>
    </row>
    <row r="334" spans="1:13" ht="14.25">
      <c r="B334" s="432" t="s">
        <v>2</v>
      </c>
      <c r="C334" s="433" t="s">
        <v>3</v>
      </c>
      <c r="D334" s="433" t="s">
        <v>4</v>
      </c>
      <c r="E334" s="433" t="s">
        <v>5</v>
      </c>
      <c r="F334" s="433" t="s">
        <v>6</v>
      </c>
      <c r="G334" s="433" t="s">
        <v>7</v>
      </c>
      <c r="H334" s="433" t="s">
        <v>8</v>
      </c>
      <c r="I334" s="433" t="s">
        <v>9</v>
      </c>
      <c r="J334" s="433" t="s">
        <v>10</v>
      </c>
      <c r="K334" s="433" t="s">
        <v>11</v>
      </c>
      <c r="L334" s="433" t="s">
        <v>12</v>
      </c>
      <c r="M334" s="432" t="s">
        <v>13</v>
      </c>
    </row>
    <row r="335" spans="1:13" ht="14.25">
      <c r="B335" s="434" t="s">
        <v>14</v>
      </c>
      <c r="C335" s="320">
        <v>21675</v>
      </c>
      <c r="D335" s="325">
        <v>16247.5</v>
      </c>
      <c r="E335" s="325">
        <v>12177.5</v>
      </c>
      <c r="F335" s="325">
        <v>9127.5</v>
      </c>
      <c r="G335" s="325">
        <v>6842.5</v>
      </c>
      <c r="H335" s="325">
        <v>5130</v>
      </c>
      <c r="I335" s="325">
        <v>3845</v>
      </c>
      <c r="J335" s="325">
        <v>2882.5</v>
      </c>
      <c r="K335" s="325">
        <v>2160</v>
      </c>
      <c r="L335" s="325">
        <v>1620</v>
      </c>
      <c r="M335" s="435">
        <v>1212.5</v>
      </c>
    </row>
    <row r="336" spans="1:13" ht="14.25">
      <c r="B336" s="434" t="s">
        <v>15</v>
      </c>
      <c r="C336" s="325">
        <v>13005</v>
      </c>
      <c r="D336" s="325">
        <v>9747.5</v>
      </c>
      <c r="E336" s="325">
        <v>7307.5</v>
      </c>
      <c r="F336" s="325">
        <v>5477.5</v>
      </c>
      <c r="G336" s="325">
        <v>4105</v>
      </c>
      <c r="H336" s="325">
        <v>3077.5</v>
      </c>
      <c r="I336" s="325">
        <v>2307.5</v>
      </c>
      <c r="J336" s="325">
        <v>1730</v>
      </c>
      <c r="K336" s="325">
        <v>1295</v>
      </c>
      <c r="L336" s="325">
        <v>972.5</v>
      </c>
      <c r="M336" s="435">
        <v>727.5</v>
      </c>
    </row>
    <row r="337" spans="1:13" ht="14.25">
      <c r="B337" s="434" t="s">
        <v>16</v>
      </c>
      <c r="C337" s="325">
        <v>7802.5</v>
      </c>
      <c r="D337" s="325">
        <v>5847.5</v>
      </c>
      <c r="E337" s="325">
        <v>4385</v>
      </c>
      <c r="F337" s="325">
        <v>3285</v>
      </c>
      <c r="G337" s="325">
        <v>2462.5</v>
      </c>
      <c r="H337" s="325">
        <v>1847.5</v>
      </c>
      <c r="I337" s="325">
        <v>1385</v>
      </c>
      <c r="J337" s="325">
        <v>1037.5</v>
      </c>
      <c r="K337" s="325">
        <v>777.5</v>
      </c>
      <c r="L337" s="325">
        <v>582.5</v>
      </c>
      <c r="M337" s="435">
        <v>437.5</v>
      </c>
    </row>
    <row r="338" spans="1:13" ht="14.25">
      <c r="B338" s="434" t="s">
        <v>17</v>
      </c>
      <c r="C338" s="435">
        <v>4680</v>
      </c>
      <c r="D338" s="435">
        <v>3507.5</v>
      </c>
      <c r="E338" s="435">
        <v>2630</v>
      </c>
      <c r="F338" s="435">
        <v>1970</v>
      </c>
      <c r="G338" s="435">
        <v>1477.5</v>
      </c>
      <c r="H338" s="435">
        <v>1107.5</v>
      </c>
      <c r="I338" s="435">
        <v>830</v>
      </c>
      <c r="J338" s="435">
        <v>622.5</v>
      </c>
      <c r="K338" s="435">
        <v>467.5</v>
      </c>
      <c r="L338" s="435">
        <v>350</v>
      </c>
      <c r="M338" s="435">
        <v>262.5</v>
      </c>
    </row>
    <row r="339" spans="1:13" ht="14.25">
      <c r="B339" s="440"/>
      <c r="C339" s="436"/>
      <c r="D339" s="436"/>
      <c r="E339" s="436"/>
      <c r="F339" s="436"/>
      <c r="G339" s="436"/>
      <c r="H339" s="436"/>
      <c r="I339" s="436"/>
      <c r="J339" s="436"/>
      <c r="K339" s="436"/>
      <c r="L339" s="436"/>
      <c r="M339" s="436"/>
    </row>
    <row r="340" spans="1:13" ht="18">
      <c r="B340" s="430" t="s">
        <v>45</v>
      </c>
      <c r="C340" s="430"/>
      <c r="D340" s="430"/>
      <c r="E340" s="430"/>
    </row>
    <row r="341" spans="1:13" ht="30" customHeight="1">
      <c r="A341" s="437"/>
      <c r="B341" s="442" t="s">
        <v>46</v>
      </c>
      <c r="C341" s="431"/>
      <c r="D341" s="431"/>
      <c r="E341" s="431"/>
    </row>
    <row r="342" spans="1:13" ht="14.25">
      <c r="B342" s="432" t="s">
        <v>2</v>
      </c>
      <c r="C342" s="433" t="s">
        <v>3</v>
      </c>
      <c r="D342" s="433" t="s">
        <v>4</v>
      </c>
      <c r="E342" s="433" t="s">
        <v>5</v>
      </c>
      <c r="F342" s="433" t="s">
        <v>6</v>
      </c>
      <c r="G342" s="433" t="s">
        <v>7</v>
      </c>
      <c r="H342" s="433" t="s">
        <v>8</v>
      </c>
      <c r="I342" s="433" t="s">
        <v>9</v>
      </c>
      <c r="J342" s="433" t="s">
        <v>10</v>
      </c>
      <c r="K342" s="433" t="s">
        <v>11</v>
      </c>
      <c r="L342" s="433" t="s">
        <v>12</v>
      </c>
      <c r="M342" s="432" t="s">
        <v>13</v>
      </c>
    </row>
    <row r="343" spans="1:13" ht="14.25">
      <c r="B343" s="434" t="s">
        <v>14</v>
      </c>
      <c r="C343" s="320">
        <v>1006</v>
      </c>
      <c r="D343" s="325">
        <v>804</v>
      </c>
      <c r="E343" s="325">
        <v>654</v>
      </c>
      <c r="F343" s="325">
        <v>604</v>
      </c>
      <c r="G343" s="325">
        <v>504</v>
      </c>
      <c r="H343" s="325">
        <v>252</v>
      </c>
      <c r="I343" s="325">
        <v>100</v>
      </c>
      <c r="J343" s="325">
        <v>80</v>
      </c>
      <c r="K343" s="325">
        <v>60</v>
      </c>
      <c r="L343" s="325">
        <v>40</v>
      </c>
      <c r="M343" s="435">
        <v>36</v>
      </c>
    </row>
    <row r="344" spans="1:13" ht="14.25">
      <c r="B344" s="434" t="s">
        <v>15</v>
      </c>
      <c r="C344" s="325">
        <v>704</v>
      </c>
      <c r="D344" s="325">
        <v>564</v>
      </c>
      <c r="E344" s="325">
        <v>458</v>
      </c>
      <c r="F344" s="325">
        <v>422</v>
      </c>
      <c r="G344" s="325">
        <v>352</v>
      </c>
      <c r="H344" s="325">
        <v>176</v>
      </c>
      <c r="I344" s="325">
        <v>70</v>
      </c>
      <c r="J344" s="325">
        <v>56</v>
      </c>
      <c r="K344" s="325">
        <v>42</v>
      </c>
      <c r="L344" s="325">
        <v>28</v>
      </c>
      <c r="M344" s="325">
        <v>24</v>
      </c>
    </row>
    <row r="345" spans="1:13" ht="14.25">
      <c r="B345" s="434" t="s">
        <v>16</v>
      </c>
      <c r="C345" s="476" t="s">
        <v>18</v>
      </c>
      <c r="D345" s="477"/>
      <c r="E345" s="477"/>
      <c r="F345" s="477"/>
      <c r="G345" s="477"/>
      <c r="H345" s="477"/>
      <c r="I345" s="477"/>
      <c r="J345" s="477"/>
      <c r="K345" s="477"/>
      <c r="L345" s="477"/>
      <c r="M345" s="478"/>
    </row>
    <row r="346" spans="1:13" ht="14.25">
      <c r="B346" s="434" t="s">
        <v>17</v>
      </c>
      <c r="C346" s="476" t="s">
        <v>18</v>
      </c>
      <c r="D346" s="477"/>
      <c r="E346" s="477"/>
      <c r="F346" s="477"/>
      <c r="G346" s="477"/>
      <c r="H346" s="477"/>
      <c r="I346" s="477"/>
      <c r="J346" s="477"/>
      <c r="K346" s="477"/>
      <c r="L346" s="477"/>
      <c r="M346" s="478"/>
    </row>
    <row r="347" spans="1:13" ht="14.25">
      <c r="B347" s="436"/>
      <c r="C347" s="436"/>
      <c r="D347" s="436"/>
      <c r="E347" s="436"/>
    </row>
    <row r="348" spans="1:13" ht="18">
      <c r="B348" s="430" t="s">
        <v>47</v>
      </c>
      <c r="C348" s="430"/>
      <c r="D348" s="430"/>
      <c r="E348" s="430"/>
    </row>
    <row r="349" spans="1:13" ht="30" customHeight="1">
      <c r="A349" s="437"/>
      <c r="B349" s="442" t="s">
        <v>46</v>
      </c>
      <c r="C349" s="431"/>
      <c r="D349" s="431"/>
      <c r="E349" s="431"/>
    </row>
    <row r="350" spans="1:13" ht="14.25">
      <c r="B350" s="432" t="s">
        <v>2</v>
      </c>
      <c r="C350" s="433" t="s">
        <v>3</v>
      </c>
      <c r="D350" s="433" t="s">
        <v>4</v>
      </c>
      <c r="E350" s="433" t="s">
        <v>5</v>
      </c>
      <c r="F350" s="433" t="s">
        <v>6</v>
      </c>
      <c r="G350" s="433" t="s">
        <v>7</v>
      </c>
      <c r="H350" s="433" t="s">
        <v>8</v>
      </c>
      <c r="I350" s="433" t="s">
        <v>9</v>
      </c>
      <c r="J350" s="433" t="s">
        <v>10</v>
      </c>
      <c r="K350" s="433" t="s">
        <v>11</v>
      </c>
      <c r="L350" s="433" t="s">
        <v>12</v>
      </c>
      <c r="M350" s="432" t="s">
        <v>13</v>
      </c>
    </row>
    <row r="351" spans="1:13" ht="14.25">
      <c r="B351" s="434" t="s">
        <v>14</v>
      </c>
      <c r="C351" s="320">
        <v>626</v>
      </c>
      <c r="D351" s="325">
        <v>500</v>
      </c>
      <c r="E351" s="325">
        <v>406</v>
      </c>
      <c r="F351" s="325">
        <v>376</v>
      </c>
      <c r="G351" s="325">
        <v>314</v>
      </c>
      <c r="H351" s="325">
        <v>156</v>
      </c>
      <c r="I351" s="325">
        <v>62</v>
      </c>
      <c r="J351" s="325">
        <v>50</v>
      </c>
      <c r="K351" s="325">
        <v>38</v>
      </c>
      <c r="L351" s="325">
        <v>26</v>
      </c>
      <c r="M351" s="435">
        <v>22</v>
      </c>
    </row>
    <row r="352" spans="1:13" ht="14.25">
      <c r="B352" s="434" t="s">
        <v>15</v>
      </c>
      <c r="C352" s="325">
        <v>438</v>
      </c>
      <c r="D352" s="325">
        <v>350</v>
      </c>
      <c r="E352" s="325">
        <v>284</v>
      </c>
      <c r="F352" s="325">
        <v>262</v>
      </c>
      <c r="G352" s="325">
        <v>220</v>
      </c>
      <c r="H352" s="325">
        <v>110</v>
      </c>
      <c r="I352" s="325">
        <v>44</v>
      </c>
      <c r="J352" s="325">
        <v>36</v>
      </c>
      <c r="K352" s="325">
        <v>26</v>
      </c>
      <c r="L352" s="325">
        <v>18</v>
      </c>
      <c r="M352" s="435">
        <v>16</v>
      </c>
    </row>
    <row r="353" spans="1:13" ht="14.25">
      <c r="B353" s="434" t="s">
        <v>16</v>
      </c>
      <c r="C353" s="476" t="s">
        <v>18</v>
      </c>
      <c r="D353" s="477"/>
      <c r="E353" s="477"/>
      <c r="F353" s="477"/>
      <c r="G353" s="477"/>
      <c r="H353" s="477"/>
      <c r="I353" s="477"/>
      <c r="J353" s="477"/>
      <c r="K353" s="477"/>
      <c r="L353" s="477"/>
      <c r="M353" s="478"/>
    </row>
    <row r="354" spans="1:13" ht="14.25">
      <c r="B354" s="434" t="s">
        <v>17</v>
      </c>
      <c r="C354" s="476" t="s">
        <v>18</v>
      </c>
      <c r="D354" s="477"/>
      <c r="E354" s="477"/>
      <c r="F354" s="477"/>
      <c r="G354" s="477"/>
      <c r="H354" s="477"/>
      <c r="I354" s="477"/>
      <c r="J354" s="477"/>
      <c r="K354" s="477"/>
      <c r="L354" s="477"/>
      <c r="M354" s="478"/>
    </row>
    <row r="355" spans="1:13" ht="14.25">
      <c r="B355" s="440"/>
      <c r="C355" s="441"/>
      <c r="D355" s="441"/>
      <c r="E355" s="441"/>
      <c r="F355" s="441"/>
      <c r="G355" s="441"/>
      <c r="H355" s="441"/>
      <c r="I355" s="441"/>
      <c r="J355" s="441"/>
      <c r="K355" s="441"/>
      <c r="L355" s="441"/>
      <c r="M355" s="441"/>
    </row>
    <row r="356" spans="1:13" ht="18">
      <c r="B356" s="430" t="s">
        <v>48</v>
      </c>
      <c r="C356" s="430"/>
      <c r="D356" s="430"/>
      <c r="E356" s="430"/>
    </row>
    <row r="357" spans="1:13" ht="30" customHeight="1">
      <c r="A357" s="437"/>
      <c r="B357" s="431" t="s">
        <v>39</v>
      </c>
      <c r="C357" s="431"/>
      <c r="D357" s="431"/>
      <c r="E357" s="431"/>
    </row>
    <row r="358" spans="1:13" ht="14.25">
      <c r="B358" s="432" t="s">
        <v>2</v>
      </c>
      <c r="C358" s="433" t="s">
        <v>3</v>
      </c>
      <c r="D358" s="433" t="s">
        <v>4</v>
      </c>
      <c r="E358" s="433" t="s">
        <v>5</v>
      </c>
      <c r="F358" s="433" t="s">
        <v>6</v>
      </c>
      <c r="G358" s="433" t="s">
        <v>7</v>
      </c>
      <c r="H358" s="433" t="s">
        <v>8</v>
      </c>
      <c r="I358" s="433" t="s">
        <v>9</v>
      </c>
      <c r="J358" s="433" t="s">
        <v>10</v>
      </c>
      <c r="K358" s="433" t="s">
        <v>11</v>
      </c>
      <c r="L358" s="433" t="s">
        <v>12</v>
      </c>
      <c r="M358" s="432" t="s">
        <v>13</v>
      </c>
    </row>
    <row r="359" spans="1:13" ht="14.25">
      <c r="B359" s="434" t="s">
        <v>14</v>
      </c>
      <c r="C359" s="320">
        <v>746</v>
      </c>
      <c r="D359" s="325">
        <v>562</v>
      </c>
      <c r="E359" s="325">
        <v>418</v>
      </c>
      <c r="F359" s="325">
        <v>312</v>
      </c>
      <c r="G359" s="325">
        <v>240</v>
      </c>
      <c r="H359" s="325">
        <v>178</v>
      </c>
      <c r="I359" s="325">
        <v>134</v>
      </c>
      <c r="J359" s="325">
        <v>106</v>
      </c>
      <c r="K359" s="325">
        <v>72</v>
      </c>
      <c r="L359" s="325">
        <v>50</v>
      </c>
      <c r="M359" s="435">
        <v>38</v>
      </c>
    </row>
    <row r="360" spans="1:13" ht="14.25">
      <c r="B360" s="434" t="s">
        <v>15</v>
      </c>
      <c r="C360" s="325">
        <v>450</v>
      </c>
      <c r="D360" s="325">
        <v>334</v>
      </c>
      <c r="E360" s="325">
        <v>250</v>
      </c>
      <c r="F360" s="325">
        <v>188</v>
      </c>
      <c r="G360" s="325">
        <v>144</v>
      </c>
      <c r="H360" s="325">
        <v>106</v>
      </c>
      <c r="I360" s="325">
        <v>78</v>
      </c>
      <c r="J360" s="325">
        <v>62</v>
      </c>
      <c r="K360" s="325">
        <v>44</v>
      </c>
      <c r="L360" s="325">
        <v>34</v>
      </c>
      <c r="M360" s="435">
        <v>22</v>
      </c>
    </row>
    <row r="361" spans="1:13" ht="14.25">
      <c r="B361" s="434" t="s">
        <v>16</v>
      </c>
      <c r="C361" s="476" t="s">
        <v>18</v>
      </c>
      <c r="D361" s="477"/>
      <c r="E361" s="477"/>
      <c r="F361" s="477"/>
      <c r="G361" s="477"/>
      <c r="H361" s="477"/>
      <c r="I361" s="477"/>
      <c r="J361" s="477"/>
      <c r="K361" s="477"/>
      <c r="L361" s="477"/>
      <c r="M361" s="478"/>
    </row>
    <row r="362" spans="1:13" ht="14.25">
      <c r="B362" s="434" t="s">
        <v>17</v>
      </c>
      <c r="C362" s="476" t="s">
        <v>18</v>
      </c>
      <c r="D362" s="477"/>
      <c r="E362" s="477"/>
      <c r="F362" s="477"/>
      <c r="G362" s="477"/>
      <c r="H362" s="477"/>
      <c r="I362" s="477"/>
      <c r="J362" s="477"/>
      <c r="K362" s="477"/>
      <c r="L362" s="477"/>
      <c r="M362" s="478"/>
    </row>
    <row r="363" spans="1:13" ht="14.25">
      <c r="B363" s="436"/>
      <c r="C363" s="436"/>
      <c r="D363" s="436"/>
      <c r="E363" s="436"/>
    </row>
    <row r="364" spans="1:13" ht="14.25">
      <c r="B364" s="431" t="s">
        <v>29</v>
      </c>
      <c r="C364" s="431"/>
      <c r="D364" s="431"/>
      <c r="E364" s="431"/>
    </row>
    <row r="365" spans="1:13" ht="14.25">
      <c r="B365" s="432" t="s">
        <v>2</v>
      </c>
      <c r="C365" s="433" t="s">
        <v>3</v>
      </c>
      <c r="D365" s="433" t="s">
        <v>4</v>
      </c>
      <c r="E365" s="433" t="s">
        <v>5</v>
      </c>
      <c r="F365" s="433" t="s">
        <v>6</v>
      </c>
      <c r="G365" s="433" t="s">
        <v>7</v>
      </c>
      <c r="H365" s="433" t="s">
        <v>8</v>
      </c>
      <c r="I365" s="433" t="s">
        <v>9</v>
      </c>
      <c r="J365" s="433" t="s">
        <v>10</v>
      </c>
      <c r="K365" s="433" t="s">
        <v>11</v>
      </c>
      <c r="L365" s="433" t="s">
        <v>12</v>
      </c>
      <c r="M365" s="432" t="s">
        <v>13</v>
      </c>
    </row>
    <row r="366" spans="1:13" ht="14.25">
      <c r="B366" s="434" t="s">
        <v>14</v>
      </c>
      <c r="C366" s="320">
        <v>1366</v>
      </c>
      <c r="D366" s="325">
        <v>1024</v>
      </c>
      <c r="E366" s="325">
        <v>768</v>
      </c>
      <c r="F366" s="325">
        <v>576</v>
      </c>
      <c r="G366" s="325">
        <v>434</v>
      </c>
      <c r="H366" s="325">
        <v>328</v>
      </c>
      <c r="I366" s="325">
        <v>248</v>
      </c>
      <c r="J366" s="325">
        <v>192</v>
      </c>
      <c r="K366" s="325">
        <v>136</v>
      </c>
      <c r="L366" s="325">
        <v>92</v>
      </c>
      <c r="M366" s="435">
        <v>72</v>
      </c>
    </row>
    <row r="367" spans="1:13" ht="14.25">
      <c r="B367" s="434" t="s">
        <v>15</v>
      </c>
      <c r="C367" s="325">
        <v>818</v>
      </c>
      <c r="D367" s="325">
        <v>612</v>
      </c>
      <c r="E367" s="325">
        <v>456</v>
      </c>
      <c r="F367" s="325">
        <v>342</v>
      </c>
      <c r="G367" s="325">
        <v>264</v>
      </c>
      <c r="H367" s="325">
        <v>200</v>
      </c>
      <c r="I367" s="325">
        <v>150</v>
      </c>
      <c r="J367" s="325">
        <v>114</v>
      </c>
      <c r="K367" s="325">
        <v>86</v>
      </c>
      <c r="L367" s="325">
        <v>56</v>
      </c>
      <c r="M367" s="435">
        <v>42</v>
      </c>
    </row>
    <row r="368" spans="1:13" ht="14.25">
      <c r="B368" s="434" t="s">
        <v>16</v>
      </c>
      <c r="C368" s="476" t="s">
        <v>18</v>
      </c>
      <c r="D368" s="477"/>
      <c r="E368" s="477"/>
      <c r="F368" s="477"/>
      <c r="G368" s="477"/>
      <c r="H368" s="477"/>
      <c r="I368" s="477"/>
      <c r="J368" s="477"/>
      <c r="K368" s="477"/>
      <c r="L368" s="477"/>
      <c r="M368" s="478"/>
    </row>
    <row r="369" spans="1:13" ht="14.25">
      <c r="B369" s="434" t="s">
        <v>17</v>
      </c>
      <c r="C369" s="476" t="s">
        <v>18</v>
      </c>
      <c r="D369" s="477"/>
      <c r="E369" s="477"/>
      <c r="F369" s="477"/>
      <c r="G369" s="477"/>
      <c r="H369" s="477"/>
      <c r="I369" s="477"/>
      <c r="J369" s="477"/>
      <c r="K369" s="477"/>
      <c r="L369" s="477"/>
      <c r="M369" s="478"/>
    </row>
    <row r="370" spans="1:13" ht="14.25">
      <c r="B370" s="440"/>
      <c r="C370" s="441"/>
      <c r="D370" s="441"/>
      <c r="E370" s="441"/>
      <c r="F370" s="441"/>
      <c r="G370" s="441"/>
      <c r="H370" s="441"/>
      <c r="I370" s="441"/>
      <c r="J370" s="441"/>
      <c r="K370" s="441"/>
      <c r="L370" s="441"/>
      <c r="M370" s="441"/>
    </row>
    <row r="371" spans="1:13" ht="18">
      <c r="B371" s="430" t="s">
        <v>49</v>
      </c>
      <c r="C371" s="430"/>
      <c r="D371" s="430"/>
      <c r="E371" s="430"/>
    </row>
    <row r="372" spans="1:13" ht="30" customHeight="1">
      <c r="A372" s="437"/>
      <c r="B372" s="431" t="s">
        <v>39</v>
      </c>
      <c r="C372" s="431"/>
      <c r="D372" s="431"/>
      <c r="E372" s="431"/>
    </row>
    <row r="373" spans="1:13" ht="14.25">
      <c r="B373" s="432" t="s">
        <v>2</v>
      </c>
      <c r="C373" s="433" t="s">
        <v>3</v>
      </c>
      <c r="D373" s="433" t="s">
        <v>4</v>
      </c>
      <c r="E373" s="433" t="s">
        <v>5</v>
      </c>
      <c r="F373" s="433" t="s">
        <v>6</v>
      </c>
      <c r="G373" s="433" t="s">
        <v>7</v>
      </c>
      <c r="H373" s="433" t="s">
        <v>8</v>
      </c>
      <c r="I373" s="433" t="s">
        <v>9</v>
      </c>
      <c r="J373" s="433" t="s">
        <v>10</v>
      </c>
      <c r="K373" s="433" t="s">
        <v>11</v>
      </c>
      <c r="L373" s="433" t="s">
        <v>12</v>
      </c>
      <c r="M373" s="432" t="s">
        <v>13</v>
      </c>
    </row>
    <row r="374" spans="1:13" ht="14.25">
      <c r="B374" s="434" t="s">
        <v>14</v>
      </c>
      <c r="C374" s="320">
        <v>976</v>
      </c>
      <c r="D374" s="325">
        <v>730</v>
      </c>
      <c r="E374" s="325">
        <v>546</v>
      </c>
      <c r="F374" s="325">
        <v>408</v>
      </c>
      <c r="G374" s="325">
        <v>312</v>
      </c>
      <c r="H374" s="325">
        <v>236</v>
      </c>
      <c r="I374" s="325">
        <v>174</v>
      </c>
      <c r="J374" s="325">
        <v>138</v>
      </c>
      <c r="K374" s="325">
        <v>98</v>
      </c>
      <c r="L374" s="325">
        <v>68</v>
      </c>
      <c r="M374" s="435">
        <v>52</v>
      </c>
    </row>
    <row r="375" spans="1:13" ht="14.25">
      <c r="B375" s="434" t="s">
        <v>15</v>
      </c>
      <c r="C375" s="325">
        <v>582</v>
      </c>
      <c r="D375" s="325">
        <v>440</v>
      </c>
      <c r="E375" s="325">
        <v>328</v>
      </c>
      <c r="F375" s="325">
        <v>246</v>
      </c>
      <c r="G375" s="325">
        <v>190</v>
      </c>
      <c r="H375" s="325">
        <v>142</v>
      </c>
      <c r="I375" s="325">
        <v>110</v>
      </c>
      <c r="J375" s="325">
        <v>84</v>
      </c>
      <c r="K375" s="325">
        <v>58</v>
      </c>
      <c r="L375" s="325">
        <v>42</v>
      </c>
      <c r="M375" s="435">
        <v>32</v>
      </c>
    </row>
    <row r="376" spans="1:13" ht="14.25">
      <c r="B376" s="434" t="s">
        <v>16</v>
      </c>
      <c r="C376" s="325">
        <v>290</v>
      </c>
      <c r="D376" s="325">
        <v>218</v>
      </c>
      <c r="E376" s="325">
        <v>162</v>
      </c>
      <c r="F376" s="325">
        <v>122</v>
      </c>
      <c r="G376" s="325">
        <v>92</v>
      </c>
      <c r="H376" s="325">
        <v>72</v>
      </c>
      <c r="I376" s="325">
        <v>52</v>
      </c>
      <c r="J376" s="325">
        <v>42</v>
      </c>
      <c r="K376" s="325">
        <v>32</v>
      </c>
      <c r="L376" s="325">
        <v>22</v>
      </c>
      <c r="M376" s="435">
        <v>16</v>
      </c>
    </row>
    <row r="377" spans="1:13" ht="14.25">
      <c r="B377" s="434" t="s">
        <v>17</v>
      </c>
      <c r="C377" s="476" t="s">
        <v>18</v>
      </c>
      <c r="D377" s="477"/>
      <c r="E377" s="477"/>
      <c r="F377" s="477"/>
      <c r="G377" s="477"/>
      <c r="H377" s="477"/>
      <c r="I377" s="477"/>
      <c r="J377" s="477"/>
      <c r="K377" s="477"/>
      <c r="L377" s="477"/>
      <c r="M377" s="478"/>
    </row>
    <row r="378" spans="1:13" ht="14.25">
      <c r="B378" s="436"/>
      <c r="C378" s="436"/>
      <c r="D378" s="436"/>
      <c r="E378" s="436"/>
    </row>
    <row r="379" spans="1:13" ht="14.25">
      <c r="B379" s="431" t="s">
        <v>29</v>
      </c>
      <c r="C379" s="431"/>
      <c r="D379" s="431"/>
      <c r="E379" s="431"/>
    </row>
    <row r="380" spans="1:13" ht="14.25">
      <c r="B380" s="432" t="s">
        <v>2</v>
      </c>
      <c r="C380" s="433" t="s">
        <v>3</v>
      </c>
      <c r="D380" s="433" t="s">
        <v>4</v>
      </c>
      <c r="E380" s="433" t="s">
        <v>5</v>
      </c>
      <c r="F380" s="433" t="s">
        <v>6</v>
      </c>
      <c r="G380" s="433" t="s">
        <v>7</v>
      </c>
      <c r="H380" s="433" t="s">
        <v>8</v>
      </c>
      <c r="I380" s="433" t="s">
        <v>9</v>
      </c>
      <c r="J380" s="433" t="s">
        <v>10</v>
      </c>
      <c r="K380" s="433" t="s">
        <v>11</v>
      </c>
      <c r="L380" s="433" t="s">
        <v>12</v>
      </c>
      <c r="M380" s="432" t="s">
        <v>13</v>
      </c>
    </row>
    <row r="381" spans="1:13" ht="14.25">
      <c r="B381" s="434" t="s">
        <v>14</v>
      </c>
      <c r="C381" s="320">
        <v>1824</v>
      </c>
      <c r="D381" s="325">
        <v>1372</v>
      </c>
      <c r="E381" s="325">
        <v>1020</v>
      </c>
      <c r="F381" s="325">
        <v>768</v>
      </c>
      <c r="G381" s="325">
        <v>582</v>
      </c>
      <c r="H381" s="325">
        <v>438</v>
      </c>
      <c r="I381" s="325">
        <v>330</v>
      </c>
      <c r="J381" s="325">
        <v>258</v>
      </c>
      <c r="K381" s="325">
        <v>180</v>
      </c>
      <c r="L381" s="325">
        <v>130</v>
      </c>
      <c r="M381" s="435">
        <v>94</v>
      </c>
    </row>
    <row r="382" spans="1:13" ht="14.25">
      <c r="B382" s="434" t="s">
        <v>15</v>
      </c>
      <c r="C382" s="325">
        <v>1092</v>
      </c>
      <c r="D382" s="325">
        <v>820</v>
      </c>
      <c r="E382" s="325">
        <v>610</v>
      </c>
      <c r="F382" s="325">
        <v>460</v>
      </c>
      <c r="G382" s="325">
        <v>352</v>
      </c>
      <c r="H382" s="325">
        <v>258</v>
      </c>
      <c r="I382" s="325">
        <v>194</v>
      </c>
      <c r="J382" s="325">
        <v>150</v>
      </c>
      <c r="K382" s="325">
        <v>108</v>
      </c>
      <c r="L382" s="325">
        <v>80</v>
      </c>
      <c r="M382" s="435">
        <v>58</v>
      </c>
    </row>
    <row r="383" spans="1:13" ht="14.25">
      <c r="B383" s="434" t="s">
        <v>16</v>
      </c>
      <c r="C383" s="325">
        <v>546</v>
      </c>
      <c r="D383" s="325">
        <v>410</v>
      </c>
      <c r="E383" s="325">
        <v>308</v>
      </c>
      <c r="F383" s="325">
        <v>230</v>
      </c>
      <c r="G383" s="325">
        <v>172</v>
      </c>
      <c r="H383" s="325">
        <v>130</v>
      </c>
      <c r="I383" s="325">
        <v>100</v>
      </c>
      <c r="J383" s="325">
        <v>80</v>
      </c>
      <c r="K383" s="325">
        <v>58</v>
      </c>
      <c r="L383" s="325">
        <v>36</v>
      </c>
      <c r="M383" s="435">
        <v>28</v>
      </c>
    </row>
    <row r="384" spans="1:13" ht="14.25">
      <c r="B384" s="434" t="s">
        <v>17</v>
      </c>
      <c r="C384" s="476" t="s">
        <v>18</v>
      </c>
      <c r="D384" s="477"/>
      <c r="E384" s="477"/>
      <c r="F384" s="477"/>
      <c r="G384" s="477"/>
      <c r="H384" s="477"/>
      <c r="I384" s="477"/>
      <c r="J384" s="477"/>
      <c r="K384" s="477"/>
      <c r="L384" s="477"/>
      <c r="M384" s="478"/>
    </row>
    <row r="386" spans="1:13" ht="18">
      <c r="B386" s="430" t="s">
        <v>50</v>
      </c>
      <c r="C386" s="430"/>
      <c r="D386" s="430"/>
      <c r="E386" s="430"/>
    </row>
    <row r="387" spans="1:13" ht="30" customHeight="1">
      <c r="A387" s="437"/>
      <c r="B387" s="431" t="s">
        <v>39</v>
      </c>
      <c r="C387" s="431"/>
      <c r="D387" s="431"/>
      <c r="E387" s="431"/>
    </row>
    <row r="388" spans="1:13" ht="14.25">
      <c r="B388" s="432" t="s">
        <v>2</v>
      </c>
      <c r="C388" s="433" t="s">
        <v>3</v>
      </c>
      <c r="D388" s="433" t="s">
        <v>4</v>
      </c>
      <c r="E388" s="433" t="s">
        <v>5</v>
      </c>
      <c r="F388" s="433" t="s">
        <v>6</v>
      </c>
      <c r="G388" s="433" t="s">
        <v>7</v>
      </c>
      <c r="H388" s="433" t="s">
        <v>8</v>
      </c>
      <c r="I388" s="433" t="s">
        <v>9</v>
      </c>
      <c r="J388" s="433" t="s">
        <v>10</v>
      </c>
      <c r="K388" s="433" t="s">
        <v>11</v>
      </c>
      <c r="L388" s="433" t="s">
        <v>12</v>
      </c>
      <c r="M388" s="432" t="s">
        <v>13</v>
      </c>
    </row>
    <row r="389" spans="1:13" ht="14.25">
      <c r="B389" s="434" t="s">
        <v>14</v>
      </c>
      <c r="C389" s="320">
        <v>640</v>
      </c>
      <c r="D389" s="325">
        <v>480</v>
      </c>
      <c r="E389" s="325">
        <v>360</v>
      </c>
      <c r="F389" s="325">
        <v>268</v>
      </c>
      <c r="G389" s="325">
        <v>204</v>
      </c>
      <c r="H389" s="325">
        <v>152</v>
      </c>
      <c r="I389" s="325">
        <v>116</v>
      </c>
      <c r="J389" s="325">
        <v>88</v>
      </c>
      <c r="K389" s="325">
        <v>64</v>
      </c>
      <c r="L389" s="325">
        <v>44</v>
      </c>
      <c r="M389" s="435">
        <v>32</v>
      </c>
    </row>
    <row r="390" spans="1:13" ht="14.25">
      <c r="B390" s="434" t="s">
        <v>15</v>
      </c>
      <c r="C390" s="325">
        <v>448</v>
      </c>
      <c r="D390" s="325">
        <v>336</v>
      </c>
      <c r="E390" s="325">
        <v>252</v>
      </c>
      <c r="F390" s="325">
        <v>188</v>
      </c>
      <c r="G390" s="325">
        <v>144</v>
      </c>
      <c r="H390" s="325">
        <v>108</v>
      </c>
      <c r="I390" s="325">
        <v>80</v>
      </c>
      <c r="J390" s="325">
        <v>64</v>
      </c>
      <c r="K390" s="325">
        <v>44</v>
      </c>
      <c r="L390" s="325">
        <v>32</v>
      </c>
      <c r="M390" s="435">
        <v>24</v>
      </c>
    </row>
    <row r="391" spans="1:13" ht="14.25">
      <c r="B391" s="434" t="s">
        <v>16</v>
      </c>
      <c r="C391" s="325">
        <v>256</v>
      </c>
      <c r="D391" s="325">
        <v>192</v>
      </c>
      <c r="E391" s="325">
        <v>144</v>
      </c>
      <c r="F391" s="325">
        <v>108</v>
      </c>
      <c r="G391" s="325">
        <v>80</v>
      </c>
      <c r="H391" s="325">
        <v>60</v>
      </c>
      <c r="I391" s="325">
        <v>48</v>
      </c>
      <c r="J391" s="325">
        <v>36</v>
      </c>
      <c r="K391" s="325">
        <v>24</v>
      </c>
      <c r="L391" s="325">
        <v>16</v>
      </c>
      <c r="M391" s="435">
        <v>12</v>
      </c>
    </row>
    <row r="392" spans="1:13" ht="14.25">
      <c r="B392" s="434" t="s">
        <v>17</v>
      </c>
      <c r="C392" s="435">
        <v>128</v>
      </c>
      <c r="D392" s="435">
        <v>96</v>
      </c>
      <c r="E392" s="435">
        <v>72</v>
      </c>
      <c r="F392" s="435">
        <v>52</v>
      </c>
      <c r="G392" s="435">
        <v>40</v>
      </c>
      <c r="H392" s="435">
        <v>32</v>
      </c>
      <c r="I392" s="435">
        <v>24</v>
      </c>
      <c r="J392" s="435">
        <v>16</v>
      </c>
      <c r="K392" s="435">
        <v>12</v>
      </c>
      <c r="L392" s="435">
        <v>8</v>
      </c>
      <c r="M392" s="435">
        <v>8</v>
      </c>
    </row>
    <row r="393" spans="1:13" ht="14.25">
      <c r="B393" s="436"/>
      <c r="C393" s="436"/>
      <c r="D393" s="436"/>
      <c r="E393" s="436"/>
    </row>
    <row r="394" spans="1:13" ht="14.25">
      <c r="B394" s="431" t="s">
        <v>51</v>
      </c>
      <c r="C394" s="431"/>
      <c r="D394" s="431"/>
      <c r="E394" s="431"/>
    </row>
    <row r="395" spans="1:13" ht="14.25">
      <c r="B395" s="432" t="s">
        <v>2</v>
      </c>
      <c r="C395" s="433" t="s">
        <v>3</v>
      </c>
      <c r="D395" s="433" t="s">
        <v>4</v>
      </c>
      <c r="E395" s="433" t="s">
        <v>5</v>
      </c>
      <c r="F395" s="433" t="s">
        <v>6</v>
      </c>
      <c r="G395" s="433" t="s">
        <v>7</v>
      </c>
      <c r="H395" s="433" t="s">
        <v>8</v>
      </c>
      <c r="I395" s="433" t="s">
        <v>9</v>
      </c>
      <c r="J395" s="433" t="s">
        <v>10</v>
      </c>
      <c r="K395" s="433" t="s">
        <v>11</v>
      </c>
      <c r="L395" s="433" t="s">
        <v>12</v>
      </c>
      <c r="M395" s="432" t="s">
        <v>13</v>
      </c>
    </row>
    <row r="396" spans="1:13" ht="14.25">
      <c r="B396" s="434" t="s">
        <v>14</v>
      </c>
      <c r="C396" s="320">
        <v>1050</v>
      </c>
      <c r="D396" s="325">
        <v>786</v>
      </c>
      <c r="E396" s="325">
        <v>588</v>
      </c>
      <c r="F396" s="325">
        <v>444</v>
      </c>
      <c r="G396" s="325">
        <v>336</v>
      </c>
      <c r="H396" s="325">
        <v>252</v>
      </c>
      <c r="I396" s="325">
        <v>192</v>
      </c>
      <c r="J396" s="325">
        <v>150</v>
      </c>
      <c r="K396" s="325">
        <v>108</v>
      </c>
      <c r="L396" s="325">
        <v>72</v>
      </c>
      <c r="M396" s="435">
        <v>54</v>
      </c>
    </row>
    <row r="397" spans="1:13" ht="14.25">
      <c r="B397" s="434" t="s">
        <v>15</v>
      </c>
      <c r="C397" s="325">
        <v>738</v>
      </c>
      <c r="D397" s="325">
        <v>552</v>
      </c>
      <c r="E397" s="325">
        <v>414</v>
      </c>
      <c r="F397" s="325">
        <v>312</v>
      </c>
      <c r="G397" s="325">
        <v>234</v>
      </c>
      <c r="H397" s="325">
        <v>180</v>
      </c>
      <c r="I397" s="325">
        <v>132</v>
      </c>
      <c r="J397" s="325">
        <v>102</v>
      </c>
      <c r="K397" s="325">
        <v>72</v>
      </c>
      <c r="L397" s="325">
        <v>54</v>
      </c>
      <c r="M397" s="435">
        <v>36</v>
      </c>
    </row>
    <row r="398" spans="1:13" ht="14.25">
      <c r="B398" s="434" t="s">
        <v>16</v>
      </c>
      <c r="C398" s="325">
        <v>420</v>
      </c>
      <c r="D398" s="325">
        <v>318</v>
      </c>
      <c r="E398" s="325">
        <v>234</v>
      </c>
      <c r="F398" s="325">
        <v>174</v>
      </c>
      <c r="G398" s="325">
        <v>132</v>
      </c>
      <c r="H398" s="325">
        <v>102</v>
      </c>
      <c r="I398" s="325">
        <v>78</v>
      </c>
      <c r="J398" s="325">
        <v>60</v>
      </c>
      <c r="K398" s="325">
        <v>42</v>
      </c>
      <c r="L398" s="325">
        <v>30</v>
      </c>
      <c r="M398" s="435">
        <v>24</v>
      </c>
    </row>
    <row r="399" spans="1:13" ht="14.25">
      <c r="B399" s="434" t="s">
        <v>17</v>
      </c>
      <c r="C399" s="435">
        <v>210</v>
      </c>
      <c r="D399" s="435">
        <v>156</v>
      </c>
      <c r="E399" s="435">
        <v>120</v>
      </c>
      <c r="F399" s="435">
        <v>90</v>
      </c>
      <c r="G399" s="435">
        <v>66</v>
      </c>
      <c r="H399" s="435">
        <v>48</v>
      </c>
      <c r="I399" s="435">
        <v>36</v>
      </c>
      <c r="J399" s="435">
        <v>30</v>
      </c>
      <c r="K399" s="435">
        <v>24</v>
      </c>
      <c r="L399" s="435">
        <v>12</v>
      </c>
      <c r="M399" s="435">
        <v>12</v>
      </c>
    </row>
    <row r="400" spans="1:13" ht="14.25">
      <c r="B400" s="440"/>
      <c r="C400" s="436"/>
      <c r="D400" s="436"/>
      <c r="E400" s="436"/>
      <c r="F400" s="436"/>
      <c r="G400" s="436"/>
      <c r="H400" s="436"/>
      <c r="I400" s="436"/>
      <c r="J400" s="436"/>
      <c r="K400" s="436"/>
      <c r="L400" s="436"/>
      <c r="M400" s="436"/>
    </row>
    <row r="401" spans="1:13" ht="18">
      <c r="B401" s="430" t="s">
        <v>52</v>
      </c>
      <c r="C401" s="430"/>
      <c r="D401" s="430"/>
      <c r="E401" s="430"/>
    </row>
    <row r="402" spans="1:13" ht="30" customHeight="1">
      <c r="A402" s="437"/>
      <c r="B402" s="431" t="s">
        <v>39</v>
      </c>
      <c r="C402" s="431"/>
      <c r="D402" s="431"/>
      <c r="E402" s="431"/>
    </row>
    <row r="403" spans="1:13" ht="14.25">
      <c r="B403" s="432" t="s">
        <v>2</v>
      </c>
      <c r="C403" s="433" t="s">
        <v>3</v>
      </c>
      <c r="D403" s="433" t="s">
        <v>4</v>
      </c>
      <c r="E403" s="433" t="s">
        <v>5</v>
      </c>
      <c r="F403" s="433" t="s">
        <v>6</v>
      </c>
      <c r="G403" s="433" t="s">
        <v>7</v>
      </c>
      <c r="H403" s="433" t="s">
        <v>8</v>
      </c>
      <c r="I403" s="433" t="s">
        <v>9</v>
      </c>
      <c r="J403" s="433" t="s">
        <v>10</v>
      </c>
      <c r="K403" s="433" t="s">
        <v>11</v>
      </c>
      <c r="L403" s="433" t="s">
        <v>12</v>
      </c>
      <c r="M403" s="432" t="s">
        <v>13</v>
      </c>
    </row>
    <row r="404" spans="1:13" ht="14.25">
      <c r="B404" s="434" t="s">
        <v>14</v>
      </c>
      <c r="C404" s="320">
        <v>2500</v>
      </c>
      <c r="D404" s="325">
        <v>1876</v>
      </c>
      <c r="E404" s="325">
        <v>1406</v>
      </c>
      <c r="F404" s="325">
        <v>1054</v>
      </c>
      <c r="G404" s="325">
        <v>792</v>
      </c>
      <c r="H404" s="325">
        <v>594</v>
      </c>
      <c r="I404" s="325">
        <v>444</v>
      </c>
      <c r="J404" s="325">
        <v>334</v>
      </c>
      <c r="K404" s="325">
        <v>250</v>
      </c>
      <c r="L404" s="325">
        <v>188</v>
      </c>
      <c r="M404" s="435">
        <v>140</v>
      </c>
    </row>
    <row r="405" spans="1:13" ht="14.25">
      <c r="B405" s="434" t="s">
        <v>15</v>
      </c>
      <c r="C405" s="325">
        <v>2000</v>
      </c>
      <c r="D405" s="325">
        <v>1500</v>
      </c>
      <c r="E405" s="325">
        <v>1126</v>
      </c>
      <c r="F405" s="325">
        <v>844</v>
      </c>
      <c r="G405" s="325">
        <v>632</v>
      </c>
      <c r="H405" s="325">
        <v>474</v>
      </c>
      <c r="I405" s="325">
        <v>356</v>
      </c>
      <c r="J405" s="325">
        <v>266</v>
      </c>
      <c r="K405" s="325">
        <v>200</v>
      </c>
      <c r="L405" s="325">
        <v>150</v>
      </c>
      <c r="M405" s="435">
        <v>112</v>
      </c>
    </row>
    <row r="406" spans="1:13" ht="14.25">
      <c r="B406" s="434" t="s">
        <v>16</v>
      </c>
      <c r="C406" s="325">
        <v>1400</v>
      </c>
      <c r="D406" s="325">
        <v>1050</v>
      </c>
      <c r="E406" s="325">
        <v>788</v>
      </c>
      <c r="F406" s="325">
        <v>590</v>
      </c>
      <c r="G406" s="325">
        <v>442</v>
      </c>
      <c r="H406" s="325">
        <v>332</v>
      </c>
      <c r="I406" s="325">
        <v>250</v>
      </c>
      <c r="J406" s="325">
        <v>186</v>
      </c>
      <c r="K406" s="325">
        <v>140</v>
      </c>
      <c r="L406" s="325">
        <v>106</v>
      </c>
      <c r="M406" s="435">
        <v>78</v>
      </c>
    </row>
    <row r="407" spans="1:13" ht="14.25">
      <c r="B407" s="434" t="s">
        <v>17</v>
      </c>
      <c r="C407" s="435">
        <v>1000</v>
      </c>
      <c r="D407" s="435">
        <v>750</v>
      </c>
      <c r="E407" s="435">
        <v>562</v>
      </c>
      <c r="F407" s="435">
        <v>422</v>
      </c>
      <c r="G407" s="435">
        <v>316</v>
      </c>
      <c r="H407" s="435">
        <v>238</v>
      </c>
      <c r="I407" s="435">
        <v>178</v>
      </c>
      <c r="J407" s="435">
        <v>134</v>
      </c>
      <c r="K407" s="435">
        <v>100</v>
      </c>
      <c r="L407" s="435">
        <v>76</v>
      </c>
      <c r="M407" s="435">
        <v>56</v>
      </c>
    </row>
    <row r="408" spans="1:13" ht="14.25">
      <c r="B408" s="436"/>
      <c r="C408" s="436"/>
      <c r="D408" s="436"/>
      <c r="E408" s="436"/>
    </row>
    <row r="409" spans="1:13" ht="14.25">
      <c r="B409" s="431" t="s">
        <v>19</v>
      </c>
      <c r="C409" s="431"/>
      <c r="D409" s="431"/>
      <c r="E409" s="431"/>
    </row>
    <row r="410" spans="1:13" ht="14.25">
      <c r="B410" s="432" t="s">
        <v>2</v>
      </c>
      <c r="C410" s="433" t="s">
        <v>3</v>
      </c>
      <c r="D410" s="433" t="s">
        <v>4</v>
      </c>
      <c r="E410" s="433" t="s">
        <v>5</v>
      </c>
      <c r="F410" s="433" t="s">
        <v>6</v>
      </c>
      <c r="G410" s="433" t="s">
        <v>7</v>
      </c>
      <c r="H410" s="433" t="s">
        <v>8</v>
      </c>
      <c r="I410" s="433" t="s">
        <v>9</v>
      </c>
      <c r="J410" s="433" t="s">
        <v>10</v>
      </c>
      <c r="K410" s="433" t="s">
        <v>11</v>
      </c>
      <c r="L410" s="433" t="s">
        <v>12</v>
      </c>
      <c r="M410" s="432" t="s">
        <v>13</v>
      </c>
    </row>
    <row r="411" spans="1:13" ht="14.25">
      <c r="B411" s="434" t="s">
        <v>14</v>
      </c>
      <c r="C411" s="320">
        <v>3400</v>
      </c>
      <c r="D411" s="325">
        <v>2550</v>
      </c>
      <c r="E411" s="325">
        <v>1912</v>
      </c>
      <c r="F411" s="325">
        <v>1434</v>
      </c>
      <c r="G411" s="325">
        <v>1076</v>
      </c>
      <c r="H411" s="325">
        <v>806</v>
      </c>
      <c r="I411" s="325">
        <v>606</v>
      </c>
      <c r="J411" s="325">
        <v>454</v>
      </c>
      <c r="K411" s="325">
        <v>340</v>
      </c>
      <c r="L411" s="325">
        <v>256</v>
      </c>
      <c r="M411" s="435">
        <v>192</v>
      </c>
    </row>
    <row r="412" spans="1:13" ht="14.25">
      <c r="B412" s="434" t="s">
        <v>15</v>
      </c>
      <c r="C412" s="325">
        <v>2600</v>
      </c>
      <c r="D412" s="325">
        <v>1950</v>
      </c>
      <c r="E412" s="325">
        <v>1462</v>
      </c>
      <c r="F412" s="325">
        <v>1096</v>
      </c>
      <c r="G412" s="325">
        <v>822</v>
      </c>
      <c r="H412" s="325">
        <v>616</v>
      </c>
      <c r="I412" s="325">
        <v>462</v>
      </c>
      <c r="J412" s="325">
        <v>348</v>
      </c>
      <c r="K412" s="325">
        <v>260</v>
      </c>
      <c r="L412" s="325">
        <v>196</v>
      </c>
      <c r="M412" s="435">
        <v>146</v>
      </c>
    </row>
    <row r="413" spans="1:13" ht="14.25">
      <c r="B413" s="434" t="s">
        <v>16</v>
      </c>
      <c r="C413" s="325">
        <v>2000</v>
      </c>
      <c r="D413" s="325">
        <v>1500</v>
      </c>
      <c r="E413" s="325">
        <v>1126</v>
      </c>
      <c r="F413" s="325">
        <v>844</v>
      </c>
      <c r="G413" s="325">
        <v>632</v>
      </c>
      <c r="H413" s="325">
        <v>474</v>
      </c>
      <c r="I413" s="325">
        <v>356</v>
      </c>
      <c r="J413" s="325">
        <v>266</v>
      </c>
      <c r="K413" s="325">
        <v>200</v>
      </c>
      <c r="L413" s="325">
        <v>150</v>
      </c>
      <c r="M413" s="435">
        <v>112</v>
      </c>
    </row>
    <row r="414" spans="1:13" ht="14.25">
      <c r="B414" s="434" t="s">
        <v>17</v>
      </c>
      <c r="C414" s="435">
        <v>1400</v>
      </c>
      <c r="D414" s="435">
        <v>1050</v>
      </c>
      <c r="E414" s="435">
        <v>788</v>
      </c>
      <c r="F414" s="435">
        <v>590</v>
      </c>
      <c r="G414" s="435">
        <v>442</v>
      </c>
      <c r="H414" s="435">
        <v>332</v>
      </c>
      <c r="I414" s="435">
        <v>250</v>
      </c>
      <c r="J414" s="435">
        <v>186</v>
      </c>
      <c r="K414" s="435">
        <v>140</v>
      </c>
      <c r="L414" s="435">
        <v>106</v>
      </c>
      <c r="M414" s="435">
        <v>78</v>
      </c>
    </row>
    <row r="415" spans="1:13" ht="14.25">
      <c r="B415" s="440"/>
      <c r="C415" s="436"/>
      <c r="D415" s="436"/>
      <c r="E415" s="436"/>
      <c r="F415" s="436"/>
      <c r="G415" s="436"/>
      <c r="H415" s="436"/>
      <c r="I415" s="436"/>
      <c r="J415" s="436"/>
      <c r="K415" s="436"/>
      <c r="L415" s="436"/>
      <c r="M415" s="436"/>
    </row>
    <row r="416" spans="1:13" ht="18">
      <c r="B416" s="430" t="s">
        <v>53</v>
      </c>
      <c r="C416" s="430"/>
      <c r="D416" s="430"/>
      <c r="E416" s="430"/>
    </row>
    <row r="417" spans="1:13" ht="30" customHeight="1">
      <c r="A417" s="437"/>
      <c r="B417" s="442" t="s">
        <v>46</v>
      </c>
      <c r="C417" s="431"/>
      <c r="D417" s="431"/>
      <c r="E417" s="431"/>
    </row>
    <row r="418" spans="1:13" ht="14.25">
      <c r="B418" s="432" t="s">
        <v>2</v>
      </c>
      <c r="C418" s="433" t="s">
        <v>3</v>
      </c>
      <c r="D418" s="433" t="s">
        <v>4</v>
      </c>
      <c r="E418" s="433" t="s">
        <v>5</v>
      </c>
      <c r="F418" s="433" t="s">
        <v>6</v>
      </c>
      <c r="G418" s="433" t="s">
        <v>7</v>
      </c>
      <c r="H418" s="433" t="s">
        <v>8</v>
      </c>
      <c r="I418" s="433" t="s">
        <v>9</v>
      </c>
      <c r="J418" s="433" t="s">
        <v>10</v>
      </c>
      <c r="K418" s="433" t="s">
        <v>11</v>
      </c>
      <c r="L418" s="433" t="s">
        <v>12</v>
      </c>
      <c r="M418" s="432" t="s">
        <v>13</v>
      </c>
    </row>
    <row r="419" spans="1:13" ht="14.25">
      <c r="B419" s="434" t="s">
        <v>14</v>
      </c>
      <c r="C419" s="320">
        <v>410</v>
      </c>
      <c r="D419" s="325">
        <v>328</v>
      </c>
      <c r="E419" s="325">
        <v>266</v>
      </c>
      <c r="F419" s="325">
        <v>246</v>
      </c>
      <c r="G419" s="325">
        <v>206</v>
      </c>
      <c r="H419" s="325">
        <v>102</v>
      </c>
      <c r="I419" s="325">
        <v>42</v>
      </c>
      <c r="J419" s="325">
        <v>32</v>
      </c>
      <c r="K419" s="325">
        <v>24</v>
      </c>
      <c r="L419" s="325">
        <v>16</v>
      </c>
      <c r="M419" s="435">
        <v>14</v>
      </c>
    </row>
    <row r="420" spans="1:13" ht="14.25">
      <c r="B420" s="434" t="s">
        <v>15</v>
      </c>
      <c r="C420" s="325">
        <v>288</v>
      </c>
      <c r="D420" s="325">
        <v>230</v>
      </c>
      <c r="E420" s="325">
        <v>186</v>
      </c>
      <c r="F420" s="325">
        <v>172</v>
      </c>
      <c r="G420" s="325">
        <v>144</v>
      </c>
      <c r="H420" s="325">
        <v>70</v>
      </c>
      <c r="I420" s="325">
        <v>28</v>
      </c>
      <c r="J420" s="325">
        <v>22</v>
      </c>
      <c r="K420" s="325">
        <v>18</v>
      </c>
      <c r="L420" s="325">
        <v>12</v>
      </c>
      <c r="M420" s="325">
        <v>10</v>
      </c>
    </row>
    <row r="421" spans="1:13" ht="14.25">
      <c r="B421" s="434" t="s">
        <v>16</v>
      </c>
      <c r="C421" s="476" t="s">
        <v>18</v>
      </c>
      <c r="D421" s="477"/>
      <c r="E421" s="477"/>
      <c r="F421" s="477"/>
      <c r="G421" s="477"/>
      <c r="H421" s="477"/>
      <c r="I421" s="477"/>
      <c r="J421" s="477"/>
      <c r="K421" s="477"/>
      <c r="L421" s="477"/>
      <c r="M421" s="478"/>
    </row>
    <row r="422" spans="1:13" ht="14.25">
      <c r="B422" s="434" t="s">
        <v>17</v>
      </c>
      <c r="C422" s="476" t="s">
        <v>18</v>
      </c>
      <c r="D422" s="477"/>
      <c r="E422" s="477"/>
      <c r="F422" s="477"/>
      <c r="G422" s="477"/>
      <c r="H422" s="477"/>
      <c r="I422" s="477"/>
      <c r="J422" s="477"/>
      <c r="K422" s="477"/>
      <c r="L422" s="477"/>
      <c r="M422" s="478"/>
    </row>
    <row r="423" spans="1:13" ht="14.25">
      <c r="B423" s="436"/>
      <c r="C423" s="436"/>
      <c r="D423" s="436"/>
      <c r="E423" s="436"/>
    </row>
    <row r="424" spans="1:13" ht="18">
      <c r="B424" s="430" t="s">
        <v>54</v>
      </c>
      <c r="C424" s="430"/>
      <c r="D424" s="430"/>
      <c r="E424" s="430"/>
    </row>
    <row r="425" spans="1:13" ht="30" customHeight="1">
      <c r="A425" s="437"/>
      <c r="B425" s="431" t="s">
        <v>39</v>
      </c>
      <c r="C425" s="431"/>
      <c r="D425" s="431"/>
      <c r="E425" s="431"/>
    </row>
    <row r="426" spans="1:13" ht="14.25">
      <c r="B426" s="432" t="s">
        <v>2</v>
      </c>
      <c r="C426" s="433" t="s">
        <v>3</v>
      </c>
      <c r="D426" s="433" t="s">
        <v>4</v>
      </c>
      <c r="E426" s="433" t="s">
        <v>5</v>
      </c>
      <c r="F426" s="433" t="s">
        <v>6</v>
      </c>
      <c r="G426" s="433" t="s">
        <v>7</v>
      </c>
      <c r="H426" s="433" t="s">
        <v>8</v>
      </c>
      <c r="I426" s="433" t="s">
        <v>9</v>
      </c>
      <c r="J426" s="433" t="s">
        <v>10</v>
      </c>
      <c r="K426" s="433" t="s">
        <v>11</v>
      </c>
      <c r="L426" s="433" t="s">
        <v>12</v>
      </c>
      <c r="M426" s="432" t="s">
        <v>13</v>
      </c>
    </row>
    <row r="427" spans="1:13" ht="14.25">
      <c r="B427" s="434" t="s">
        <v>14</v>
      </c>
      <c r="C427" s="320">
        <v>12800</v>
      </c>
      <c r="D427" s="325">
        <v>11200</v>
      </c>
      <c r="E427" s="325">
        <v>9000</v>
      </c>
      <c r="F427" s="325">
        <v>6800</v>
      </c>
      <c r="G427" s="325">
        <v>5400</v>
      </c>
      <c r="H427" s="325">
        <v>4400</v>
      </c>
      <c r="I427" s="325">
        <v>4000</v>
      </c>
      <c r="J427" s="325">
        <v>3400</v>
      </c>
      <c r="K427" s="325">
        <v>3000</v>
      </c>
      <c r="L427" s="325">
        <v>1600</v>
      </c>
      <c r="M427" s="435">
        <v>800</v>
      </c>
    </row>
    <row r="428" spans="1:13" ht="14.25">
      <c r="B428" s="434" t="s">
        <v>15</v>
      </c>
      <c r="C428" s="325">
        <v>11200</v>
      </c>
      <c r="D428" s="325">
        <v>9000</v>
      </c>
      <c r="E428" s="325">
        <v>6800</v>
      </c>
      <c r="F428" s="325">
        <v>5400</v>
      </c>
      <c r="G428" s="325">
        <v>4400</v>
      </c>
      <c r="H428" s="325">
        <v>4000</v>
      </c>
      <c r="I428" s="325">
        <v>3400</v>
      </c>
      <c r="J428" s="325">
        <v>3000</v>
      </c>
      <c r="K428" s="325">
        <v>1600</v>
      </c>
      <c r="L428" s="325">
        <v>800</v>
      </c>
      <c r="M428" s="435">
        <v>200</v>
      </c>
    </row>
    <row r="429" spans="1:13" ht="14.25">
      <c r="B429" s="434" t="s">
        <v>16</v>
      </c>
      <c r="C429" s="325">
        <v>9000</v>
      </c>
      <c r="D429" s="325">
        <v>6800</v>
      </c>
      <c r="E429" s="325">
        <v>5400</v>
      </c>
      <c r="F429" s="325">
        <v>4400</v>
      </c>
      <c r="G429" s="325">
        <v>4000</v>
      </c>
      <c r="H429" s="325">
        <v>3400</v>
      </c>
      <c r="I429" s="325">
        <v>3000</v>
      </c>
      <c r="J429" s="325">
        <v>1600</v>
      </c>
      <c r="K429" s="325">
        <v>800</v>
      </c>
      <c r="L429" s="325">
        <v>200</v>
      </c>
      <c r="M429" s="435">
        <v>160</v>
      </c>
    </row>
    <row r="430" spans="1:13" ht="14.25">
      <c r="B430" s="434" t="s">
        <v>17</v>
      </c>
      <c r="C430" s="443">
        <v>6800</v>
      </c>
      <c r="D430" s="444">
        <v>5400</v>
      </c>
      <c r="E430" s="444">
        <v>4400</v>
      </c>
      <c r="F430" s="444">
        <v>4000</v>
      </c>
      <c r="G430" s="444">
        <v>3400</v>
      </c>
      <c r="H430" s="444">
        <v>3000</v>
      </c>
      <c r="I430" s="444">
        <v>1600</v>
      </c>
      <c r="J430" s="444">
        <v>800</v>
      </c>
      <c r="K430" s="444">
        <v>200</v>
      </c>
      <c r="L430" s="444">
        <v>160</v>
      </c>
      <c r="M430" s="445">
        <v>80</v>
      </c>
    </row>
    <row r="431" spans="1:13" ht="14.25">
      <c r="B431" s="436"/>
      <c r="C431" s="436"/>
      <c r="D431" s="436"/>
      <c r="E431" s="436"/>
    </row>
    <row r="432" spans="1:13" ht="14.25">
      <c r="B432" s="431" t="s">
        <v>19</v>
      </c>
      <c r="C432" s="431"/>
      <c r="D432" s="431"/>
      <c r="E432" s="431"/>
    </row>
    <row r="433" spans="1:13" ht="14.25">
      <c r="B433" s="432" t="s">
        <v>2</v>
      </c>
      <c r="C433" s="433" t="s">
        <v>3</v>
      </c>
      <c r="D433" s="433" t="s">
        <v>4</v>
      </c>
      <c r="E433" s="433" t="s">
        <v>5</v>
      </c>
      <c r="F433" s="433" t="s">
        <v>6</v>
      </c>
      <c r="G433" s="433" t="s">
        <v>7</v>
      </c>
      <c r="H433" s="433" t="s">
        <v>8</v>
      </c>
      <c r="I433" s="433" t="s">
        <v>9</v>
      </c>
      <c r="J433" s="433" t="s">
        <v>10</v>
      </c>
      <c r="K433" s="433" t="s">
        <v>11</v>
      </c>
      <c r="L433" s="433" t="s">
        <v>12</v>
      </c>
      <c r="M433" s="432" t="s">
        <v>13</v>
      </c>
    </row>
    <row r="434" spans="1:13" ht="14.25">
      <c r="B434" s="434" t="s">
        <v>14</v>
      </c>
      <c r="C434" s="320">
        <v>19000</v>
      </c>
      <c r="D434" s="325">
        <v>17000</v>
      </c>
      <c r="E434" s="325">
        <v>14400</v>
      </c>
      <c r="F434" s="325">
        <v>11800</v>
      </c>
      <c r="G434" s="325">
        <v>10000</v>
      </c>
      <c r="H434" s="325">
        <v>8400</v>
      </c>
      <c r="I434" s="325">
        <v>7200</v>
      </c>
      <c r="J434" s="325">
        <v>6200</v>
      </c>
      <c r="K434" s="325">
        <v>4800</v>
      </c>
      <c r="L434" s="325">
        <v>2200</v>
      </c>
      <c r="M434" s="435">
        <v>400</v>
      </c>
    </row>
    <row r="435" spans="1:13" ht="14.25">
      <c r="B435" s="434" t="s">
        <v>15</v>
      </c>
      <c r="C435" s="325">
        <v>17000</v>
      </c>
      <c r="D435" s="325">
        <v>14400</v>
      </c>
      <c r="E435" s="325">
        <v>11800</v>
      </c>
      <c r="F435" s="325">
        <v>10000</v>
      </c>
      <c r="G435" s="325">
        <v>8400</v>
      </c>
      <c r="H435" s="325">
        <v>7200</v>
      </c>
      <c r="I435" s="325">
        <v>6200</v>
      </c>
      <c r="J435" s="325">
        <v>4800</v>
      </c>
      <c r="K435" s="325">
        <v>2200</v>
      </c>
      <c r="L435" s="325">
        <v>400</v>
      </c>
      <c r="M435" s="435">
        <v>200</v>
      </c>
    </row>
    <row r="436" spans="1:13" ht="14.25">
      <c r="B436" s="434" t="s">
        <v>16</v>
      </c>
      <c r="C436" s="325">
        <v>14400</v>
      </c>
      <c r="D436" s="325">
        <v>11800</v>
      </c>
      <c r="E436" s="325">
        <v>10000</v>
      </c>
      <c r="F436" s="325">
        <v>8400</v>
      </c>
      <c r="G436" s="325">
        <v>7200</v>
      </c>
      <c r="H436" s="325">
        <v>6200</v>
      </c>
      <c r="I436" s="325">
        <v>4800</v>
      </c>
      <c r="J436" s="325">
        <v>2200</v>
      </c>
      <c r="K436" s="325">
        <v>400</v>
      </c>
      <c r="L436" s="325">
        <v>200</v>
      </c>
      <c r="M436" s="435">
        <v>160</v>
      </c>
    </row>
    <row r="437" spans="1:13" ht="14.25">
      <c r="B437" s="434" t="s">
        <v>17</v>
      </c>
      <c r="C437" s="443">
        <v>11800</v>
      </c>
      <c r="D437" s="444">
        <v>10000</v>
      </c>
      <c r="E437" s="444">
        <v>8400</v>
      </c>
      <c r="F437" s="444">
        <v>7200</v>
      </c>
      <c r="G437" s="444">
        <v>6200</v>
      </c>
      <c r="H437" s="444">
        <v>4800</v>
      </c>
      <c r="I437" s="444">
        <v>2200</v>
      </c>
      <c r="J437" s="444">
        <v>400</v>
      </c>
      <c r="K437" s="444">
        <v>200</v>
      </c>
      <c r="L437" s="444">
        <v>160</v>
      </c>
      <c r="M437" s="445">
        <v>100</v>
      </c>
    </row>
    <row r="438" spans="1:13" ht="14.25">
      <c r="B438" s="440"/>
      <c r="C438" s="431"/>
      <c r="D438" s="431"/>
      <c r="E438" s="431"/>
      <c r="F438" s="431"/>
      <c r="G438" s="431"/>
      <c r="H438" s="431"/>
      <c r="I438" s="431"/>
      <c r="J438" s="431"/>
      <c r="K438" s="431"/>
      <c r="L438" s="431"/>
      <c r="M438" s="431"/>
    </row>
    <row r="439" spans="1:13" ht="18">
      <c r="B439" s="430" t="s">
        <v>55</v>
      </c>
      <c r="C439" s="430"/>
      <c r="D439" s="430"/>
      <c r="E439" s="430"/>
    </row>
    <row r="440" spans="1:13" ht="30" customHeight="1">
      <c r="A440" s="437"/>
      <c r="B440" s="431" t="s">
        <v>39</v>
      </c>
      <c r="C440" s="431"/>
      <c r="D440" s="431"/>
      <c r="E440" s="431"/>
    </row>
    <row r="441" spans="1:13" ht="14.25">
      <c r="B441" s="432" t="s">
        <v>2</v>
      </c>
      <c r="C441" s="433" t="s">
        <v>3</v>
      </c>
      <c r="D441" s="433" t="s">
        <v>4</v>
      </c>
      <c r="E441" s="433" t="s">
        <v>5</v>
      </c>
      <c r="F441" s="433" t="s">
        <v>6</v>
      </c>
      <c r="G441" s="433" t="s">
        <v>7</v>
      </c>
      <c r="H441" s="433" t="s">
        <v>8</v>
      </c>
      <c r="I441" s="433" t="s">
        <v>9</v>
      </c>
      <c r="J441" s="433" t="s">
        <v>10</v>
      </c>
      <c r="K441" s="433" t="s">
        <v>11</v>
      </c>
      <c r="L441" s="433" t="s">
        <v>12</v>
      </c>
      <c r="M441" s="432" t="s">
        <v>13</v>
      </c>
    </row>
    <row r="442" spans="1:13" ht="14.25">
      <c r="B442" s="434" t="s">
        <v>14</v>
      </c>
      <c r="C442" s="320">
        <v>1380</v>
      </c>
      <c r="D442" s="325">
        <v>1034</v>
      </c>
      <c r="E442" s="325">
        <v>776</v>
      </c>
      <c r="F442" s="325">
        <v>582</v>
      </c>
      <c r="G442" s="325">
        <v>436</v>
      </c>
      <c r="H442" s="325">
        <v>328</v>
      </c>
      <c r="I442" s="325">
        <v>246</v>
      </c>
      <c r="J442" s="325">
        <v>184</v>
      </c>
      <c r="K442" s="325">
        <v>138</v>
      </c>
      <c r="L442" s="325">
        <v>104</v>
      </c>
      <c r="M442" s="435">
        <v>78</v>
      </c>
    </row>
    <row r="443" spans="1:13" ht="14.25">
      <c r="B443" s="434" t="s">
        <v>15</v>
      </c>
      <c r="C443" s="476" t="s">
        <v>18</v>
      </c>
      <c r="D443" s="477"/>
      <c r="E443" s="477"/>
      <c r="F443" s="477"/>
      <c r="G443" s="477"/>
      <c r="H443" s="477"/>
      <c r="I443" s="477"/>
      <c r="J443" s="477"/>
      <c r="K443" s="477"/>
      <c r="L443" s="477"/>
      <c r="M443" s="478"/>
    </row>
    <row r="444" spans="1:13" ht="14.25">
      <c r="B444" s="434" t="s">
        <v>16</v>
      </c>
      <c r="C444" s="476" t="s">
        <v>18</v>
      </c>
      <c r="D444" s="477"/>
      <c r="E444" s="477"/>
      <c r="F444" s="477"/>
      <c r="G444" s="477"/>
      <c r="H444" s="477"/>
      <c r="I444" s="477"/>
      <c r="J444" s="477"/>
      <c r="K444" s="477"/>
      <c r="L444" s="477"/>
      <c r="M444" s="478"/>
    </row>
    <row r="445" spans="1:13" ht="14.25">
      <c r="B445" s="434" t="s">
        <v>17</v>
      </c>
      <c r="C445" s="476" t="s">
        <v>18</v>
      </c>
      <c r="D445" s="477"/>
      <c r="E445" s="477"/>
      <c r="F445" s="477"/>
      <c r="G445" s="477"/>
      <c r="H445" s="477"/>
      <c r="I445" s="477"/>
      <c r="J445" s="477"/>
      <c r="K445" s="477"/>
      <c r="L445" s="477"/>
      <c r="M445" s="478"/>
    </row>
    <row r="446" spans="1:13" ht="14.25">
      <c r="B446" s="436"/>
      <c r="C446" s="436"/>
      <c r="D446" s="436"/>
      <c r="E446" s="436"/>
    </row>
    <row r="447" spans="1:13" ht="14.25">
      <c r="B447" s="431" t="s">
        <v>19</v>
      </c>
      <c r="C447" s="431"/>
      <c r="D447" s="431"/>
      <c r="E447" s="431"/>
    </row>
    <row r="448" spans="1:13" ht="14.25">
      <c r="B448" s="432" t="s">
        <v>2</v>
      </c>
      <c r="C448" s="433" t="s">
        <v>3</v>
      </c>
      <c r="D448" s="433" t="s">
        <v>4</v>
      </c>
      <c r="E448" s="433" t="s">
        <v>5</v>
      </c>
      <c r="F448" s="433" t="s">
        <v>6</v>
      </c>
      <c r="G448" s="433" t="s">
        <v>7</v>
      </c>
      <c r="H448" s="433" t="s">
        <v>8</v>
      </c>
      <c r="I448" s="433" t="s">
        <v>9</v>
      </c>
      <c r="J448" s="433" t="s">
        <v>10</v>
      </c>
      <c r="K448" s="433" t="s">
        <v>11</v>
      </c>
      <c r="L448" s="433" t="s">
        <v>12</v>
      </c>
      <c r="M448" s="432" t="s">
        <v>13</v>
      </c>
    </row>
    <row r="449" spans="1:13" ht="14.25">
      <c r="B449" s="434" t="s">
        <v>14</v>
      </c>
      <c r="C449" s="320">
        <v>1584</v>
      </c>
      <c r="D449" s="325">
        <v>1188</v>
      </c>
      <c r="E449" s="325">
        <v>890</v>
      </c>
      <c r="F449" s="325">
        <v>668</v>
      </c>
      <c r="G449" s="325">
        <v>502</v>
      </c>
      <c r="H449" s="325">
        <v>376</v>
      </c>
      <c r="I449" s="325">
        <v>282</v>
      </c>
      <c r="J449" s="325">
        <v>212</v>
      </c>
      <c r="K449" s="325">
        <v>158</v>
      </c>
      <c r="L449" s="325">
        <v>120</v>
      </c>
      <c r="M449" s="435">
        <v>90</v>
      </c>
    </row>
    <row r="450" spans="1:13" ht="14.25">
      <c r="B450" s="434" t="s">
        <v>15</v>
      </c>
      <c r="C450" s="476" t="s">
        <v>18</v>
      </c>
      <c r="D450" s="477"/>
      <c r="E450" s="477"/>
      <c r="F450" s="477"/>
      <c r="G450" s="477"/>
      <c r="H450" s="477"/>
      <c r="I450" s="477"/>
      <c r="J450" s="477"/>
      <c r="K450" s="477"/>
      <c r="L450" s="477"/>
      <c r="M450" s="478"/>
    </row>
    <row r="451" spans="1:13" ht="14.25">
      <c r="B451" s="434" t="s">
        <v>16</v>
      </c>
      <c r="C451" s="476" t="s">
        <v>18</v>
      </c>
      <c r="D451" s="477"/>
      <c r="E451" s="477"/>
      <c r="F451" s="477"/>
      <c r="G451" s="477"/>
      <c r="H451" s="477"/>
      <c r="I451" s="477"/>
      <c r="J451" s="477"/>
      <c r="K451" s="477"/>
      <c r="L451" s="477"/>
      <c r="M451" s="478"/>
    </row>
    <row r="452" spans="1:13" ht="14.25">
      <c r="B452" s="434" t="s">
        <v>17</v>
      </c>
      <c r="C452" s="476" t="s">
        <v>18</v>
      </c>
      <c r="D452" s="477"/>
      <c r="E452" s="477"/>
      <c r="F452" s="477"/>
      <c r="G452" s="477"/>
      <c r="H452" s="477"/>
      <c r="I452" s="477"/>
      <c r="J452" s="477"/>
      <c r="K452" s="477"/>
      <c r="L452" s="477"/>
      <c r="M452" s="478"/>
    </row>
    <row r="453" spans="1:13" ht="14.25">
      <c r="B453" s="440"/>
      <c r="C453" s="441"/>
      <c r="D453" s="441"/>
      <c r="E453" s="441"/>
      <c r="F453" s="441"/>
      <c r="G453" s="441"/>
      <c r="H453" s="441"/>
      <c r="I453" s="441"/>
      <c r="J453" s="441"/>
      <c r="K453" s="441"/>
      <c r="L453" s="441"/>
      <c r="M453" s="441"/>
    </row>
    <row r="454" spans="1:13" ht="18">
      <c r="B454" s="430" t="s">
        <v>56</v>
      </c>
      <c r="C454" s="430"/>
      <c r="D454" s="430"/>
      <c r="E454" s="430"/>
    </row>
    <row r="455" spans="1:13" ht="30" customHeight="1">
      <c r="A455" s="437"/>
      <c r="B455" s="431" t="s">
        <v>39</v>
      </c>
      <c r="C455" s="431"/>
      <c r="D455" s="431"/>
      <c r="E455" s="431"/>
    </row>
    <row r="456" spans="1:13" ht="14.25">
      <c r="B456" s="432" t="s">
        <v>2</v>
      </c>
      <c r="C456" s="433" t="s">
        <v>3</v>
      </c>
      <c r="D456" s="433" t="s">
        <v>4</v>
      </c>
      <c r="E456" s="433" t="s">
        <v>5</v>
      </c>
      <c r="F456" s="433" t="s">
        <v>6</v>
      </c>
      <c r="G456" s="433" t="s">
        <v>7</v>
      </c>
      <c r="H456" s="433" t="s">
        <v>8</v>
      </c>
      <c r="I456" s="433" t="s">
        <v>9</v>
      </c>
      <c r="J456" s="433" t="s">
        <v>10</v>
      </c>
      <c r="K456" s="433" t="s">
        <v>11</v>
      </c>
      <c r="L456" s="433" t="s">
        <v>12</v>
      </c>
      <c r="M456" s="432" t="s">
        <v>13</v>
      </c>
    </row>
    <row r="457" spans="1:13" ht="14.25">
      <c r="B457" s="434" t="s">
        <v>14</v>
      </c>
      <c r="C457" s="320">
        <v>1600</v>
      </c>
      <c r="D457" s="325">
        <v>1200</v>
      </c>
      <c r="E457" s="325">
        <v>900</v>
      </c>
      <c r="F457" s="325">
        <v>676</v>
      </c>
      <c r="G457" s="325">
        <v>506</v>
      </c>
      <c r="H457" s="325">
        <v>380</v>
      </c>
      <c r="I457" s="325">
        <v>284</v>
      </c>
      <c r="J457" s="325">
        <v>214</v>
      </c>
      <c r="K457" s="325">
        <v>160</v>
      </c>
      <c r="L457" s="325">
        <v>120</v>
      </c>
      <c r="M457" s="435">
        <v>90</v>
      </c>
    </row>
    <row r="458" spans="1:13" ht="14.25">
      <c r="B458" s="434" t="s">
        <v>15</v>
      </c>
      <c r="C458" s="325">
        <v>1200</v>
      </c>
      <c r="D458" s="325">
        <v>900</v>
      </c>
      <c r="E458" s="325">
        <v>676</v>
      </c>
      <c r="F458" s="325">
        <v>506</v>
      </c>
      <c r="G458" s="325">
        <v>380</v>
      </c>
      <c r="H458" s="325">
        <v>284</v>
      </c>
      <c r="I458" s="325">
        <v>214</v>
      </c>
      <c r="J458" s="325">
        <v>160</v>
      </c>
      <c r="K458" s="325">
        <v>120</v>
      </c>
      <c r="L458" s="435">
        <v>90</v>
      </c>
      <c r="M458" s="435">
        <v>60</v>
      </c>
    </row>
    <row r="459" spans="1:13" ht="14.25">
      <c r="B459" s="434" t="s">
        <v>16</v>
      </c>
      <c r="C459" s="325">
        <v>900</v>
      </c>
      <c r="D459" s="325">
        <v>676</v>
      </c>
      <c r="E459" s="325">
        <v>506</v>
      </c>
      <c r="F459" s="325">
        <v>380</v>
      </c>
      <c r="G459" s="325">
        <v>284</v>
      </c>
      <c r="H459" s="325">
        <v>214</v>
      </c>
      <c r="I459" s="325">
        <v>160</v>
      </c>
      <c r="J459" s="325">
        <v>120</v>
      </c>
      <c r="K459" s="435">
        <v>90</v>
      </c>
      <c r="L459" s="435">
        <v>60</v>
      </c>
      <c r="M459" s="435">
        <v>30</v>
      </c>
    </row>
    <row r="460" spans="1:13" ht="14.25">
      <c r="B460" s="434" t="s">
        <v>17</v>
      </c>
      <c r="C460" s="476" t="s">
        <v>18</v>
      </c>
      <c r="D460" s="477"/>
      <c r="E460" s="477"/>
      <c r="F460" s="477"/>
      <c r="G460" s="477"/>
      <c r="H460" s="477"/>
      <c r="I460" s="477"/>
      <c r="J460" s="477"/>
      <c r="K460" s="477"/>
      <c r="L460" s="477"/>
      <c r="M460" s="478"/>
    </row>
    <row r="461" spans="1:13" ht="14.25">
      <c r="B461" s="436"/>
      <c r="C461" s="436"/>
      <c r="D461" s="436"/>
      <c r="E461" s="436"/>
    </row>
    <row r="462" spans="1:13" ht="14.25">
      <c r="B462" s="431" t="s">
        <v>19</v>
      </c>
      <c r="C462" s="431"/>
      <c r="D462" s="431"/>
      <c r="E462" s="431"/>
    </row>
    <row r="463" spans="1:13" ht="14.25">
      <c r="B463" s="432" t="s">
        <v>2</v>
      </c>
      <c r="C463" s="433" t="s">
        <v>3</v>
      </c>
      <c r="D463" s="433" t="s">
        <v>4</v>
      </c>
      <c r="E463" s="433" t="s">
        <v>5</v>
      </c>
      <c r="F463" s="433" t="s">
        <v>6</v>
      </c>
      <c r="G463" s="433" t="s">
        <v>7</v>
      </c>
      <c r="H463" s="433" t="s">
        <v>8</v>
      </c>
      <c r="I463" s="433" t="s">
        <v>9</v>
      </c>
      <c r="J463" s="433" t="s">
        <v>10</v>
      </c>
      <c r="K463" s="433" t="s">
        <v>11</v>
      </c>
      <c r="L463" s="433" t="s">
        <v>12</v>
      </c>
      <c r="M463" s="432" t="s">
        <v>13</v>
      </c>
    </row>
    <row r="464" spans="1:13" ht="14.25">
      <c r="B464" s="434" t="s">
        <v>14</v>
      </c>
      <c r="C464" s="320">
        <v>1900</v>
      </c>
      <c r="D464" s="325">
        <v>1426</v>
      </c>
      <c r="E464" s="325">
        <v>1068</v>
      </c>
      <c r="F464" s="325">
        <v>802</v>
      </c>
      <c r="G464" s="325">
        <v>602</v>
      </c>
      <c r="H464" s="325">
        <v>450</v>
      </c>
      <c r="I464" s="325">
        <v>338</v>
      </c>
      <c r="J464" s="325">
        <v>254</v>
      </c>
      <c r="K464" s="325">
        <v>190</v>
      </c>
      <c r="L464" s="325">
        <v>142</v>
      </c>
      <c r="M464" s="435">
        <v>106</v>
      </c>
    </row>
    <row r="465" spans="1:13" ht="14.25">
      <c r="B465" s="434" t="s">
        <v>15</v>
      </c>
      <c r="C465" s="325">
        <v>1426</v>
      </c>
      <c r="D465" s="325">
        <v>1068</v>
      </c>
      <c r="E465" s="325">
        <v>802</v>
      </c>
      <c r="F465" s="325">
        <v>602</v>
      </c>
      <c r="G465" s="325">
        <v>450</v>
      </c>
      <c r="H465" s="325">
        <v>338</v>
      </c>
      <c r="I465" s="325">
        <v>254</v>
      </c>
      <c r="J465" s="325">
        <v>190</v>
      </c>
      <c r="K465" s="325">
        <v>142</v>
      </c>
      <c r="L465" s="435">
        <v>106</v>
      </c>
      <c r="M465" s="435">
        <v>70</v>
      </c>
    </row>
    <row r="466" spans="1:13" ht="14.25">
      <c r="B466" s="434" t="s">
        <v>16</v>
      </c>
      <c r="C466" s="325">
        <v>1068</v>
      </c>
      <c r="D466" s="325">
        <v>802</v>
      </c>
      <c r="E466" s="325">
        <v>602</v>
      </c>
      <c r="F466" s="325">
        <v>450</v>
      </c>
      <c r="G466" s="325">
        <v>338</v>
      </c>
      <c r="H466" s="325">
        <v>254</v>
      </c>
      <c r="I466" s="325">
        <v>190</v>
      </c>
      <c r="J466" s="325">
        <v>142</v>
      </c>
      <c r="K466" s="435">
        <v>106</v>
      </c>
      <c r="L466" s="435">
        <v>70</v>
      </c>
      <c r="M466" s="435">
        <v>34</v>
      </c>
    </row>
    <row r="467" spans="1:13" ht="14.25">
      <c r="B467" s="434" t="s">
        <v>17</v>
      </c>
      <c r="C467" s="476" t="s">
        <v>18</v>
      </c>
      <c r="D467" s="477"/>
      <c r="E467" s="477"/>
      <c r="F467" s="477"/>
      <c r="G467" s="477"/>
      <c r="H467" s="477"/>
      <c r="I467" s="477"/>
      <c r="J467" s="477"/>
      <c r="K467" s="477"/>
      <c r="L467" s="477"/>
      <c r="M467" s="478"/>
    </row>
    <row r="468" spans="1:13" ht="14.25">
      <c r="B468" s="440"/>
      <c r="C468" s="441"/>
      <c r="D468" s="441"/>
      <c r="E468" s="441"/>
      <c r="F468" s="441"/>
      <c r="G468" s="441"/>
      <c r="H468" s="441"/>
      <c r="I468" s="441"/>
      <c r="J468" s="441"/>
      <c r="K468" s="441"/>
      <c r="L468" s="441"/>
      <c r="M468" s="441"/>
    </row>
    <row r="469" spans="1:13" ht="18">
      <c r="B469" s="430" t="s">
        <v>57</v>
      </c>
      <c r="C469" s="430"/>
      <c r="D469" s="430"/>
      <c r="E469" s="430"/>
    </row>
    <row r="470" spans="1:13" ht="30" customHeight="1">
      <c r="A470" s="437"/>
      <c r="B470" s="431" t="s">
        <v>39</v>
      </c>
      <c r="C470" s="431"/>
      <c r="D470" s="431"/>
      <c r="E470" s="431"/>
    </row>
    <row r="471" spans="1:13" ht="14.25">
      <c r="B471" s="432" t="s">
        <v>2</v>
      </c>
      <c r="C471" s="433" t="s">
        <v>3</v>
      </c>
      <c r="D471" s="433" t="s">
        <v>4</v>
      </c>
      <c r="E471" s="433" t="s">
        <v>5</v>
      </c>
      <c r="F471" s="433" t="s">
        <v>6</v>
      </c>
      <c r="G471" s="433" t="s">
        <v>7</v>
      </c>
      <c r="H471" s="433" t="s">
        <v>8</v>
      </c>
      <c r="I471" s="433" t="s">
        <v>9</v>
      </c>
      <c r="J471" s="433" t="s">
        <v>10</v>
      </c>
      <c r="K471" s="433" t="s">
        <v>11</v>
      </c>
      <c r="L471" s="433" t="s">
        <v>12</v>
      </c>
      <c r="M471" s="432" t="s">
        <v>13</v>
      </c>
    </row>
    <row r="472" spans="1:13" ht="14.25">
      <c r="B472" s="434" t="s">
        <v>14</v>
      </c>
      <c r="C472" s="320">
        <v>5200</v>
      </c>
      <c r="D472" s="325">
        <v>3900</v>
      </c>
      <c r="E472" s="325">
        <v>2926</v>
      </c>
      <c r="F472" s="325">
        <v>2194</v>
      </c>
      <c r="G472" s="325">
        <v>1646</v>
      </c>
      <c r="H472" s="325">
        <v>1234</v>
      </c>
      <c r="I472" s="325">
        <v>926</v>
      </c>
      <c r="J472" s="325">
        <v>694</v>
      </c>
      <c r="K472" s="325">
        <v>520</v>
      </c>
      <c r="L472" s="325">
        <v>390</v>
      </c>
      <c r="M472" s="435">
        <v>292</v>
      </c>
    </row>
    <row r="473" spans="1:13" ht="14.25">
      <c r="B473" s="434" t="s">
        <v>15</v>
      </c>
      <c r="C473" s="325">
        <v>3120</v>
      </c>
      <c r="D473" s="325">
        <v>2340</v>
      </c>
      <c r="E473" s="325">
        <v>1756</v>
      </c>
      <c r="F473" s="325">
        <v>1316</v>
      </c>
      <c r="G473" s="325">
        <v>988</v>
      </c>
      <c r="H473" s="325">
        <v>740</v>
      </c>
      <c r="I473" s="325">
        <v>556</v>
      </c>
      <c r="J473" s="325">
        <v>416</v>
      </c>
      <c r="K473" s="325">
        <v>312</v>
      </c>
      <c r="L473" s="435">
        <v>234</v>
      </c>
      <c r="M473" s="435">
        <v>176</v>
      </c>
    </row>
    <row r="474" spans="1:13" ht="14.25">
      <c r="B474" s="434" t="s">
        <v>16</v>
      </c>
      <c r="C474" s="476" t="s">
        <v>18</v>
      </c>
      <c r="D474" s="477"/>
      <c r="E474" s="477"/>
      <c r="F474" s="477"/>
      <c r="G474" s="477"/>
      <c r="H474" s="477"/>
      <c r="I474" s="477"/>
      <c r="J474" s="477"/>
      <c r="K474" s="477"/>
      <c r="L474" s="477"/>
      <c r="M474" s="478"/>
    </row>
    <row r="475" spans="1:13" ht="14.25">
      <c r="B475" s="434" t="s">
        <v>17</v>
      </c>
      <c r="C475" s="476" t="s">
        <v>18</v>
      </c>
      <c r="D475" s="477"/>
      <c r="E475" s="477"/>
      <c r="F475" s="477"/>
      <c r="G475" s="477"/>
      <c r="H475" s="477"/>
      <c r="I475" s="477"/>
      <c r="J475" s="477"/>
      <c r="K475" s="477"/>
      <c r="L475" s="477"/>
      <c r="M475" s="478"/>
    </row>
    <row r="476" spans="1:13" ht="14.25">
      <c r="B476" s="436"/>
      <c r="C476" s="436"/>
      <c r="D476" s="436"/>
      <c r="E476" s="436"/>
    </row>
    <row r="477" spans="1:13" ht="14.25">
      <c r="B477" s="431" t="s">
        <v>19</v>
      </c>
      <c r="C477" s="431"/>
      <c r="D477" s="431"/>
      <c r="E477" s="431"/>
    </row>
    <row r="478" spans="1:13" ht="14.25">
      <c r="B478" s="432" t="s">
        <v>2</v>
      </c>
      <c r="C478" s="433" t="s">
        <v>3</v>
      </c>
      <c r="D478" s="433" t="s">
        <v>4</v>
      </c>
      <c r="E478" s="433" t="s">
        <v>5</v>
      </c>
      <c r="F478" s="433" t="s">
        <v>6</v>
      </c>
      <c r="G478" s="433" t="s">
        <v>7</v>
      </c>
      <c r="H478" s="433" t="s">
        <v>8</v>
      </c>
      <c r="I478" s="433" t="s">
        <v>9</v>
      </c>
      <c r="J478" s="433" t="s">
        <v>10</v>
      </c>
      <c r="K478" s="433" t="s">
        <v>11</v>
      </c>
      <c r="L478" s="433" t="s">
        <v>12</v>
      </c>
      <c r="M478" s="432" t="s">
        <v>13</v>
      </c>
    </row>
    <row r="479" spans="1:13" ht="14.25">
      <c r="B479" s="434" t="s">
        <v>14</v>
      </c>
      <c r="C479" s="320">
        <v>6760</v>
      </c>
      <c r="D479" s="325">
        <v>4056</v>
      </c>
      <c r="E479" s="325">
        <v>2434</v>
      </c>
      <c r="F479" s="325">
        <v>1460</v>
      </c>
      <c r="G479" s="325">
        <v>876</v>
      </c>
      <c r="H479" s="325">
        <v>526</v>
      </c>
      <c r="I479" s="325">
        <v>316</v>
      </c>
      <c r="J479" s="325">
        <v>190</v>
      </c>
      <c r="K479" s="325">
        <v>114</v>
      </c>
      <c r="L479" s="325">
        <v>68</v>
      </c>
      <c r="M479" s="435">
        <v>40</v>
      </c>
    </row>
    <row r="480" spans="1:13" ht="14.25">
      <c r="B480" s="434" t="s">
        <v>15</v>
      </c>
      <c r="C480" s="325">
        <v>4056</v>
      </c>
      <c r="D480" s="325">
        <v>2434</v>
      </c>
      <c r="E480" s="325">
        <v>1460</v>
      </c>
      <c r="F480" s="325">
        <v>876</v>
      </c>
      <c r="G480" s="325">
        <v>526</v>
      </c>
      <c r="H480" s="325">
        <v>316</v>
      </c>
      <c r="I480" s="325">
        <v>190</v>
      </c>
      <c r="J480" s="325">
        <v>114</v>
      </c>
      <c r="K480" s="325">
        <v>68</v>
      </c>
      <c r="L480" s="435">
        <v>40</v>
      </c>
      <c r="M480" s="435">
        <v>24</v>
      </c>
    </row>
    <row r="481" spans="1:13" ht="14.25">
      <c r="B481" s="434" t="s">
        <v>16</v>
      </c>
      <c r="C481" s="476" t="s">
        <v>18</v>
      </c>
      <c r="D481" s="477"/>
      <c r="E481" s="477"/>
      <c r="F481" s="477"/>
      <c r="G481" s="477"/>
      <c r="H481" s="477"/>
      <c r="I481" s="477"/>
      <c r="J481" s="477"/>
      <c r="K481" s="477"/>
      <c r="L481" s="477"/>
      <c r="M481" s="478"/>
    </row>
    <row r="482" spans="1:13" ht="14.25">
      <c r="B482" s="434" t="s">
        <v>17</v>
      </c>
      <c r="C482" s="476" t="s">
        <v>18</v>
      </c>
      <c r="D482" s="477"/>
      <c r="E482" s="477"/>
      <c r="F482" s="477"/>
      <c r="G482" s="477"/>
      <c r="H482" s="477"/>
      <c r="I482" s="477"/>
      <c r="J482" s="477"/>
      <c r="K482" s="477"/>
      <c r="L482" s="477"/>
      <c r="M482" s="478"/>
    </row>
    <row r="484" spans="1:13" ht="18">
      <c r="B484" s="430" t="s">
        <v>58</v>
      </c>
      <c r="C484" s="430"/>
      <c r="D484" s="430"/>
      <c r="E484" s="430"/>
    </row>
    <row r="485" spans="1:13" ht="30" customHeight="1">
      <c r="A485" s="437"/>
      <c r="B485" s="431" t="s">
        <v>39</v>
      </c>
      <c r="C485" s="431"/>
      <c r="D485" s="431"/>
      <c r="E485" s="431"/>
    </row>
    <row r="486" spans="1:13" ht="14.25">
      <c r="B486" s="432" t="s">
        <v>2</v>
      </c>
      <c r="C486" s="433" t="s">
        <v>3</v>
      </c>
      <c r="D486" s="433" t="s">
        <v>4</v>
      </c>
      <c r="E486" s="433" t="s">
        <v>5</v>
      </c>
      <c r="F486" s="433" t="s">
        <v>6</v>
      </c>
      <c r="G486" s="433" t="s">
        <v>7</v>
      </c>
      <c r="H486" s="433" t="s">
        <v>8</v>
      </c>
      <c r="I486" s="433" t="s">
        <v>9</v>
      </c>
      <c r="J486" s="433" t="s">
        <v>10</v>
      </c>
      <c r="K486" s="433" t="s">
        <v>11</v>
      </c>
      <c r="L486" s="433" t="s">
        <v>12</v>
      </c>
      <c r="M486" s="432" t="s">
        <v>13</v>
      </c>
    </row>
    <row r="487" spans="1:13" ht="14.25">
      <c r="B487" s="434" t="s">
        <v>14</v>
      </c>
      <c r="C487" s="320">
        <v>17187.5</v>
      </c>
      <c r="D487" s="325">
        <v>14545</v>
      </c>
      <c r="E487" s="325">
        <v>12045</v>
      </c>
      <c r="F487" s="325">
        <v>9545</v>
      </c>
      <c r="G487" s="325">
        <v>7045</v>
      </c>
      <c r="H487" s="325">
        <v>6045</v>
      </c>
      <c r="I487" s="325">
        <v>5545</v>
      </c>
      <c r="J487" s="325">
        <v>4295</v>
      </c>
      <c r="K487" s="325">
        <v>3045</v>
      </c>
      <c r="L487" s="325">
        <v>1795</v>
      </c>
      <c r="M487" s="435">
        <v>545</v>
      </c>
    </row>
    <row r="488" spans="1:13" ht="14.25">
      <c r="B488" s="434" t="s">
        <v>15</v>
      </c>
      <c r="C488" s="325">
        <v>14545</v>
      </c>
      <c r="D488" s="325">
        <v>12045</v>
      </c>
      <c r="E488" s="325">
        <v>9545</v>
      </c>
      <c r="F488" s="325">
        <v>7045</v>
      </c>
      <c r="G488" s="325">
        <v>6045</v>
      </c>
      <c r="H488" s="325">
        <v>5545</v>
      </c>
      <c r="I488" s="325">
        <v>4295</v>
      </c>
      <c r="J488" s="325">
        <v>3045</v>
      </c>
      <c r="K488" s="325">
        <v>1795</v>
      </c>
      <c r="L488" s="435">
        <v>545</v>
      </c>
      <c r="M488" s="435">
        <v>295</v>
      </c>
    </row>
    <row r="489" spans="1:13" ht="14.25">
      <c r="B489" s="434" t="s">
        <v>16</v>
      </c>
      <c r="C489" s="320">
        <v>12045</v>
      </c>
      <c r="D489" s="325">
        <v>9545</v>
      </c>
      <c r="E489" s="325">
        <v>7045</v>
      </c>
      <c r="F489" s="325">
        <v>6045</v>
      </c>
      <c r="G489" s="325">
        <v>5545</v>
      </c>
      <c r="H489" s="325">
        <v>4295</v>
      </c>
      <c r="I489" s="325">
        <v>3045</v>
      </c>
      <c r="J489" s="325">
        <v>1795</v>
      </c>
      <c r="K489" s="325">
        <v>545</v>
      </c>
      <c r="L489" s="325">
        <v>295</v>
      </c>
      <c r="M489" s="435">
        <v>145</v>
      </c>
    </row>
    <row r="490" spans="1:13" ht="14.25">
      <c r="B490" s="434" t="s">
        <v>17</v>
      </c>
      <c r="C490" s="476" t="s">
        <v>18</v>
      </c>
      <c r="D490" s="477"/>
      <c r="E490" s="477"/>
      <c r="F490" s="477"/>
      <c r="G490" s="477"/>
      <c r="H490" s="477"/>
      <c r="I490" s="477"/>
      <c r="J490" s="477"/>
      <c r="K490" s="477"/>
      <c r="L490" s="477"/>
      <c r="M490" s="478"/>
    </row>
    <row r="491" spans="1:13" ht="14.25">
      <c r="B491" s="436"/>
      <c r="C491" s="436"/>
      <c r="D491" s="436"/>
      <c r="E491" s="436"/>
    </row>
    <row r="492" spans="1:13" ht="14.25">
      <c r="B492" s="431" t="s">
        <v>19</v>
      </c>
      <c r="C492" s="431"/>
      <c r="D492" s="431"/>
      <c r="E492" s="431"/>
    </row>
    <row r="493" spans="1:13" ht="14.25">
      <c r="B493" s="432" t="s">
        <v>2</v>
      </c>
      <c r="C493" s="433" t="s">
        <v>3</v>
      </c>
      <c r="D493" s="433" t="s">
        <v>4</v>
      </c>
      <c r="E493" s="433" t="s">
        <v>5</v>
      </c>
      <c r="F493" s="433" t="s">
        <v>6</v>
      </c>
      <c r="G493" s="433" t="s">
        <v>7</v>
      </c>
      <c r="H493" s="433" t="s">
        <v>8</v>
      </c>
      <c r="I493" s="433" t="s">
        <v>9</v>
      </c>
      <c r="J493" s="433" t="s">
        <v>10</v>
      </c>
      <c r="K493" s="433" t="s">
        <v>11</v>
      </c>
      <c r="L493" s="433" t="s">
        <v>12</v>
      </c>
      <c r="M493" s="432" t="s">
        <v>13</v>
      </c>
    </row>
    <row r="494" spans="1:13" ht="14.25">
      <c r="B494" s="434" t="s">
        <v>14</v>
      </c>
      <c r="C494" s="320">
        <v>18750</v>
      </c>
      <c r="D494" s="325">
        <v>16250</v>
      </c>
      <c r="E494" s="325">
        <v>13750</v>
      </c>
      <c r="F494" s="325">
        <v>11250</v>
      </c>
      <c r="G494" s="325">
        <v>8750</v>
      </c>
      <c r="H494" s="325">
        <v>7750</v>
      </c>
      <c r="I494" s="325">
        <v>7250</v>
      </c>
      <c r="J494" s="325">
        <v>6000</v>
      </c>
      <c r="K494" s="325">
        <v>4750</v>
      </c>
      <c r="L494" s="325">
        <v>2750</v>
      </c>
      <c r="M494" s="435">
        <v>750</v>
      </c>
    </row>
    <row r="495" spans="1:13" ht="14.25">
      <c r="B495" s="434" t="s">
        <v>15</v>
      </c>
      <c r="C495" s="325">
        <v>16250</v>
      </c>
      <c r="D495" s="325">
        <v>13750</v>
      </c>
      <c r="E495" s="325">
        <v>11250</v>
      </c>
      <c r="F495" s="325">
        <v>8750</v>
      </c>
      <c r="G495" s="325">
        <v>7750</v>
      </c>
      <c r="H495" s="325">
        <v>7250</v>
      </c>
      <c r="I495" s="325">
        <v>6000</v>
      </c>
      <c r="J495" s="325">
        <v>4750</v>
      </c>
      <c r="K495" s="325">
        <v>2750</v>
      </c>
      <c r="L495" s="435">
        <v>750</v>
      </c>
      <c r="M495" s="435">
        <v>500</v>
      </c>
    </row>
    <row r="496" spans="1:13" ht="14.25">
      <c r="B496" s="434" t="s">
        <v>16</v>
      </c>
      <c r="C496" s="320">
        <v>13750</v>
      </c>
      <c r="D496" s="325">
        <v>11250</v>
      </c>
      <c r="E496" s="325">
        <v>8750</v>
      </c>
      <c r="F496" s="325">
        <v>7750</v>
      </c>
      <c r="G496" s="325">
        <v>7250</v>
      </c>
      <c r="H496" s="325">
        <v>6000</v>
      </c>
      <c r="I496" s="325">
        <v>4750</v>
      </c>
      <c r="J496" s="325">
        <v>2750</v>
      </c>
      <c r="K496" s="325">
        <v>750</v>
      </c>
      <c r="L496" s="325">
        <v>500</v>
      </c>
      <c r="M496" s="435">
        <v>250</v>
      </c>
    </row>
    <row r="497" spans="1:13" ht="14.25">
      <c r="B497" s="434" t="s">
        <v>17</v>
      </c>
      <c r="C497" s="476" t="s">
        <v>18</v>
      </c>
      <c r="D497" s="477"/>
      <c r="E497" s="477"/>
      <c r="F497" s="477"/>
      <c r="G497" s="477"/>
      <c r="H497" s="477"/>
      <c r="I497" s="477"/>
      <c r="J497" s="477"/>
      <c r="K497" s="477"/>
      <c r="L497" s="477"/>
      <c r="M497" s="478"/>
    </row>
    <row r="498" spans="1:13" ht="14.25">
      <c r="B498" s="440"/>
      <c r="C498" s="441"/>
      <c r="D498" s="441"/>
      <c r="E498" s="441"/>
      <c r="F498" s="441"/>
      <c r="G498" s="441"/>
      <c r="H498" s="441"/>
      <c r="I498" s="441"/>
      <c r="J498" s="441"/>
      <c r="K498" s="441"/>
      <c r="L498" s="441"/>
      <c r="M498" s="441"/>
    </row>
    <row r="499" spans="1:13" ht="18">
      <c r="B499" s="430" t="s">
        <v>59</v>
      </c>
      <c r="C499" s="430"/>
      <c r="D499" s="430"/>
      <c r="E499" s="430"/>
    </row>
    <row r="500" spans="1:13" ht="30" customHeight="1">
      <c r="A500" s="437"/>
      <c r="B500" s="431" t="s">
        <v>39</v>
      </c>
      <c r="C500" s="431"/>
      <c r="D500" s="431"/>
      <c r="E500" s="431"/>
    </row>
    <row r="501" spans="1:13" ht="14.25">
      <c r="B501" s="432" t="s">
        <v>2</v>
      </c>
      <c r="C501" s="433" t="s">
        <v>3</v>
      </c>
      <c r="D501" s="433" t="s">
        <v>4</v>
      </c>
      <c r="E501" s="433" t="s">
        <v>5</v>
      </c>
      <c r="F501" s="433" t="s">
        <v>6</v>
      </c>
      <c r="G501" s="433" t="s">
        <v>7</v>
      </c>
      <c r="H501" s="433" t="s">
        <v>8</v>
      </c>
      <c r="I501" s="433" t="s">
        <v>9</v>
      </c>
      <c r="J501" s="433" t="s">
        <v>10</v>
      </c>
      <c r="K501" s="433" t="s">
        <v>11</v>
      </c>
      <c r="L501" s="433" t="s">
        <v>12</v>
      </c>
      <c r="M501" s="432" t="s">
        <v>13</v>
      </c>
    </row>
    <row r="502" spans="1:13" ht="14.25">
      <c r="B502" s="434" t="s">
        <v>14</v>
      </c>
      <c r="C502" s="320">
        <v>13750</v>
      </c>
      <c r="D502" s="325">
        <v>11636</v>
      </c>
      <c r="E502" s="325">
        <v>9636</v>
      </c>
      <c r="F502" s="325">
        <v>7636</v>
      </c>
      <c r="G502" s="325">
        <v>5636</v>
      </c>
      <c r="H502" s="325">
        <v>4836</v>
      </c>
      <c r="I502" s="325">
        <v>4436</v>
      </c>
      <c r="J502" s="325">
        <v>3436</v>
      </c>
      <c r="K502" s="325">
        <v>2436</v>
      </c>
      <c r="L502" s="325">
        <v>1436</v>
      </c>
      <c r="M502" s="435">
        <v>436</v>
      </c>
    </row>
    <row r="503" spans="1:13" ht="14.25">
      <c r="B503" s="434" t="s">
        <v>15</v>
      </c>
      <c r="C503" s="325">
        <v>11636</v>
      </c>
      <c r="D503" s="325">
        <v>9636</v>
      </c>
      <c r="E503" s="325">
        <v>7636</v>
      </c>
      <c r="F503" s="325">
        <v>5636</v>
      </c>
      <c r="G503" s="325">
        <v>4836</v>
      </c>
      <c r="H503" s="325">
        <v>4436</v>
      </c>
      <c r="I503" s="325">
        <v>3436</v>
      </c>
      <c r="J503" s="325">
        <v>2436</v>
      </c>
      <c r="K503" s="325">
        <v>1436</v>
      </c>
      <c r="L503" s="435">
        <v>436</v>
      </c>
      <c r="M503" s="435">
        <v>236</v>
      </c>
    </row>
    <row r="504" spans="1:13" ht="14.25">
      <c r="B504" s="434" t="s">
        <v>16</v>
      </c>
      <c r="C504" s="320">
        <v>9636</v>
      </c>
      <c r="D504" s="325">
        <v>7636</v>
      </c>
      <c r="E504" s="325">
        <v>5636</v>
      </c>
      <c r="F504" s="325">
        <v>4836</v>
      </c>
      <c r="G504" s="325">
        <v>4436</v>
      </c>
      <c r="H504" s="325">
        <v>3436</v>
      </c>
      <c r="I504" s="325">
        <v>2436</v>
      </c>
      <c r="J504" s="325">
        <v>1436</v>
      </c>
      <c r="K504" s="325">
        <v>436</v>
      </c>
      <c r="L504" s="325">
        <v>236</v>
      </c>
      <c r="M504" s="435">
        <v>116</v>
      </c>
    </row>
    <row r="505" spans="1:13" ht="14.25">
      <c r="B505" s="434" t="s">
        <v>17</v>
      </c>
      <c r="C505" s="476" t="s">
        <v>18</v>
      </c>
      <c r="D505" s="477"/>
      <c r="E505" s="477"/>
      <c r="F505" s="477"/>
      <c r="G505" s="477"/>
      <c r="H505" s="477"/>
      <c r="I505" s="477"/>
      <c r="J505" s="477"/>
      <c r="K505" s="477"/>
      <c r="L505" s="477"/>
      <c r="M505" s="478"/>
    </row>
    <row r="506" spans="1:13" ht="14.25">
      <c r="B506" s="436"/>
      <c r="C506" s="436"/>
      <c r="D506" s="436"/>
      <c r="E506" s="436"/>
    </row>
    <row r="507" spans="1:13" ht="14.25">
      <c r="B507" s="431" t="s">
        <v>19</v>
      </c>
      <c r="C507" s="431"/>
      <c r="D507" s="431"/>
      <c r="E507" s="431"/>
    </row>
    <row r="508" spans="1:13" ht="14.25">
      <c r="B508" s="432" t="s">
        <v>2</v>
      </c>
      <c r="C508" s="433" t="s">
        <v>3</v>
      </c>
      <c r="D508" s="433" t="s">
        <v>4</v>
      </c>
      <c r="E508" s="433" t="s">
        <v>5</v>
      </c>
      <c r="F508" s="433" t="s">
        <v>6</v>
      </c>
      <c r="G508" s="433" t="s">
        <v>7</v>
      </c>
      <c r="H508" s="433" t="s">
        <v>8</v>
      </c>
      <c r="I508" s="433" t="s">
        <v>9</v>
      </c>
      <c r="J508" s="433" t="s">
        <v>10</v>
      </c>
      <c r="K508" s="433" t="s">
        <v>11</v>
      </c>
      <c r="L508" s="433" t="s">
        <v>12</v>
      </c>
      <c r="M508" s="432" t="s">
        <v>13</v>
      </c>
    </row>
    <row r="509" spans="1:13" ht="14.25">
      <c r="B509" s="434" t="s">
        <v>14</v>
      </c>
      <c r="C509" s="320">
        <v>15000</v>
      </c>
      <c r="D509" s="325">
        <v>13000</v>
      </c>
      <c r="E509" s="325">
        <v>11000</v>
      </c>
      <c r="F509" s="325">
        <v>9000</v>
      </c>
      <c r="G509" s="325">
        <v>7000</v>
      </c>
      <c r="H509" s="325">
        <v>6200</v>
      </c>
      <c r="I509" s="325">
        <v>5800</v>
      </c>
      <c r="J509" s="325">
        <v>4800</v>
      </c>
      <c r="K509" s="325">
        <v>3800</v>
      </c>
      <c r="L509" s="325">
        <v>2200</v>
      </c>
      <c r="M509" s="435">
        <v>600</v>
      </c>
    </row>
    <row r="510" spans="1:13" ht="14.25">
      <c r="B510" s="434" t="s">
        <v>15</v>
      </c>
      <c r="C510" s="325">
        <v>13000</v>
      </c>
      <c r="D510" s="325">
        <v>11000</v>
      </c>
      <c r="E510" s="325">
        <v>9000</v>
      </c>
      <c r="F510" s="325">
        <v>7000</v>
      </c>
      <c r="G510" s="325">
        <v>6200</v>
      </c>
      <c r="H510" s="325">
        <v>5800</v>
      </c>
      <c r="I510" s="325">
        <v>4800</v>
      </c>
      <c r="J510" s="325">
        <v>3800</v>
      </c>
      <c r="K510" s="325">
        <v>2200</v>
      </c>
      <c r="L510" s="435">
        <v>600</v>
      </c>
      <c r="M510" s="435">
        <v>400</v>
      </c>
    </row>
    <row r="511" spans="1:13" ht="14.25">
      <c r="B511" s="434" t="s">
        <v>16</v>
      </c>
      <c r="C511" s="320">
        <v>11000</v>
      </c>
      <c r="D511" s="325">
        <v>9000</v>
      </c>
      <c r="E511" s="325">
        <v>7000</v>
      </c>
      <c r="F511" s="325">
        <v>6200</v>
      </c>
      <c r="G511" s="325">
        <v>5800</v>
      </c>
      <c r="H511" s="325">
        <v>4800</v>
      </c>
      <c r="I511" s="325">
        <v>3800</v>
      </c>
      <c r="J511" s="325">
        <v>2200</v>
      </c>
      <c r="K511" s="325">
        <v>600</v>
      </c>
      <c r="L511" s="325">
        <v>400</v>
      </c>
      <c r="M511" s="435">
        <v>200</v>
      </c>
    </row>
    <row r="512" spans="1:13" ht="14.25">
      <c r="B512" s="434" t="s">
        <v>17</v>
      </c>
      <c r="C512" s="476" t="s">
        <v>18</v>
      </c>
      <c r="D512" s="477"/>
      <c r="E512" s="477"/>
      <c r="F512" s="477"/>
      <c r="G512" s="477"/>
      <c r="H512" s="477"/>
      <c r="I512" s="477"/>
      <c r="J512" s="477"/>
      <c r="K512" s="477"/>
      <c r="L512" s="477"/>
      <c r="M512" s="478"/>
    </row>
    <row r="513" spans="1:13" ht="14.25">
      <c r="B513" s="440"/>
      <c r="C513" s="441"/>
      <c r="D513" s="441"/>
      <c r="E513" s="441"/>
      <c r="F513" s="441"/>
      <c r="G513" s="441"/>
      <c r="H513" s="441"/>
      <c r="I513" s="441"/>
      <c r="J513" s="441"/>
      <c r="K513" s="441"/>
      <c r="L513" s="441"/>
      <c r="M513" s="441"/>
    </row>
    <row r="514" spans="1:13" ht="18">
      <c r="B514" s="430" t="s">
        <v>60</v>
      </c>
      <c r="C514" s="430"/>
      <c r="D514" s="430"/>
      <c r="E514" s="430"/>
    </row>
    <row r="515" spans="1:13" ht="30" customHeight="1">
      <c r="A515" s="437"/>
      <c r="B515" s="431" t="s">
        <v>39</v>
      </c>
      <c r="C515" s="431"/>
      <c r="D515" s="431"/>
      <c r="E515" s="431"/>
    </row>
    <row r="516" spans="1:13" ht="14.25">
      <c r="B516" s="432" t="s">
        <v>2</v>
      </c>
      <c r="C516" s="433" t="s">
        <v>3</v>
      </c>
      <c r="D516" s="433" t="s">
        <v>4</v>
      </c>
      <c r="E516" s="433" t="s">
        <v>5</v>
      </c>
      <c r="F516" s="433" t="s">
        <v>6</v>
      </c>
      <c r="G516" s="433" t="s">
        <v>7</v>
      </c>
      <c r="H516" s="433" t="s">
        <v>8</v>
      </c>
      <c r="I516" s="433" t="s">
        <v>9</v>
      </c>
      <c r="J516" s="433" t="s">
        <v>10</v>
      </c>
      <c r="K516" s="433" t="s">
        <v>11</v>
      </c>
      <c r="L516" s="433" t="s">
        <v>12</v>
      </c>
      <c r="M516" s="432" t="s">
        <v>13</v>
      </c>
    </row>
    <row r="517" spans="1:13" ht="14.25">
      <c r="B517" s="434" t="s">
        <v>14</v>
      </c>
      <c r="C517" s="320">
        <v>4500</v>
      </c>
      <c r="D517" s="325">
        <v>3100</v>
      </c>
      <c r="E517" s="325">
        <v>2100</v>
      </c>
      <c r="F517" s="325">
        <v>1500</v>
      </c>
      <c r="G517" s="325">
        <v>1100</v>
      </c>
      <c r="H517" s="325">
        <v>900</v>
      </c>
      <c r="I517" s="325">
        <v>700</v>
      </c>
      <c r="J517" s="325">
        <v>500</v>
      </c>
      <c r="K517" s="325">
        <v>300</v>
      </c>
      <c r="L517" s="325">
        <v>100</v>
      </c>
      <c r="M517" s="435">
        <v>60</v>
      </c>
    </row>
    <row r="518" spans="1:13" ht="14.25">
      <c r="B518" s="434" t="s">
        <v>15</v>
      </c>
      <c r="C518" s="325">
        <v>3100</v>
      </c>
      <c r="D518" s="325">
        <v>2100</v>
      </c>
      <c r="E518" s="325">
        <v>1500</v>
      </c>
      <c r="F518" s="325">
        <v>1100</v>
      </c>
      <c r="G518" s="325">
        <v>900</v>
      </c>
      <c r="H518" s="325">
        <v>700</v>
      </c>
      <c r="I518" s="325">
        <v>500</v>
      </c>
      <c r="J518" s="325">
        <v>300</v>
      </c>
      <c r="K518" s="325">
        <v>100</v>
      </c>
      <c r="L518" s="325">
        <v>60</v>
      </c>
      <c r="M518" s="435">
        <v>40</v>
      </c>
    </row>
    <row r="519" spans="1:13" ht="14.25">
      <c r="B519" s="434" t="s">
        <v>16</v>
      </c>
      <c r="C519" s="325">
        <v>2100</v>
      </c>
      <c r="D519" s="325">
        <v>1500</v>
      </c>
      <c r="E519" s="325">
        <v>1100</v>
      </c>
      <c r="F519" s="325">
        <v>900</v>
      </c>
      <c r="G519" s="325">
        <v>700</v>
      </c>
      <c r="H519" s="325">
        <v>500</v>
      </c>
      <c r="I519" s="325">
        <v>300</v>
      </c>
      <c r="J519" s="325">
        <v>100</v>
      </c>
      <c r="K519" s="325">
        <v>60</v>
      </c>
      <c r="L519" s="325">
        <v>40</v>
      </c>
      <c r="M519" s="435">
        <v>20</v>
      </c>
    </row>
    <row r="520" spans="1:13" ht="14.25">
      <c r="B520" s="434" t="s">
        <v>17</v>
      </c>
      <c r="C520" s="476" t="s">
        <v>18</v>
      </c>
      <c r="D520" s="477"/>
      <c r="E520" s="477"/>
      <c r="F520" s="477"/>
      <c r="G520" s="477"/>
      <c r="H520" s="477"/>
      <c r="I520" s="477"/>
      <c r="J520" s="477"/>
      <c r="K520" s="477"/>
      <c r="L520" s="477"/>
      <c r="M520" s="478"/>
    </row>
    <row r="521" spans="1:13" ht="14.25">
      <c r="B521" s="436"/>
      <c r="C521" s="436"/>
      <c r="D521" s="436"/>
      <c r="E521" s="436"/>
    </row>
    <row r="522" spans="1:13" ht="14.25">
      <c r="B522" s="431" t="s">
        <v>19</v>
      </c>
      <c r="C522" s="431"/>
      <c r="D522" s="431"/>
      <c r="E522" s="431"/>
    </row>
    <row r="523" spans="1:13" ht="14.25">
      <c r="B523" s="432" t="s">
        <v>2</v>
      </c>
      <c r="C523" s="433" t="s">
        <v>3</v>
      </c>
      <c r="D523" s="433" t="s">
        <v>4</v>
      </c>
      <c r="E523" s="433" t="s">
        <v>5</v>
      </c>
      <c r="F523" s="433" t="s">
        <v>6</v>
      </c>
      <c r="G523" s="433" t="s">
        <v>7</v>
      </c>
      <c r="H523" s="433" t="s">
        <v>8</v>
      </c>
      <c r="I523" s="433" t="s">
        <v>9</v>
      </c>
      <c r="J523" s="433" t="s">
        <v>10</v>
      </c>
      <c r="K523" s="433" t="s">
        <v>11</v>
      </c>
      <c r="L523" s="433" t="s">
        <v>12</v>
      </c>
      <c r="M523" s="432" t="s">
        <v>13</v>
      </c>
    </row>
    <row r="524" spans="1:13" ht="14.25">
      <c r="B524" s="434" t="s">
        <v>14</v>
      </c>
      <c r="C524" s="320">
        <v>5850</v>
      </c>
      <c r="D524" s="325">
        <v>4030</v>
      </c>
      <c r="E524" s="325">
        <v>2730</v>
      </c>
      <c r="F524" s="325">
        <v>1950</v>
      </c>
      <c r="G524" s="325">
        <v>1430</v>
      </c>
      <c r="H524" s="325">
        <v>1170</v>
      </c>
      <c r="I524" s="325">
        <v>910</v>
      </c>
      <c r="J524" s="325">
        <v>650</v>
      </c>
      <c r="K524" s="325">
        <v>390</v>
      </c>
      <c r="L524" s="325">
        <v>130</v>
      </c>
      <c r="M524" s="435">
        <v>78</v>
      </c>
    </row>
    <row r="525" spans="1:13" ht="14.25">
      <c r="B525" s="434" t="s">
        <v>15</v>
      </c>
      <c r="C525" s="325">
        <v>4030</v>
      </c>
      <c r="D525" s="325">
        <v>2730</v>
      </c>
      <c r="E525" s="325">
        <v>1950</v>
      </c>
      <c r="F525" s="325">
        <v>1430</v>
      </c>
      <c r="G525" s="325">
        <v>1170</v>
      </c>
      <c r="H525" s="325">
        <v>910</v>
      </c>
      <c r="I525" s="325">
        <v>650</v>
      </c>
      <c r="J525" s="325">
        <v>390</v>
      </c>
      <c r="K525" s="325">
        <v>130</v>
      </c>
      <c r="L525" s="325">
        <v>78</v>
      </c>
      <c r="M525" s="435">
        <v>52</v>
      </c>
    </row>
    <row r="526" spans="1:13" ht="14.25">
      <c r="B526" s="434" t="s">
        <v>16</v>
      </c>
      <c r="C526" s="325">
        <v>2730</v>
      </c>
      <c r="D526" s="325">
        <v>1950</v>
      </c>
      <c r="E526" s="325">
        <v>1430</v>
      </c>
      <c r="F526" s="325">
        <v>1170</v>
      </c>
      <c r="G526" s="325">
        <v>910</v>
      </c>
      <c r="H526" s="325">
        <v>650</v>
      </c>
      <c r="I526" s="325">
        <v>390</v>
      </c>
      <c r="J526" s="325">
        <v>130</v>
      </c>
      <c r="K526" s="325">
        <v>78</v>
      </c>
      <c r="L526" s="325">
        <v>52</v>
      </c>
      <c r="M526" s="435">
        <v>26</v>
      </c>
    </row>
    <row r="527" spans="1:13" ht="14.25">
      <c r="B527" s="434" t="s">
        <v>17</v>
      </c>
      <c r="C527" s="476" t="s">
        <v>18</v>
      </c>
      <c r="D527" s="477"/>
      <c r="E527" s="477"/>
      <c r="F527" s="477"/>
      <c r="G527" s="477"/>
      <c r="H527" s="477"/>
      <c r="I527" s="477"/>
      <c r="J527" s="477"/>
      <c r="K527" s="477"/>
      <c r="L527" s="477"/>
      <c r="M527" s="478"/>
    </row>
    <row r="529" spans="1:13" ht="18">
      <c r="B529" s="430" t="s">
        <v>61</v>
      </c>
      <c r="C529" s="430"/>
      <c r="D529" s="430"/>
      <c r="E529" s="430"/>
    </row>
    <row r="530" spans="1:13" ht="30" customHeight="1">
      <c r="A530" s="437"/>
      <c r="B530" s="431" t="s">
        <v>39</v>
      </c>
      <c r="C530" s="431"/>
      <c r="D530" s="431"/>
      <c r="E530" s="431"/>
    </row>
    <row r="531" spans="1:13" ht="14.25">
      <c r="B531" s="432" t="s">
        <v>2</v>
      </c>
      <c r="C531" s="433" t="s">
        <v>3</v>
      </c>
      <c r="D531" s="433" t="s">
        <v>4</v>
      </c>
      <c r="E531" s="433" t="s">
        <v>5</v>
      </c>
      <c r="F531" s="433" t="s">
        <v>6</v>
      </c>
      <c r="G531" s="433" t="s">
        <v>7</v>
      </c>
      <c r="H531" s="433" t="s">
        <v>8</v>
      </c>
      <c r="I531" s="433" t="s">
        <v>9</v>
      </c>
      <c r="J531" s="433" t="s">
        <v>10</v>
      </c>
      <c r="K531" s="433" t="s">
        <v>11</v>
      </c>
      <c r="L531" s="433" t="s">
        <v>12</v>
      </c>
      <c r="M531" s="432" t="s">
        <v>13</v>
      </c>
    </row>
    <row r="532" spans="1:13" ht="14.25">
      <c r="B532" s="434" t="s">
        <v>14</v>
      </c>
      <c r="C532" s="320">
        <v>2500</v>
      </c>
      <c r="D532" s="325">
        <v>1878</v>
      </c>
      <c r="E532" s="325">
        <v>1412</v>
      </c>
      <c r="F532" s="325">
        <v>1062</v>
      </c>
      <c r="G532" s="325">
        <v>798</v>
      </c>
      <c r="H532" s="325">
        <v>600</v>
      </c>
      <c r="I532" s="325">
        <v>450</v>
      </c>
      <c r="J532" s="325">
        <v>338</v>
      </c>
      <c r="K532" s="325">
        <v>254</v>
      </c>
      <c r="L532" s="325">
        <v>190</v>
      </c>
      <c r="M532" s="435">
        <v>144</v>
      </c>
    </row>
    <row r="533" spans="1:13" ht="14.25">
      <c r="B533" s="434" t="s">
        <v>15</v>
      </c>
      <c r="C533" s="325">
        <v>1500</v>
      </c>
      <c r="D533" s="325">
        <v>1126</v>
      </c>
      <c r="E533" s="325">
        <v>846</v>
      </c>
      <c r="F533" s="325">
        <v>636</v>
      </c>
      <c r="G533" s="325">
        <v>478</v>
      </c>
      <c r="H533" s="325">
        <v>360</v>
      </c>
      <c r="I533" s="325">
        <v>270</v>
      </c>
      <c r="J533" s="325">
        <v>202</v>
      </c>
      <c r="K533" s="325">
        <v>152</v>
      </c>
      <c r="L533" s="325">
        <v>114</v>
      </c>
      <c r="M533" s="325">
        <v>86</v>
      </c>
    </row>
    <row r="534" spans="1:13" ht="14.25">
      <c r="B534" s="434" t="s">
        <v>16</v>
      </c>
      <c r="C534" s="325">
        <v>700</v>
      </c>
      <c r="D534" s="325">
        <v>526</v>
      </c>
      <c r="E534" s="325">
        <v>394</v>
      </c>
      <c r="F534" s="325">
        <v>296</v>
      </c>
      <c r="G534" s="325">
        <v>222</v>
      </c>
      <c r="H534" s="325">
        <v>168</v>
      </c>
      <c r="I534" s="325">
        <v>126</v>
      </c>
      <c r="J534" s="325">
        <v>94</v>
      </c>
      <c r="K534" s="325">
        <v>70</v>
      </c>
      <c r="L534" s="325">
        <v>52</v>
      </c>
      <c r="M534" s="325">
        <v>40</v>
      </c>
    </row>
    <row r="535" spans="1:13" ht="14.25">
      <c r="B535" s="434" t="s">
        <v>17</v>
      </c>
      <c r="C535" s="476" t="s">
        <v>18</v>
      </c>
      <c r="D535" s="477"/>
      <c r="E535" s="477"/>
      <c r="F535" s="477"/>
      <c r="G535" s="477"/>
      <c r="H535" s="477"/>
      <c r="I535" s="477"/>
      <c r="J535" s="477"/>
      <c r="K535" s="477"/>
      <c r="L535" s="477"/>
      <c r="M535" s="478"/>
    </row>
    <row r="536" spans="1:13" ht="14.25">
      <c r="B536" s="436"/>
      <c r="C536" s="436"/>
      <c r="D536" s="436"/>
      <c r="E536" s="436"/>
    </row>
    <row r="537" spans="1:13" ht="14.25">
      <c r="B537" s="431" t="s">
        <v>19</v>
      </c>
      <c r="C537" s="431"/>
      <c r="D537" s="431"/>
      <c r="E537" s="431"/>
    </row>
    <row r="538" spans="1:13" ht="14.25">
      <c r="B538" s="432" t="s">
        <v>2</v>
      </c>
      <c r="C538" s="433" t="s">
        <v>3</v>
      </c>
      <c r="D538" s="433" t="s">
        <v>4</v>
      </c>
      <c r="E538" s="433" t="s">
        <v>5</v>
      </c>
      <c r="F538" s="433" t="s">
        <v>6</v>
      </c>
      <c r="G538" s="433" t="s">
        <v>7</v>
      </c>
      <c r="H538" s="433" t="s">
        <v>8</v>
      </c>
      <c r="I538" s="433" t="s">
        <v>9</v>
      </c>
      <c r="J538" s="433" t="s">
        <v>10</v>
      </c>
      <c r="K538" s="433" t="s">
        <v>11</v>
      </c>
      <c r="L538" s="433" t="s">
        <v>12</v>
      </c>
      <c r="M538" s="432" t="s">
        <v>13</v>
      </c>
    </row>
    <row r="539" spans="1:13" ht="14.25">
      <c r="B539" s="434" t="s">
        <v>14</v>
      </c>
      <c r="C539" s="320">
        <v>2800</v>
      </c>
      <c r="D539" s="325">
        <v>2104</v>
      </c>
      <c r="E539" s="325">
        <v>1582</v>
      </c>
      <c r="F539" s="325">
        <v>1190</v>
      </c>
      <c r="G539" s="325">
        <v>894</v>
      </c>
      <c r="H539" s="325">
        <v>672</v>
      </c>
      <c r="I539" s="325">
        <v>504</v>
      </c>
      <c r="J539" s="325">
        <v>380</v>
      </c>
      <c r="K539" s="325">
        <v>284</v>
      </c>
      <c r="L539" s="325">
        <v>214</v>
      </c>
      <c r="M539" s="435">
        <v>160</v>
      </c>
    </row>
    <row r="540" spans="1:13" ht="14.25">
      <c r="B540" s="434" t="s">
        <v>15</v>
      </c>
      <c r="C540" s="325">
        <v>1680</v>
      </c>
      <c r="D540" s="325">
        <v>1262</v>
      </c>
      <c r="E540" s="325">
        <v>948</v>
      </c>
      <c r="F540" s="325">
        <v>714</v>
      </c>
      <c r="G540" s="325">
        <v>536</v>
      </c>
      <c r="H540" s="325">
        <v>402</v>
      </c>
      <c r="I540" s="325">
        <v>302</v>
      </c>
      <c r="J540" s="325">
        <v>228</v>
      </c>
      <c r="K540" s="325">
        <v>170</v>
      </c>
      <c r="L540" s="325">
        <v>128</v>
      </c>
      <c r="M540" s="435">
        <v>96</v>
      </c>
    </row>
    <row r="541" spans="1:13" ht="14.25">
      <c r="B541" s="434" t="s">
        <v>16</v>
      </c>
      <c r="C541" s="325">
        <v>772</v>
      </c>
      <c r="D541" s="325">
        <v>580</v>
      </c>
      <c r="E541" s="325">
        <v>436</v>
      </c>
      <c r="F541" s="325">
        <v>328</v>
      </c>
      <c r="G541" s="325">
        <v>246</v>
      </c>
      <c r="H541" s="325">
        <v>184</v>
      </c>
      <c r="I541" s="325">
        <v>138</v>
      </c>
      <c r="J541" s="325">
        <v>104</v>
      </c>
      <c r="K541" s="325">
        <v>78</v>
      </c>
      <c r="L541" s="325">
        <v>58</v>
      </c>
      <c r="M541" s="435">
        <v>44</v>
      </c>
    </row>
    <row r="542" spans="1:13" ht="14.25">
      <c r="B542" s="434" t="s">
        <v>17</v>
      </c>
      <c r="C542" s="476" t="s">
        <v>18</v>
      </c>
      <c r="D542" s="477"/>
      <c r="E542" s="477"/>
      <c r="F542" s="477"/>
      <c r="G542" s="477"/>
      <c r="H542" s="477"/>
      <c r="I542" s="477"/>
      <c r="J542" s="477"/>
      <c r="K542" s="477"/>
      <c r="L542" s="477"/>
      <c r="M542" s="478"/>
    </row>
    <row r="543" spans="1:13" ht="14.25">
      <c r="B543" s="440"/>
      <c r="C543" s="441"/>
      <c r="D543" s="441"/>
      <c r="E543" s="441"/>
      <c r="F543" s="441"/>
      <c r="G543" s="441"/>
      <c r="H543" s="441"/>
      <c r="I543" s="441"/>
      <c r="J543" s="441"/>
      <c r="K543" s="441"/>
      <c r="L543" s="441"/>
      <c r="M543" s="441"/>
    </row>
    <row r="544" spans="1:13" ht="18">
      <c r="B544" s="430" t="s">
        <v>62</v>
      </c>
      <c r="C544" s="430"/>
      <c r="D544" s="430"/>
      <c r="E544" s="430"/>
    </row>
    <row r="545" spans="1:13" ht="30" customHeight="1">
      <c r="A545" s="437"/>
      <c r="B545" s="431" t="s">
        <v>39</v>
      </c>
      <c r="C545" s="431"/>
      <c r="D545" s="431"/>
      <c r="E545" s="431"/>
    </row>
    <row r="546" spans="1:13" ht="14.25">
      <c r="B546" s="432" t="s">
        <v>2</v>
      </c>
      <c r="C546" s="433" t="s">
        <v>3</v>
      </c>
      <c r="D546" s="433" t="s">
        <v>4</v>
      </c>
      <c r="E546" s="433" t="s">
        <v>5</v>
      </c>
      <c r="F546" s="433" t="s">
        <v>6</v>
      </c>
      <c r="G546" s="433" t="s">
        <v>7</v>
      </c>
      <c r="H546" s="433" t="s">
        <v>8</v>
      </c>
      <c r="I546" s="433" t="s">
        <v>9</v>
      </c>
      <c r="J546" s="433" t="s">
        <v>10</v>
      </c>
      <c r="K546" s="433" t="s">
        <v>11</v>
      </c>
      <c r="L546" s="433" t="s">
        <v>12</v>
      </c>
      <c r="M546" s="432" t="s">
        <v>13</v>
      </c>
    </row>
    <row r="547" spans="1:13" ht="14.25">
      <c r="B547" s="434" t="s">
        <v>14</v>
      </c>
      <c r="C547" s="320">
        <v>3400</v>
      </c>
      <c r="D547" s="325">
        <v>2550</v>
      </c>
      <c r="E547" s="325">
        <v>1912</v>
      </c>
      <c r="F547" s="325">
        <v>1434</v>
      </c>
      <c r="G547" s="325">
        <v>1090</v>
      </c>
      <c r="H547" s="325">
        <v>818</v>
      </c>
      <c r="I547" s="325">
        <v>614</v>
      </c>
      <c r="J547" s="325">
        <v>478</v>
      </c>
      <c r="K547" s="325">
        <v>340</v>
      </c>
      <c r="L547" s="325">
        <v>238</v>
      </c>
      <c r="M547" s="435">
        <v>168</v>
      </c>
    </row>
    <row r="548" spans="1:13" ht="14.25">
      <c r="B548" s="434" t="s">
        <v>15</v>
      </c>
      <c r="C548" s="325">
        <v>1360</v>
      </c>
      <c r="D548" s="325">
        <v>1020</v>
      </c>
      <c r="E548" s="325">
        <v>766</v>
      </c>
      <c r="F548" s="325">
        <v>574</v>
      </c>
      <c r="G548" s="325">
        <v>436</v>
      </c>
      <c r="H548" s="325">
        <v>328</v>
      </c>
      <c r="I548" s="325">
        <v>246</v>
      </c>
      <c r="J548" s="325">
        <v>192</v>
      </c>
      <c r="K548" s="325">
        <v>136</v>
      </c>
      <c r="L548" s="325">
        <v>96</v>
      </c>
      <c r="M548" s="325">
        <v>68</v>
      </c>
    </row>
    <row r="549" spans="1:13" ht="14.25">
      <c r="B549" s="434" t="s">
        <v>16</v>
      </c>
      <c r="C549" s="476" t="s">
        <v>18</v>
      </c>
      <c r="D549" s="477"/>
      <c r="E549" s="477"/>
      <c r="F549" s="477"/>
      <c r="G549" s="477"/>
      <c r="H549" s="477"/>
      <c r="I549" s="477"/>
      <c r="J549" s="477"/>
      <c r="K549" s="477"/>
      <c r="L549" s="477"/>
      <c r="M549" s="478"/>
    </row>
    <row r="550" spans="1:13" ht="14.25">
      <c r="B550" s="434" t="s">
        <v>17</v>
      </c>
      <c r="C550" s="476" t="s">
        <v>18</v>
      </c>
      <c r="D550" s="477"/>
      <c r="E550" s="477"/>
      <c r="F550" s="477"/>
      <c r="G550" s="477"/>
      <c r="H550" s="477"/>
      <c r="I550" s="477"/>
      <c r="J550" s="477"/>
      <c r="K550" s="477"/>
      <c r="L550" s="477"/>
      <c r="M550" s="478"/>
    </row>
    <row r="551" spans="1:13" ht="14.25">
      <c r="B551" s="436"/>
      <c r="C551" s="436"/>
      <c r="D551" s="436"/>
      <c r="E551" s="436"/>
    </row>
    <row r="552" spans="1:13" ht="14.25">
      <c r="B552" s="431" t="s">
        <v>19</v>
      </c>
      <c r="C552" s="431"/>
      <c r="D552" s="431"/>
      <c r="E552" s="431"/>
    </row>
    <row r="553" spans="1:13" ht="14.25">
      <c r="B553" s="432" t="s">
        <v>2</v>
      </c>
      <c r="C553" s="433" t="s">
        <v>3</v>
      </c>
      <c r="D553" s="433" t="s">
        <v>4</v>
      </c>
      <c r="E553" s="433" t="s">
        <v>5</v>
      </c>
      <c r="F553" s="433" t="s">
        <v>6</v>
      </c>
      <c r="G553" s="433" t="s">
        <v>7</v>
      </c>
      <c r="H553" s="433" t="s">
        <v>8</v>
      </c>
      <c r="I553" s="433" t="s">
        <v>9</v>
      </c>
      <c r="J553" s="433" t="s">
        <v>10</v>
      </c>
      <c r="K553" s="433" t="s">
        <v>11</v>
      </c>
      <c r="L553" s="433" t="s">
        <v>12</v>
      </c>
      <c r="M553" s="432" t="s">
        <v>13</v>
      </c>
    </row>
    <row r="554" spans="1:13" ht="14.25">
      <c r="B554" s="434" t="s">
        <v>14</v>
      </c>
      <c r="C554" s="320">
        <v>2940</v>
      </c>
      <c r="D554" s="325">
        <v>2206</v>
      </c>
      <c r="E554" s="325">
        <v>1654</v>
      </c>
      <c r="F554" s="325">
        <v>1240</v>
      </c>
      <c r="G554" s="325">
        <v>942</v>
      </c>
      <c r="H554" s="325">
        <v>706</v>
      </c>
      <c r="I554" s="325">
        <v>530</v>
      </c>
      <c r="J554" s="325">
        <v>414</v>
      </c>
      <c r="K554" s="325">
        <v>294</v>
      </c>
      <c r="L554" s="325">
        <v>206</v>
      </c>
      <c r="M554" s="435">
        <v>146</v>
      </c>
    </row>
    <row r="555" spans="1:13" ht="14.25">
      <c r="B555" s="434" t="s">
        <v>15</v>
      </c>
      <c r="C555" s="325">
        <v>2000</v>
      </c>
      <c r="D555" s="325">
        <v>1500</v>
      </c>
      <c r="E555" s="325">
        <v>1126</v>
      </c>
      <c r="F555" s="325">
        <v>844</v>
      </c>
      <c r="G555" s="325">
        <v>642</v>
      </c>
      <c r="H555" s="325">
        <v>480</v>
      </c>
      <c r="I555" s="325">
        <v>360</v>
      </c>
      <c r="J555" s="325">
        <v>282</v>
      </c>
      <c r="K555" s="325">
        <v>200</v>
      </c>
      <c r="L555" s="325">
        <v>140</v>
      </c>
      <c r="M555" s="435">
        <v>100</v>
      </c>
    </row>
    <row r="556" spans="1:13" ht="14.25">
      <c r="B556" s="434" t="s">
        <v>16</v>
      </c>
      <c r="C556" s="476" t="s">
        <v>18</v>
      </c>
      <c r="D556" s="477"/>
      <c r="E556" s="477"/>
      <c r="F556" s="477"/>
      <c r="G556" s="477"/>
      <c r="H556" s="477"/>
      <c r="I556" s="477"/>
      <c r="J556" s="477"/>
      <c r="K556" s="477"/>
      <c r="L556" s="477"/>
      <c r="M556" s="478"/>
    </row>
    <row r="557" spans="1:13" ht="14.25">
      <c r="B557" s="434" t="s">
        <v>17</v>
      </c>
      <c r="C557" s="476" t="s">
        <v>18</v>
      </c>
      <c r="D557" s="477"/>
      <c r="E557" s="477"/>
      <c r="F557" s="477"/>
      <c r="G557" s="477"/>
      <c r="H557" s="477"/>
      <c r="I557" s="477"/>
      <c r="J557" s="477"/>
      <c r="K557" s="477"/>
      <c r="L557" s="477"/>
      <c r="M557" s="478"/>
    </row>
    <row r="558" spans="1:13" ht="14.25">
      <c r="B558" s="440"/>
      <c r="C558" s="441"/>
      <c r="D558" s="441"/>
      <c r="E558" s="441"/>
      <c r="F558" s="441"/>
      <c r="G558" s="441"/>
      <c r="H558" s="441"/>
      <c r="I558" s="441"/>
      <c r="J558" s="441"/>
      <c r="K558" s="441"/>
      <c r="L558" s="441"/>
      <c r="M558" s="441"/>
    </row>
    <row r="559" spans="1:13" ht="18">
      <c r="B559" s="430" t="s">
        <v>63</v>
      </c>
      <c r="C559" s="430"/>
      <c r="D559" s="430"/>
      <c r="E559" s="430"/>
    </row>
    <row r="560" spans="1:13" ht="30" customHeight="1">
      <c r="A560" s="437"/>
      <c r="B560" s="431" t="s">
        <v>39</v>
      </c>
      <c r="C560" s="431"/>
      <c r="D560" s="431"/>
      <c r="E560" s="431"/>
    </row>
    <row r="561" spans="1:13" ht="14.25">
      <c r="B561" s="432" t="s">
        <v>2</v>
      </c>
      <c r="C561" s="433" t="s">
        <v>3</v>
      </c>
      <c r="D561" s="433" t="s">
        <v>4</v>
      </c>
      <c r="E561" s="433" t="s">
        <v>5</v>
      </c>
      <c r="F561" s="433" t="s">
        <v>6</v>
      </c>
      <c r="G561" s="433" t="s">
        <v>7</v>
      </c>
      <c r="H561" s="433" t="s">
        <v>8</v>
      </c>
      <c r="I561" s="433" t="s">
        <v>9</v>
      </c>
      <c r="J561" s="433" t="s">
        <v>10</v>
      </c>
      <c r="K561" s="433" t="s">
        <v>11</v>
      </c>
      <c r="L561" s="433" t="s">
        <v>12</v>
      </c>
      <c r="M561" s="432" t="s">
        <v>13</v>
      </c>
    </row>
    <row r="562" spans="1:13" ht="14.25">
      <c r="B562" s="434" t="s">
        <v>14</v>
      </c>
      <c r="C562" s="320">
        <v>2020</v>
      </c>
      <c r="D562" s="325">
        <v>1516</v>
      </c>
      <c r="E562" s="325">
        <v>1136</v>
      </c>
      <c r="F562" s="325">
        <v>852</v>
      </c>
      <c r="G562" s="325">
        <v>640</v>
      </c>
      <c r="H562" s="325">
        <v>480</v>
      </c>
      <c r="I562" s="325">
        <v>360</v>
      </c>
      <c r="J562" s="325">
        <v>270</v>
      </c>
      <c r="K562" s="325">
        <v>202</v>
      </c>
      <c r="L562" s="325">
        <v>152</v>
      </c>
      <c r="M562" s="435">
        <v>114</v>
      </c>
    </row>
    <row r="563" spans="1:13" ht="14.25">
      <c r="B563" s="434" t="s">
        <v>15</v>
      </c>
      <c r="C563" s="476" t="s">
        <v>18</v>
      </c>
      <c r="D563" s="477"/>
      <c r="E563" s="477"/>
      <c r="F563" s="477"/>
      <c r="G563" s="477"/>
      <c r="H563" s="477"/>
      <c r="I563" s="477"/>
      <c r="J563" s="477"/>
      <c r="K563" s="477"/>
      <c r="L563" s="477"/>
      <c r="M563" s="478"/>
    </row>
    <row r="564" spans="1:13" ht="14.25">
      <c r="B564" s="434" t="s">
        <v>16</v>
      </c>
      <c r="C564" s="476" t="s">
        <v>18</v>
      </c>
      <c r="D564" s="477"/>
      <c r="E564" s="477"/>
      <c r="F564" s="477"/>
      <c r="G564" s="477"/>
      <c r="H564" s="477"/>
      <c r="I564" s="477"/>
      <c r="J564" s="477"/>
      <c r="K564" s="477"/>
      <c r="L564" s="477"/>
      <c r="M564" s="478"/>
    </row>
    <row r="565" spans="1:13" ht="14.25">
      <c r="B565" s="434" t="s">
        <v>17</v>
      </c>
      <c r="C565" s="476" t="s">
        <v>18</v>
      </c>
      <c r="D565" s="477"/>
      <c r="E565" s="477"/>
      <c r="F565" s="477"/>
      <c r="G565" s="477"/>
      <c r="H565" s="477"/>
      <c r="I565" s="477"/>
      <c r="J565" s="477"/>
      <c r="K565" s="477"/>
      <c r="L565" s="477"/>
      <c r="M565" s="478"/>
    </row>
    <row r="566" spans="1:13" ht="14.25">
      <c r="B566" s="436"/>
      <c r="C566" s="436"/>
      <c r="D566" s="436"/>
      <c r="E566" s="436"/>
    </row>
    <row r="567" spans="1:13" ht="14.25">
      <c r="B567" s="431" t="s">
        <v>19</v>
      </c>
      <c r="C567" s="431"/>
      <c r="D567" s="431"/>
      <c r="E567" s="431"/>
    </row>
    <row r="568" spans="1:13" ht="14.25">
      <c r="B568" s="432" t="s">
        <v>2</v>
      </c>
      <c r="C568" s="433" t="s">
        <v>3</v>
      </c>
      <c r="D568" s="433" t="s">
        <v>4</v>
      </c>
      <c r="E568" s="433" t="s">
        <v>5</v>
      </c>
      <c r="F568" s="433" t="s">
        <v>6</v>
      </c>
      <c r="G568" s="433" t="s">
        <v>7</v>
      </c>
      <c r="H568" s="433" t="s">
        <v>8</v>
      </c>
      <c r="I568" s="433" t="s">
        <v>9</v>
      </c>
      <c r="J568" s="433" t="s">
        <v>10</v>
      </c>
      <c r="K568" s="433" t="s">
        <v>11</v>
      </c>
      <c r="L568" s="433" t="s">
        <v>12</v>
      </c>
      <c r="M568" s="432" t="s">
        <v>13</v>
      </c>
    </row>
    <row r="569" spans="1:13" ht="14.25">
      <c r="B569" s="434" t="s">
        <v>14</v>
      </c>
      <c r="C569" s="320">
        <v>4040</v>
      </c>
      <c r="D569" s="325">
        <v>3032</v>
      </c>
      <c r="E569" s="325">
        <v>2272</v>
      </c>
      <c r="F569" s="325">
        <v>1704</v>
      </c>
      <c r="G569" s="325">
        <v>1280</v>
      </c>
      <c r="H569" s="325">
        <v>960</v>
      </c>
      <c r="I569" s="325">
        <v>720</v>
      </c>
      <c r="J569" s="325">
        <v>540</v>
      </c>
      <c r="K569" s="325">
        <v>404</v>
      </c>
      <c r="L569" s="325">
        <v>304</v>
      </c>
      <c r="M569" s="435">
        <v>228</v>
      </c>
    </row>
    <row r="570" spans="1:13" ht="14.25">
      <c r="B570" s="434" t="s">
        <v>15</v>
      </c>
      <c r="C570" s="476" t="s">
        <v>18</v>
      </c>
      <c r="D570" s="477"/>
      <c r="E570" s="477"/>
      <c r="F570" s="477"/>
      <c r="G570" s="477"/>
      <c r="H570" s="477"/>
      <c r="I570" s="477"/>
      <c r="J570" s="477"/>
      <c r="K570" s="477"/>
      <c r="L570" s="477"/>
      <c r="M570" s="478"/>
    </row>
    <row r="571" spans="1:13" ht="14.25">
      <c r="B571" s="434" t="s">
        <v>16</v>
      </c>
      <c r="C571" s="476" t="s">
        <v>18</v>
      </c>
      <c r="D571" s="477"/>
      <c r="E571" s="477"/>
      <c r="F571" s="477"/>
      <c r="G571" s="477"/>
      <c r="H571" s="477"/>
      <c r="I571" s="477"/>
      <c r="J571" s="477"/>
      <c r="K571" s="477"/>
      <c r="L571" s="477"/>
      <c r="M571" s="478"/>
    </row>
    <row r="572" spans="1:13" ht="14.25">
      <c r="B572" s="434" t="s">
        <v>17</v>
      </c>
      <c r="C572" s="476" t="s">
        <v>18</v>
      </c>
      <c r="D572" s="477"/>
      <c r="E572" s="477"/>
      <c r="F572" s="477"/>
      <c r="G572" s="477"/>
      <c r="H572" s="477"/>
      <c r="I572" s="477"/>
      <c r="J572" s="477"/>
      <c r="K572" s="477"/>
      <c r="L572" s="477"/>
      <c r="M572" s="478"/>
    </row>
    <row r="573" spans="1:13" ht="14.25">
      <c r="B573" s="440"/>
      <c r="C573" s="441"/>
      <c r="D573" s="441"/>
      <c r="E573" s="441"/>
      <c r="F573" s="441"/>
      <c r="G573" s="441"/>
      <c r="H573" s="441"/>
      <c r="I573" s="441"/>
      <c r="J573" s="441"/>
      <c r="K573" s="441"/>
      <c r="L573" s="441"/>
      <c r="M573" s="441"/>
    </row>
    <row r="574" spans="1:13" ht="18">
      <c r="B574" s="430" t="s">
        <v>64</v>
      </c>
      <c r="C574" s="430"/>
      <c r="D574" s="430"/>
      <c r="E574" s="430"/>
    </row>
    <row r="575" spans="1:13" ht="30" customHeight="1">
      <c r="A575" s="437"/>
      <c r="B575" s="431" t="s">
        <v>39</v>
      </c>
      <c r="C575" s="431"/>
      <c r="D575" s="431"/>
      <c r="E575" s="431"/>
    </row>
    <row r="576" spans="1:13" ht="14.25">
      <c r="B576" s="432" t="s">
        <v>2</v>
      </c>
      <c r="C576" s="433" t="s">
        <v>3</v>
      </c>
      <c r="D576" s="433" t="s">
        <v>4</v>
      </c>
      <c r="E576" s="433" t="s">
        <v>5</v>
      </c>
      <c r="F576" s="433" t="s">
        <v>6</v>
      </c>
      <c r="G576" s="433" t="s">
        <v>7</v>
      </c>
      <c r="H576" s="433" t="s">
        <v>8</v>
      </c>
      <c r="I576" s="433" t="s">
        <v>9</v>
      </c>
      <c r="J576" s="433" t="s">
        <v>10</v>
      </c>
      <c r="K576" s="433" t="s">
        <v>11</v>
      </c>
      <c r="L576" s="433" t="s">
        <v>12</v>
      </c>
      <c r="M576" s="432" t="s">
        <v>13</v>
      </c>
    </row>
    <row r="577" spans="1:13" ht="14.25">
      <c r="B577" s="434" t="s">
        <v>14</v>
      </c>
      <c r="C577" s="320">
        <v>7800</v>
      </c>
      <c r="D577" s="325">
        <v>5800</v>
      </c>
      <c r="E577" s="325">
        <v>4400</v>
      </c>
      <c r="F577" s="325">
        <v>3200</v>
      </c>
      <c r="G577" s="325">
        <v>2200</v>
      </c>
      <c r="H577" s="325">
        <v>1400</v>
      </c>
      <c r="I577" s="325">
        <v>800</v>
      </c>
      <c r="J577" s="325">
        <v>400</v>
      </c>
      <c r="K577" s="325">
        <v>200</v>
      </c>
      <c r="L577" s="325">
        <v>160</v>
      </c>
      <c r="M577" s="435">
        <v>120</v>
      </c>
    </row>
    <row r="578" spans="1:13" ht="14.25">
      <c r="B578" s="434" t="s">
        <v>15</v>
      </c>
      <c r="C578" s="325">
        <v>5800</v>
      </c>
      <c r="D578" s="325">
        <v>4400</v>
      </c>
      <c r="E578" s="325">
        <v>3200</v>
      </c>
      <c r="F578" s="325">
        <v>2200</v>
      </c>
      <c r="G578" s="325">
        <v>1400</v>
      </c>
      <c r="H578" s="325">
        <v>800</v>
      </c>
      <c r="I578" s="325">
        <v>400</v>
      </c>
      <c r="J578" s="325">
        <v>200</v>
      </c>
      <c r="K578" s="325">
        <v>160</v>
      </c>
      <c r="L578" s="325">
        <v>120</v>
      </c>
      <c r="M578" s="435">
        <v>100</v>
      </c>
    </row>
    <row r="579" spans="1:13" ht="14.25">
      <c r="B579" s="434" t="s">
        <v>16</v>
      </c>
      <c r="C579" s="325">
        <v>4400</v>
      </c>
      <c r="D579" s="325">
        <v>3200</v>
      </c>
      <c r="E579" s="325">
        <v>2200</v>
      </c>
      <c r="F579" s="325">
        <v>1400</v>
      </c>
      <c r="G579" s="325">
        <v>800</v>
      </c>
      <c r="H579" s="325">
        <v>400</v>
      </c>
      <c r="I579" s="325">
        <v>200</v>
      </c>
      <c r="J579" s="325">
        <v>160</v>
      </c>
      <c r="K579" s="325">
        <v>120</v>
      </c>
      <c r="L579" s="325">
        <v>100</v>
      </c>
      <c r="M579" s="435">
        <v>80</v>
      </c>
    </row>
    <row r="580" spans="1:13" ht="14.25">
      <c r="B580" s="434" t="s">
        <v>17</v>
      </c>
      <c r="C580" s="435">
        <v>3200</v>
      </c>
      <c r="D580" s="435">
        <v>2200</v>
      </c>
      <c r="E580" s="435">
        <v>1400</v>
      </c>
      <c r="F580" s="435">
        <v>800</v>
      </c>
      <c r="G580" s="435">
        <v>400</v>
      </c>
      <c r="H580" s="435">
        <v>200</v>
      </c>
      <c r="I580" s="435">
        <v>160</v>
      </c>
      <c r="J580" s="435">
        <v>120</v>
      </c>
      <c r="K580" s="435">
        <v>100</v>
      </c>
      <c r="L580" s="435">
        <v>80</v>
      </c>
      <c r="M580" s="435">
        <v>40</v>
      </c>
    </row>
    <row r="581" spans="1:13" ht="14.25">
      <c r="B581" s="436"/>
      <c r="C581" s="436"/>
      <c r="D581" s="436"/>
      <c r="E581" s="436"/>
    </row>
    <row r="582" spans="1:13" ht="14.25">
      <c r="B582" s="431" t="s">
        <v>19</v>
      </c>
      <c r="C582" s="431"/>
      <c r="D582" s="431"/>
      <c r="E582" s="431"/>
    </row>
    <row r="583" spans="1:13" ht="14.25">
      <c r="B583" s="432" t="s">
        <v>2</v>
      </c>
      <c r="C583" s="433" t="s">
        <v>3</v>
      </c>
      <c r="D583" s="433" t="s">
        <v>4</v>
      </c>
      <c r="E583" s="433" t="s">
        <v>5</v>
      </c>
      <c r="F583" s="433" t="s">
        <v>6</v>
      </c>
      <c r="G583" s="433" t="s">
        <v>7</v>
      </c>
      <c r="H583" s="433" t="s">
        <v>8</v>
      </c>
      <c r="I583" s="433" t="s">
        <v>9</v>
      </c>
      <c r="J583" s="433" t="s">
        <v>10</v>
      </c>
      <c r="K583" s="433" t="s">
        <v>11</v>
      </c>
      <c r="L583" s="433" t="s">
        <v>12</v>
      </c>
      <c r="M583" s="432" t="s">
        <v>13</v>
      </c>
    </row>
    <row r="584" spans="1:13" ht="14.25">
      <c r="B584" s="434" t="s">
        <v>14</v>
      </c>
      <c r="C584" s="320">
        <v>8888</v>
      </c>
      <c r="D584" s="325">
        <v>6888</v>
      </c>
      <c r="E584" s="325">
        <v>5488</v>
      </c>
      <c r="F584" s="325">
        <v>4288</v>
      </c>
      <c r="G584" s="325">
        <v>3288</v>
      </c>
      <c r="H584" s="325">
        <v>2488</v>
      </c>
      <c r="I584" s="325">
        <v>1688</v>
      </c>
      <c r="J584" s="325">
        <v>888</v>
      </c>
      <c r="K584" s="325">
        <v>288</v>
      </c>
      <c r="L584" s="325">
        <v>248</v>
      </c>
      <c r="M584" s="435">
        <v>208</v>
      </c>
    </row>
    <row r="585" spans="1:13" ht="14.25">
      <c r="B585" s="434" t="s">
        <v>15</v>
      </c>
      <c r="C585" s="325">
        <v>6888</v>
      </c>
      <c r="D585" s="325">
        <v>5488</v>
      </c>
      <c r="E585" s="325">
        <v>4288</v>
      </c>
      <c r="F585" s="325">
        <v>3288</v>
      </c>
      <c r="G585" s="325">
        <v>2488</v>
      </c>
      <c r="H585" s="325">
        <v>1688</v>
      </c>
      <c r="I585" s="325">
        <v>888</v>
      </c>
      <c r="J585" s="325">
        <v>288</v>
      </c>
      <c r="K585" s="325">
        <v>248</v>
      </c>
      <c r="L585" s="325">
        <v>208</v>
      </c>
      <c r="M585" s="435">
        <v>168</v>
      </c>
    </row>
    <row r="586" spans="1:13" ht="14.25">
      <c r="B586" s="434" t="s">
        <v>16</v>
      </c>
      <c r="C586" s="325">
        <v>5488</v>
      </c>
      <c r="D586" s="325">
        <v>4288</v>
      </c>
      <c r="E586" s="325">
        <v>3288</v>
      </c>
      <c r="F586" s="325">
        <v>2488</v>
      </c>
      <c r="G586" s="325">
        <v>1688</v>
      </c>
      <c r="H586" s="325">
        <v>888</v>
      </c>
      <c r="I586" s="325">
        <v>288</v>
      </c>
      <c r="J586" s="325">
        <v>248</v>
      </c>
      <c r="K586" s="325">
        <v>208</v>
      </c>
      <c r="L586" s="325">
        <v>168</v>
      </c>
      <c r="M586" s="435">
        <v>128</v>
      </c>
    </row>
    <row r="587" spans="1:13" ht="14.25">
      <c r="B587" s="434" t="s">
        <v>17</v>
      </c>
      <c r="C587" s="435">
        <v>4288</v>
      </c>
      <c r="D587" s="435">
        <v>3288</v>
      </c>
      <c r="E587" s="435">
        <v>2488</v>
      </c>
      <c r="F587" s="435">
        <v>1688</v>
      </c>
      <c r="G587" s="435">
        <v>888</v>
      </c>
      <c r="H587" s="435">
        <v>288</v>
      </c>
      <c r="I587" s="435">
        <v>248</v>
      </c>
      <c r="J587" s="435">
        <v>208</v>
      </c>
      <c r="K587" s="435">
        <v>168</v>
      </c>
      <c r="L587" s="435">
        <v>128</v>
      </c>
      <c r="M587" s="435">
        <v>80</v>
      </c>
    </row>
    <row r="588" spans="1:13" ht="14.25">
      <c r="B588" s="440"/>
      <c r="C588" s="441"/>
      <c r="D588" s="441"/>
      <c r="E588" s="441"/>
      <c r="F588" s="441"/>
      <c r="G588" s="441"/>
      <c r="H588" s="441"/>
      <c r="I588" s="441"/>
      <c r="J588" s="441"/>
      <c r="K588" s="441"/>
      <c r="L588" s="441"/>
      <c r="M588" s="441"/>
    </row>
    <row r="589" spans="1:13" ht="18">
      <c r="B589" s="430" t="s">
        <v>65</v>
      </c>
      <c r="C589" s="430"/>
      <c r="D589" s="430"/>
      <c r="E589" s="430"/>
    </row>
    <row r="590" spans="1:13" ht="30" customHeight="1">
      <c r="A590" s="437"/>
      <c r="B590" s="431" t="s">
        <v>39</v>
      </c>
      <c r="C590" s="431"/>
      <c r="D590" s="431"/>
      <c r="E590" s="431"/>
    </row>
    <row r="591" spans="1:13" ht="14.25">
      <c r="B591" s="432" t="s">
        <v>2</v>
      </c>
      <c r="C591" s="433" t="s">
        <v>3</v>
      </c>
      <c r="D591" s="433" t="s">
        <v>4</v>
      </c>
      <c r="E591" s="433" t="s">
        <v>5</v>
      </c>
      <c r="F591" s="433" t="s">
        <v>6</v>
      </c>
      <c r="G591" s="433" t="s">
        <v>7</v>
      </c>
      <c r="H591" s="433" t="s">
        <v>8</v>
      </c>
      <c r="I591" s="433" t="s">
        <v>9</v>
      </c>
      <c r="J591" s="433" t="s">
        <v>10</v>
      </c>
      <c r="K591" s="433" t="s">
        <v>11</v>
      </c>
      <c r="L591" s="433" t="s">
        <v>12</v>
      </c>
      <c r="M591" s="432" t="s">
        <v>13</v>
      </c>
    </row>
    <row r="592" spans="1:13" ht="14.25">
      <c r="B592" s="434" t="s">
        <v>14</v>
      </c>
      <c r="C592" s="320">
        <v>3602</v>
      </c>
      <c r="D592" s="325">
        <v>2702</v>
      </c>
      <c r="E592" s="325">
        <v>2028</v>
      </c>
      <c r="F592" s="325">
        <v>1522</v>
      </c>
      <c r="G592" s="325">
        <v>1142</v>
      </c>
      <c r="H592" s="325">
        <v>856</v>
      </c>
      <c r="I592" s="325">
        <v>642</v>
      </c>
      <c r="J592" s="325">
        <v>482</v>
      </c>
      <c r="K592" s="325">
        <v>362</v>
      </c>
      <c r="L592" s="325">
        <v>272</v>
      </c>
      <c r="M592" s="435">
        <v>204</v>
      </c>
    </row>
    <row r="593" spans="1:13" ht="14.25">
      <c r="B593" s="434" t="s">
        <v>15</v>
      </c>
      <c r="C593" s="325">
        <v>2160</v>
      </c>
      <c r="D593" s="325">
        <v>1640</v>
      </c>
      <c r="E593" s="325">
        <v>1216</v>
      </c>
      <c r="F593" s="325">
        <v>912</v>
      </c>
      <c r="G593" s="325">
        <v>684</v>
      </c>
      <c r="H593" s="325">
        <v>514</v>
      </c>
      <c r="I593" s="325">
        <v>386</v>
      </c>
      <c r="J593" s="325">
        <v>290</v>
      </c>
      <c r="K593" s="325">
        <v>216</v>
      </c>
      <c r="L593" s="325">
        <v>162</v>
      </c>
      <c r="M593" s="435">
        <v>122</v>
      </c>
    </row>
    <row r="594" spans="1:13" ht="14.25">
      <c r="B594" s="434" t="s">
        <v>16</v>
      </c>
      <c r="C594" s="325">
        <v>1296</v>
      </c>
      <c r="D594" s="325">
        <v>972</v>
      </c>
      <c r="E594" s="325">
        <v>730</v>
      </c>
      <c r="F594" s="325">
        <v>548</v>
      </c>
      <c r="G594" s="325">
        <v>410</v>
      </c>
      <c r="H594" s="325">
        <v>308</v>
      </c>
      <c r="I594" s="325">
        <v>232</v>
      </c>
      <c r="J594" s="325">
        <v>174</v>
      </c>
      <c r="K594" s="325">
        <v>130</v>
      </c>
      <c r="L594" s="325">
        <v>98</v>
      </c>
      <c r="M594" s="435">
        <v>74</v>
      </c>
    </row>
    <row r="595" spans="1:13" ht="14.25">
      <c r="B595" s="434" t="s">
        <v>17</v>
      </c>
      <c r="C595" s="435">
        <v>778</v>
      </c>
      <c r="D595" s="435">
        <v>584</v>
      </c>
      <c r="E595" s="435">
        <v>438</v>
      </c>
      <c r="F595" s="435">
        <v>328</v>
      </c>
      <c r="G595" s="435">
        <v>246</v>
      </c>
      <c r="H595" s="435">
        <v>184</v>
      </c>
      <c r="I595" s="435">
        <v>138</v>
      </c>
      <c r="J595" s="435">
        <v>104</v>
      </c>
      <c r="K595" s="435">
        <v>78</v>
      </c>
      <c r="L595" s="435">
        <v>58</v>
      </c>
      <c r="M595" s="435">
        <v>44</v>
      </c>
    </row>
    <row r="596" spans="1:13" ht="14.25">
      <c r="B596" s="436"/>
      <c r="C596" s="436"/>
      <c r="D596" s="436"/>
      <c r="E596" s="436"/>
    </row>
    <row r="597" spans="1:13" ht="14.25">
      <c r="B597" s="431" t="s">
        <v>19</v>
      </c>
      <c r="C597" s="431"/>
      <c r="D597" s="431"/>
      <c r="E597" s="431"/>
    </row>
    <row r="598" spans="1:13" ht="14.25">
      <c r="B598" s="432" t="s">
        <v>2</v>
      </c>
      <c r="C598" s="433" t="s">
        <v>3</v>
      </c>
      <c r="D598" s="433" t="s">
        <v>4</v>
      </c>
      <c r="E598" s="433" t="s">
        <v>5</v>
      </c>
      <c r="F598" s="433" t="s">
        <v>6</v>
      </c>
      <c r="G598" s="433" t="s">
        <v>7</v>
      </c>
      <c r="H598" s="433" t="s">
        <v>8</v>
      </c>
      <c r="I598" s="433" t="s">
        <v>9</v>
      </c>
      <c r="J598" s="433" t="s">
        <v>10</v>
      </c>
      <c r="K598" s="433" t="s">
        <v>11</v>
      </c>
      <c r="L598" s="433" t="s">
        <v>12</v>
      </c>
      <c r="M598" s="432" t="s">
        <v>13</v>
      </c>
    </row>
    <row r="599" spans="1:13" ht="14.25">
      <c r="B599" s="434" t="s">
        <v>14</v>
      </c>
      <c r="C599" s="320">
        <v>6100</v>
      </c>
      <c r="D599" s="325">
        <v>4572</v>
      </c>
      <c r="E599" s="325">
        <v>3428</v>
      </c>
      <c r="F599" s="325">
        <v>2570</v>
      </c>
      <c r="G599" s="325">
        <v>1926</v>
      </c>
      <c r="H599" s="325">
        <v>1444</v>
      </c>
      <c r="I599" s="325">
        <v>1082</v>
      </c>
      <c r="J599" s="325">
        <v>810</v>
      </c>
      <c r="K599" s="325">
        <v>608</v>
      </c>
      <c r="L599" s="325">
        <v>456</v>
      </c>
      <c r="M599" s="435">
        <v>342</v>
      </c>
    </row>
    <row r="600" spans="1:13" ht="14.25">
      <c r="B600" s="434" t="s">
        <v>15</v>
      </c>
      <c r="C600" s="325">
        <v>3660</v>
      </c>
      <c r="D600" s="325">
        <v>2744</v>
      </c>
      <c r="E600" s="325">
        <v>2056</v>
      </c>
      <c r="F600" s="325">
        <v>1542</v>
      </c>
      <c r="G600" s="325">
        <v>1156</v>
      </c>
      <c r="H600" s="325">
        <v>866</v>
      </c>
      <c r="I600" s="325">
        <v>650</v>
      </c>
      <c r="J600" s="325">
        <v>486</v>
      </c>
      <c r="K600" s="325">
        <v>364</v>
      </c>
      <c r="L600" s="325">
        <v>274</v>
      </c>
      <c r="M600" s="435">
        <v>204</v>
      </c>
    </row>
    <row r="601" spans="1:13" ht="14.25">
      <c r="B601" s="434" t="s">
        <v>16</v>
      </c>
      <c r="C601" s="325">
        <v>2196</v>
      </c>
      <c r="D601" s="325">
        <v>1646</v>
      </c>
      <c r="E601" s="325">
        <v>1234</v>
      </c>
      <c r="F601" s="325">
        <v>924</v>
      </c>
      <c r="G601" s="325">
        <v>694</v>
      </c>
      <c r="H601" s="325">
        <v>520</v>
      </c>
      <c r="I601" s="325">
        <v>390</v>
      </c>
      <c r="J601" s="325">
        <v>292</v>
      </c>
      <c r="K601" s="325">
        <v>218</v>
      </c>
      <c r="L601" s="325">
        <v>164</v>
      </c>
      <c r="M601" s="435">
        <v>122</v>
      </c>
    </row>
    <row r="602" spans="1:13" ht="14.25">
      <c r="B602" s="434" t="s">
        <v>17</v>
      </c>
      <c r="C602" s="435">
        <v>1316</v>
      </c>
      <c r="D602" s="435">
        <v>986</v>
      </c>
      <c r="E602" s="435">
        <v>740</v>
      </c>
      <c r="F602" s="435">
        <v>554</v>
      </c>
      <c r="G602" s="435">
        <v>416</v>
      </c>
      <c r="H602" s="435">
        <v>312</v>
      </c>
      <c r="I602" s="435">
        <v>234</v>
      </c>
      <c r="J602" s="435">
        <v>174</v>
      </c>
      <c r="K602" s="435">
        <v>132</v>
      </c>
      <c r="L602" s="435">
        <v>98</v>
      </c>
      <c r="M602" s="435">
        <v>74</v>
      </c>
    </row>
    <row r="603" spans="1:13" ht="14.25">
      <c r="B603" s="440"/>
      <c r="C603" s="436"/>
      <c r="D603" s="436"/>
      <c r="E603" s="436"/>
      <c r="F603" s="436"/>
      <c r="G603" s="436"/>
      <c r="H603" s="436"/>
      <c r="I603" s="436"/>
      <c r="J603" s="436"/>
      <c r="K603" s="436"/>
      <c r="L603" s="436"/>
      <c r="M603" s="436"/>
    </row>
    <row r="604" spans="1:13" ht="18">
      <c r="B604" s="430" t="s">
        <v>66</v>
      </c>
      <c r="C604" s="430"/>
      <c r="D604" s="430"/>
      <c r="E604" s="430"/>
    </row>
    <row r="605" spans="1:13" ht="30" customHeight="1">
      <c r="A605" s="437"/>
      <c r="B605" s="431" t="s">
        <v>39</v>
      </c>
      <c r="C605" s="431"/>
      <c r="D605" s="431"/>
      <c r="E605" s="431"/>
    </row>
    <row r="606" spans="1:13" ht="14.25">
      <c r="B606" s="432" t="s">
        <v>2</v>
      </c>
      <c r="C606" s="433" t="s">
        <v>3</v>
      </c>
      <c r="D606" s="433" t="s">
        <v>4</v>
      </c>
      <c r="E606" s="433" t="s">
        <v>5</v>
      </c>
      <c r="F606" s="433" t="s">
        <v>6</v>
      </c>
      <c r="G606" s="433" t="s">
        <v>7</v>
      </c>
      <c r="H606" s="433" t="s">
        <v>8</v>
      </c>
      <c r="I606" s="433" t="s">
        <v>9</v>
      </c>
      <c r="J606" s="433" t="s">
        <v>10</v>
      </c>
      <c r="K606" s="433" t="s">
        <v>11</v>
      </c>
      <c r="L606" s="433" t="s">
        <v>12</v>
      </c>
      <c r="M606" s="432" t="s">
        <v>13</v>
      </c>
    </row>
    <row r="607" spans="1:13" ht="14.25">
      <c r="B607" s="434" t="s">
        <v>14</v>
      </c>
      <c r="C607" s="320">
        <v>9644</v>
      </c>
      <c r="D607" s="325">
        <v>7234</v>
      </c>
      <c r="E607" s="325">
        <v>5424</v>
      </c>
      <c r="F607" s="325">
        <v>4068</v>
      </c>
      <c r="G607" s="325">
        <v>3052</v>
      </c>
      <c r="H607" s="325">
        <v>2288</v>
      </c>
      <c r="I607" s="325">
        <v>1716</v>
      </c>
      <c r="J607" s="325">
        <v>1288</v>
      </c>
      <c r="K607" s="325">
        <v>966</v>
      </c>
      <c r="L607" s="325">
        <v>724</v>
      </c>
      <c r="M607" s="435">
        <v>544</v>
      </c>
    </row>
    <row r="608" spans="1:13" ht="14.25">
      <c r="B608" s="434" t="s">
        <v>15</v>
      </c>
      <c r="C608" s="325">
        <v>6336</v>
      </c>
      <c r="D608" s="325">
        <v>4752</v>
      </c>
      <c r="E608" s="325">
        <v>3564</v>
      </c>
      <c r="F608" s="325">
        <v>2674</v>
      </c>
      <c r="G608" s="325">
        <v>2004</v>
      </c>
      <c r="H608" s="325">
        <v>1504</v>
      </c>
      <c r="I608" s="325">
        <v>1128</v>
      </c>
      <c r="J608" s="325">
        <v>846</v>
      </c>
      <c r="K608" s="325">
        <v>634</v>
      </c>
      <c r="L608" s="325">
        <v>476</v>
      </c>
      <c r="M608" s="435">
        <v>356</v>
      </c>
    </row>
    <row r="609" spans="1:13" ht="14.25">
      <c r="B609" s="434" t="s">
        <v>16</v>
      </c>
      <c r="C609" s="325">
        <v>5568</v>
      </c>
      <c r="D609" s="325">
        <v>4176</v>
      </c>
      <c r="E609" s="325">
        <v>3132</v>
      </c>
      <c r="F609" s="325">
        <v>2348</v>
      </c>
      <c r="G609" s="325">
        <v>1762</v>
      </c>
      <c r="H609" s="325">
        <v>1322</v>
      </c>
      <c r="I609" s="325">
        <v>990</v>
      </c>
      <c r="J609" s="325">
        <v>744</v>
      </c>
      <c r="K609" s="325">
        <v>558</v>
      </c>
      <c r="L609" s="325">
        <v>418</v>
      </c>
      <c r="M609" s="435">
        <v>314</v>
      </c>
    </row>
    <row r="610" spans="1:13" ht="14.25">
      <c r="B610" s="434" t="s">
        <v>17</v>
      </c>
      <c r="C610" s="435">
        <v>3528</v>
      </c>
      <c r="D610" s="435">
        <v>2646</v>
      </c>
      <c r="E610" s="435">
        <v>1984</v>
      </c>
      <c r="F610" s="435">
        <v>1488</v>
      </c>
      <c r="G610" s="435">
        <v>1116</v>
      </c>
      <c r="H610" s="435">
        <v>838</v>
      </c>
      <c r="I610" s="435">
        <v>628</v>
      </c>
      <c r="J610" s="435">
        <v>470</v>
      </c>
      <c r="K610" s="435">
        <v>354</v>
      </c>
      <c r="L610" s="435">
        <v>264</v>
      </c>
      <c r="M610" s="435">
        <v>198</v>
      </c>
    </row>
    <row r="611" spans="1:13" ht="14.25">
      <c r="B611" s="436"/>
      <c r="C611" s="436"/>
      <c r="D611" s="436"/>
      <c r="E611" s="436"/>
    </row>
    <row r="612" spans="1:13" ht="14.25">
      <c r="B612" s="431" t="s">
        <v>19</v>
      </c>
      <c r="C612" s="431"/>
      <c r="D612" s="431"/>
      <c r="E612" s="431"/>
    </row>
    <row r="613" spans="1:13" ht="14.25">
      <c r="B613" s="432" t="s">
        <v>2</v>
      </c>
      <c r="C613" s="433" t="s">
        <v>3</v>
      </c>
      <c r="D613" s="433" t="s">
        <v>4</v>
      </c>
      <c r="E613" s="433" t="s">
        <v>5</v>
      </c>
      <c r="F613" s="433" t="s">
        <v>6</v>
      </c>
      <c r="G613" s="433" t="s">
        <v>7</v>
      </c>
      <c r="H613" s="433" t="s">
        <v>8</v>
      </c>
      <c r="I613" s="433" t="s">
        <v>9</v>
      </c>
      <c r="J613" s="433" t="s">
        <v>10</v>
      </c>
      <c r="K613" s="433" t="s">
        <v>11</v>
      </c>
      <c r="L613" s="433" t="s">
        <v>12</v>
      </c>
      <c r="M613" s="432" t="s">
        <v>13</v>
      </c>
    </row>
    <row r="614" spans="1:13" ht="14.25">
      <c r="B614" s="434" t="s">
        <v>14</v>
      </c>
      <c r="C614" s="320">
        <v>14466</v>
      </c>
      <c r="D614" s="325">
        <v>10850</v>
      </c>
      <c r="E614" s="325">
        <v>8138</v>
      </c>
      <c r="F614" s="325">
        <v>6104</v>
      </c>
      <c r="G614" s="325">
        <v>4578</v>
      </c>
      <c r="H614" s="325">
        <v>3432</v>
      </c>
      <c r="I614" s="325">
        <v>2574</v>
      </c>
      <c r="J614" s="325">
        <v>1932</v>
      </c>
      <c r="K614" s="325">
        <v>1448</v>
      </c>
      <c r="L614" s="325">
        <v>1086</v>
      </c>
      <c r="M614" s="435">
        <v>814</v>
      </c>
    </row>
    <row r="615" spans="1:13" ht="14.25">
      <c r="B615" s="434" t="s">
        <v>15</v>
      </c>
      <c r="C615" s="325">
        <v>9504</v>
      </c>
      <c r="D615" s="325">
        <v>7128</v>
      </c>
      <c r="E615" s="325">
        <v>5346</v>
      </c>
      <c r="F615" s="325">
        <v>4010</v>
      </c>
      <c r="G615" s="325">
        <v>3008</v>
      </c>
      <c r="H615" s="325">
        <v>2256</v>
      </c>
      <c r="I615" s="325">
        <v>1692</v>
      </c>
      <c r="J615" s="325">
        <v>1268</v>
      </c>
      <c r="K615" s="325">
        <v>952</v>
      </c>
      <c r="L615" s="325">
        <v>714</v>
      </c>
      <c r="M615" s="435">
        <v>536</v>
      </c>
    </row>
    <row r="616" spans="1:13" ht="14.25">
      <c r="B616" s="434" t="s">
        <v>16</v>
      </c>
      <c r="C616" s="325">
        <v>8352</v>
      </c>
      <c r="D616" s="325">
        <v>6264</v>
      </c>
      <c r="E616" s="325">
        <v>4698</v>
      </c>
      <c r="F616" s="325">
        <v>3524</v>
      </c>
      <c r="G616" s="325">
        <v>2642</v>
      </c>
      <c r="H616" s="325">
        <v>1982</v>
      </c>
      <c r="I616" s="325">
        <v>1486</v>
      </c>
      <c r="J616" s="325">
        <v>1114</v>
      </c>
      <c r="K616" s="325">
        <v>836</v>
      </c>
      <c r="L616" s="325">
        <v>628</v>
      </c>
      <c r="M616" s="435">
        <v>470</v>
      </c>
    </row>
    <row r="617" spans="1:13" ht="14.25">
      <c r="B617" s="434" t="s">
        <v>17</v>
      </c>
      <c r="C617" s="435">
        <v>5290</v>
      </c>
      <c r="D617" s="435">
        <v>3968</v>
      </c>
      <c r="E617" s="435">
        <v>2976</v>
      </c>
      <c r="F617" s="435">
        <v>2232</v>
      </c>
      <c r="G617" s="435">
        <v>1674</v>
      </c>
      <c r="H617" s="435">
        <v>1256</v>
      </c>
      <c r="I617" s="435">
        <v>942</v>
      </c>
      <c r="J617" s="435">
        <v>706</v>
      </c>
      <c r="K617" s="435">
        <v>530</v>
      </c>
      <c r="L617" s="435">
        <v>398</v>
      </c>
      <c r="M617" s="435">
        <v>298</v>
      </c>
    </row>
    <row r="618" spans="1:13" ht="14.25">
      <c r="B618" s="440"/>
      <c r="C618" s="436"/>
      <c r="D618" s="436"/>
      <c r="E618" s="436"/>
      <c r="F618" s="436"/>
      <c r="G618" s="436"/>
      <c r="H618" s="436"/>
      <c r="I618" s="436"/>
      <c r="J618" s="436"/>
      <c r="K618" s="436"/>
      <c r="L618" s="436"/>
      <c r="M618" s="436"/>
    </row>
    <row r="619" spans="1:13" ht="18">
      <c r="B619" s="430" t="s">
        <v>67</v>
      </c>
      <c r="C619" s="430"/>
      <c r="D619" s="430"/>
      <c r="E619" s="430"/>
    </row>
    <row r="620" spans="1:13" ht="30" customHeight="1">
      <c r="A620" s="437"/>
      <c r="B620" s="431" t="s">
        <v>39</v>
      </c>
      <c r="C620" s="431"/>
      <c r="D620" s="431"/>
      <c r="E620" s="431"/>
    </row>
    <row r="621" spans="1:13" ht="14.25">
      <c r="B621" s="432" t="s">
        <v>2</v>
      </c>
      <c r="C621" s="433" t="s">
        <v>3</v>
      </c>
      <c r="D621" s="433" t="s">
        <v>4</v>
      </c>
      <c r="E621" s="433" t="s">
        <v>5</v>
      </c>
      <c r="F621" s="433" t="s">
        <v>6</v>
      </c>
      <c r="G621" s="433" t="s">
        <v>7</v>
      </c>
      <c r="H621" s="433" t="s">
        <v>8</v>
      </c>
      <c r="I621" s="433" t="s">
        <v>9</v>
      </c>
      <c r="J621" s="433" t="s">
        <v>10</v>
      </c>
      <c r="K621" s="433" t="s">
        <v>11</v>
      </c>
      <c r="L621" s="433" t="s">
        <v>12</v>
      </c>
      <c r="M621" s="432" t="s">
        <v>13</v>
      </c>
    </row>
    <row r="622" spans="1:13" ht="14.25">
      <c r="B622" s="434" t="s">
        <v>14</v>
      </c>
      <c r="C622" s="320">
        <v>1496</v>
      </c>
      <c r="D622" s="325">
        <v>1122</v>
      </c>
      <c r="E622" s="325">
        <v>842</v>
      </c>
      <c r="F622" s="325">
        <v>632</v>
      </c>
      <c r="G622" s="325">
        <v>474</v>
      </c>
      <c r="H622" s="325">
        <v>356</v>
      </c>
      <c r="I622" s="325">
        <v>266</v>
      </c>
      <c r="J622" s="325">
        <v>200</v>
      </c>
      <c r="K622" s="325">
        <v>150</v>
      </c>
      <c r="L622" s="325">
        <v>112</v>
      </c>
      <c r="M622" s="435">
        <v>84</v>
      </c>
    </row>
    <row r="623" spans="1:13" ht="14.25">
      <c r="B623" s="434" t="s">
        <v>15</v>
      </c>
      <c r="C623" s="325">
        <v>896</v>
      </c>
      <c r="D623" s="325">
        <v>672</v>
      </c>
      <c r="E623" s="325">
        <v>504</v>
      </c>
      <c r="F623" s="325">
        <v>378</v>
      </c>
      <c r="G623" s="325">
        <v>284</v>
      </c>
      <c r="H623" s="325">
        <v>214</v>
      </c>
      <c r="I623" s="325">
        <v>160</v>
      </c>
      <c r="J623" s="325">
        <v>120</v>
      </c>
      <c r="K623" s="325">
        <v>90</v>
      </c>
      <c r="L623" s="325">
        <v>68</v>
      </c>
      <c r="M623" s="435">
        <v>50</v>
      </c>
    </row>
    <row r="624" spans="1:13" ht="14.25">
      <c r="B624" s="434" t="s">
        <v>16</v>
      </c>
      <c r="C624" s="325">
        <v>538</v>
      </c>
      <c r="D624" s="325">
        <v>404</v>
      </c>
      <c r="E624" s="325">
        <v>302</v>
      </c>
      <c r="F624" s="325">
        <v>228</v>
      </c>
      <c r="G624" s="325">
        <v>170</v>
      </c>
      <c r="H624" s="325">
        <v>128</v>
      </c>
      <c r="I624" s="325">
        <v>96</v>
      </c>
      <c r="J624" s="325">
        <v>72</v>
      </c>
      <c r="K624" s="325">
        <v>54</v>
      </c>
      <c r="L624" s="325">
        <v>40</v>
      </c>
      <c r="M624" s="435">
        <v>30</v>
      </c>
    </row>
    <row r="625" spans="1:13" ht="14.25">
      <c r="B625" s="434" t="s">
        <v>17</v>
      </c>
      <c r="C625" s="476" t="s">
        <v>18</v>
      </c>
      <c r="D625" s="477"/>
      <c r="E625" s="477"/>
      <c r="F625" s="477"/>
      <c r="G625" s="477"/>
      <c r="H625" s="477"/>
      <c r="I625" s="477"/>
      <c r="J625" s="477"/>
      <c r="K625" s="477"/>
      <c r="L625" s="477"/>
      <c r="M625" s="478"/>
    </row>
    <row r="626" spans="1:13" ht="14.25">
      <c r="B626" s="436"/>
      <c r="C626" s="436"/>
      <c r="D626" s="436"/>
      <c r="E626" s="436"/>
    </row>
    <row r="627" spans="1:13" ht="14.25">
      <c r="B627" s="431" t="s">
        <v>19</v>
      </c>
      <c r="C627" s="431"/>
      <c r="D627" s="431"/>
      <c r="E627" s="431"/>
    </row>
    <row r="628" spans="1:13" ht="14.25">
      <c r="B628" s="432" t="s">
        <v>2</v>
      </c>
      <c r="C628" s="433" t="s">
        <v>3</v>
      </c>
      <c r="D628" s="433" t="s">
        <v>4</v>
      </c>
      <c r="E628" s="433" t="s">
        <v>5</v>
      </c>
      <c r="F628" s="433" t="s">
        <v>6</v>
      </c>
      <c r="G628" s="433" t="s">
        <v>7</v>
      </c>
      <c r="H628" s="433" t="s">
        <v>8</v>
      </c>
      <c r="I628" s="433" t="s">
        <v>9</v>
      </c>
      <c r="J628" s="433" t="s">
        <v>10</v>
      </c>
      <c r="K628" s="433" t="s">
        <v>11</v>
      </c>
      <c r="L628" s="433" t="s">
        <v>12</v>
      </c>
      <c r="M628" s="432" t="s">
        <v>13</v>
      </c>
    </row>
    <row r="629" spans="1:13" ht="14.25">
      <c r="B629" s="434" t="s">
        <v>14</v>
      </c>
      <c r="C629" s="320">
        <v>2470</v>
      </c>
      <c r="D629" s="325">
        <v>1852</v>
      </c>
      <c r="E629" s="325">
        <v>1388</v>
      </c>
      <c r="F629" s="325">
        <v>1040</v>
      </c>
      <c r="G629" s="325">
        <v>780</v>
      </c>
      <c r="H629" s="325">
        <v>584</v>
      </c>
      <c r="I629" s="325">
        <v>438</v>
      </c>
      <c r="J629" s="325">
        <v>328</v>
      </c>
      <c r="K629" s="325">
        <v>246</v>
      </c>
      <c r="L629" s="325">
        <v>184</v>
      </c>
      <c r="M629" s="435">
        <v>138</v>
      </c>
    </row>
    <row r="630" spans="1:13" ht="14.25">
      <c r="B630" s="434" t="s">
        <v>15</v>
      </c>
      <c r="C630" s="325">
        <v>1482</v>
      </c>
      <c r="D630" s="325">
        <v>1110</v>
      </c>
      <c r="E630" s="325">
        <v>832</v>
      </c>
      <c r="F630" s="325">
        <v>624</v>
      </c>
      <c r="G630" s="325">
        <v>468</v>
      </c>
      <c r="H630" s="325">
        <v>358</v>
      </c>
      <c r="I630" s="325">
        <v>262</v>
      </c>
      <c r="J630" s="325">
        <v>198</v>
      </c>
      <c r="K630" s="325">
        <v>148</v>
      </c>
      <c r="L630" s="325">
        <v>110</v>
      </c>
      <c r="M630" s="435">
        <v>82</v>
      </c>
    </row>
    <row r="631" spans="1:13" ht="14.25">
      <c r="B631" s="434" t="s">
        <v>16</v>
      </c>
      <c r="C631" s="325">
        <v>888</v>
      </c>
      <c r="D631" s="325">
        <v>666</v>
      </c>
      <c r="E631" s="325">
        <v>498</v>
      </c>
      <c r="F631" s="325">
        <v>374</v>
      </c>
      <c r="G631" s="325">
        <v>280</v>
      </c>
      <c r="H631" s="325">
        <v>210</v>
      </c>
      <c r="I631" s="325">
        <v>158</v>
      </c>
      <c r="J631" s="325">
        <v>118</v>
      </c>
      <c r="K631" s="325">
        <v>88</v>
      </c>
      <c r="L631" s="325">
        <v>66</v>
      </c>
      <c r="M631" s="435">
        <v>50</v>
      </c>
    </row>
    <row r="632" spans="1:13" ht="14.25">
      <c r="B632" s="434" t="s">
        <v>17</v>
      </c>
      <c r="C632" s="476" t="s">
        <v>18</v>
      </c>
      <c r="D632" s="477"/>
      <c r="E632" s="477"/>
      <c r="F632" s="477"/>
      <c r="G632" s="477"/>
      <c r="H632" s="477"/>
      <c r="I632" s="477"/>
      <c r="J632" s="477"/>
      <c r="K632" s="477"/>
      <c r="L632" s="477"/>
      <c r="M632" s="478"/>
    </row>
    <row r="633" spans="1:13" ht="14.25">
      <c r="B633" s="440"/>
      <c r="C633" s="436"/>
      <c r="D633" s="436"/>
      <c r="E633" s="436"/>
      <c r="F633" s="436"/>
      <c r="G633" s="436"/>
      <c r="H633" s="436"/>
      <c r="I633" s="436"/>
      <c r="J633" s="436"/>
      <c r="K633" s="436"/>
      <c r="L633" s="436"/>
      <c r="M633" s="436"/>
    </row>
    <row r="634" spans="1:13" ht="18">
      <c r="B634" s="430" t="s">
        <v>68</v>
      </c>
      <c r="C634" s="430"/>
      <c r="D634" s="430"/>
      <c r="E634" s="430"/>
    </row>
    <row r="635" spans="1:13" ht="30" customHeight="1">
      <c r="A635" s="437"/>
      <c r="B635" s="431" t="s">
        <v>39</v>
      </c>
      <c r="C635" s="431"/>
      <c r="D635" s="431"/>
      <c r="E635" s="431"/>
    </row>
    <row r="636" spans="1:13" ht="14.25">
      <c r="B636" s="432" t="s">
        <v>2</v>
      </c>
      <c r="C636" s="433" t="s">
        <v>3</v>
      </c>
      <c r="D636" s="433" t="s">
        <v>4</v>
      </c>
      <c r="E636" s="433" t="s">
        <v>5</v>
      </c>
      <c r="F636" s="433" t="s">
        <v>6</v>
      </c>
      <c r="G636" s="433" t="s">
        <v>7</v>
      </c>
      <c r="H636" s="433" t="s">
        <v>8</v>
      </c>
      <c r="I636" s="433" t="s">
        <v>9</v>
      </c>
      <c r="J636" s="433" t="s">
        <v>10</v>
      </c>
      <c r="K636" s="433" t="s">
        <v>11</v>
      </c>
      <c r="L636" s="433" t="s">
        <v>12</v>
      </c>
      <c r="M636" s="432" t="s">
        <v>13</v>
      </c>
    </row>
    <row r="637" spans="1:13" ht="14.25">
      <c r="B637" s="434" t="s">
        <v>14</v>
      </c>
      <c r="C637" s="320">
        <v>1060</v>
      </c>
      <c r="D637" s="325">
        <v>796</v>
      </c>
      <c r="E637" s="325">
        <v>596</v>
      </c>
      <c r="F637" s="325">
        <v>448</v>
      </c>
      <c r="G637" s="325">
        <v>336</v>
      </c>
      <c r="H637" s="325">
        <v>252</v>
      </c>
      <c r="I637" s="325">
        <v>190</v>
      </c>
      <c r="J637" s="325">
        <v>142</v>
      </c>
      <c r="K637" s="325">
        <v>106</v>
      </c>
      <c r="L637" s="325">
        <v>80</v>
      </c>
      <c r="M637" s="435">
        <v>60</v>
      </c>
    </row>
    <row r="638" spans="1:13" ht="14.25">
      <c r="B638" s="434" t="s">
        <v>15</v>
      </c>
      <c r="C638" s="325">
        <v>650</v>
      </c>
      <c r="D638" s="325">
        <v>488</v>
      </c>
      <c r="E638" s="325">
        <v>366</v>
      </c>
      <c r="F638" s="325">
        <v>274</v>
      </c>
      <c r="G638" s="325">
        <v>206</v>
      </c>
      <c r="H638" s="325">
        <v>154</v>
      </c>
      <c r="I638" s="325">
        <v>116</v>
      </c>
      <c r="J638" s="325">
        <v>88</v>
      </c>
      <c r="K638" s="325">
        <v>66</v>
      </c>
      <c r="L638" s="325">
        <v>48</v>
      </c>
      <c r="M638" s="435">
        <v>36</v>
      </c>
    </row>
    <row r="639" spans="1:13" ht="14.25">
      <c r="B639" s="434" t="s">
        <v>16</v>
      </c>
      <c r="C639" s="325">
        <v>370</v>
      </c>
      <c r="D639" s="325">
        <v>278</v>
      </c>
      <c r="E639" s="325">
        <v>208</v>
      </c>
      <c r="F639" s="325">
        <v>156</v>
      </c>
      <c r="G639" s="325">
        <v>118</v>
      </c>
      <c r="H639" s="325">
        <v>88</v>
      </c>
      <c r="I639" s="325">
        <v>66</v>
      </c>
      <c r="J639" s="325">
        <v>50</v>
      </c>
      <c r="K639" s="325">
        <v>36</v>
      </c>
      <c r="L639" s="325">
        <v>28</v>
      </c>
      <c r="M639" s="435">
        <v>20</v>
      </c>
    </row>
    <row r="640" spans="1:13" ht="14.25">
      <c r="B640" s="434" t="s">
        <v>17</v>
      </c>
      <c r="C640" s="476" t="s">
        <v>18</v>
      </c>
      <c r="D640" s="477"/>
      <c r="E640" s="477"/>
      <c r="F640" s="477"/>
      <c r="G640" s="477"/>
      <c r="H640" s="477"/>
      <c r="I640" s="477"/>
      <c r="J640" s="477"/>
      <c r="K640" s="477"/>
      <c r="L640" s="477"/>
      <c r="M640" s="478"/>
    </row>
    <row r="641" spans="1:13" ht="14.25">
      <c r="B641" s="436"/>
      <c r="C641" s="436"/>
      <c r="D641" s="436"/>
      <c r="E641" s="436"/>
    </row>
    <row r="642" spans="1:13" ht="14.25">
      <c r="B642" s="431" t="s">
        <v>19</v>
      </c>
      <c r="C642" s="431"/>
      <c r="D642" s="431"/>
      <c r="E642" s="431"/>
    </row>
    <row r="643" spans="1:13" ht="14.25">
      <c r="B643" s="432" t="s">
        <v>2</v>
      </c>
      <c r="C643" s="433" t="s">
        <v>3</v>
      </c>
      <c r="D643" s="433" t="s">
        <v>4</v>
      </c>
      <c r="E643" s="433" t="s">
        <v>5</v>
      </c>
      <c r="F643" s="433" t="s">
        <v>6</v>
      </c>
      <c r="G643" s="433" t="s">
        <v>7</v>
      </c>
      <c r="H643" s="433" t="s">
        <v>8</v>
      </c>
      <c r="I643" s="433" t="s">
        <v>9</v>
      </c>
      <c r="J643" s="433" t="s">
        <v>10</v>
      </c>
      <c r="K643" s="433" t="s">
        <v>11</v>
      </c>
      <c r="L643" s="433" t="s">
        <v>12</v>
      </c>
      <c r="M643" s="432" t="s">
        <v>13</v>
      </c>
    </row>
    <row r="644" spans="1:13" ht="14.25">
      <c r="B644" s="434" t="s">
        <v>14</v>
      </c>
      <c r="C644" s="320">
        <v>1736</v>
      </c>
      <c r="D644" s="325">
        <v>1302</v>
      </c>
      <c r="E644" s="325">
        <v>976</v>
      </c>
      <c r="F644" s="325">
        <v>732</v>
      </c>
      <c r="G644" s="325">
        <v>548</v>
      </c>
      <c r="H644" s="325">
        <v>410</v>
      </c>
      <c r="I644" s="325">
        <v>308</v>
      </c>
      <c r="J644" s="325">
        <v>230</v>
      </c>
      <c r="K644" s="325">
        <v>172</v>
      </c>
      <c r="L644" s="325">
        <v>130</v>
      </c>
      <c r="M644" s="435">
        <v>92</v>
      </c>
    </row>
    <row r="645" spans="1:13" ht="14.25">
      <c r="B645" s="434" t="s">
        <v>15</v>
      </c>
      <c r="C645" s="325">
        <v>1058</v>
      </c>
      <c r="D645" s="325">
        <v>794</v>
      </c>
      <c r="E645" s="325">
        <v>594</v>
      </c>
      <c r="F645" s="325">
        <v>446</v>
      </c>
      <c r="G645" s="325">
        <v>334</v>
      </c>
      <c r="H645" s="325">
        <v>250</v>
      </c>
      <c r="I645" s="325">
        <v>188</v>
      </c>
      <c r="J645" s="325">
        <v>140</v>
      </c>
      <c r="K645" s="325">
        <v>106</v>
      </c>
      <c r="L645" s="325">
        <v>80</v>
      </c>
      <c r="M645" s="435">
        <v>60</v>
      </c>
    </row>
    <row r="646" spans="1:13" ht="14.25">
      <c r="B646" s="434" t="s">
        <v>16</v>
      </c>
      <c r="C646" s="325">
        <v>596</v>
      </c>
      <c r="D646" s="325">
        <v>446</v>
      </c>
      <c r="E646" s="325">
        <v>334</v>
      </c>
      <c r="F646" s="325">
        <v>252</v>
      </c>
      <c r="G646" s="325">
        <v>188</v>
      </c>
      <c r="H646" s="325">
        <v>142</v>
      </c>
      <c r="I646" s="325">
        <v>106</v>
      </c>
      <c r="J646" s="325">
        <v>80</v>
      </c>
      <c r="K646" s="325">
        <v>60</v>
      </c>
      <c r="L646" s="325">
        <v>44</v>
      </c>
      <c r="M646" s="435">
        <v>34</v>
      </c>
    </row>
    <row r="647" spans="1:13" ht="14.25">
      <c r="B647" s="434" t="s">
        <v>17</v>
      </c>
      <c r="C647" s="476" t="s">
        <v>18</v>
      </c>
      <c r="D647" s="477"/>
      <c r="E647" s="477"/>
      <c r="F647" s="477"/>
      <c r="G647" s="477"/>
      <c r="H647" s="477"/>
      <c r="I647" s="477"/>
      <c r="J647" s="477"/>
      <c r="K647" s="477"/>
      <c r="L647" s="477"/>
      <c r="M647" s="478"/>
    </row>
    <row r="648" spans="1:13" ht="14.25">
      <c r="B648" s="440"/>
      <c r="C648" s="441"/>
      <c r="D648" s="441"/>
      <c r="E648" s="441"/>
      <c r="F648" s="441"/>
      <c r="G648" s="441"/>
      <c r="H648" s="441"/>
      <c r="I648" s="441"/>
      <c r="J648" s="441"/>
      <c r="K648" s="441"/>
      <c r="L648" s="441"/>
      <c r="M648" s="441"/>
    </row>
    <row r="649" spans="1:13" ht="18">
      <c r="B649" s="430" t="s">
        <v>69</v>
      </c>
      <c r="C649" s="430"/>
      <c r="D649" s="430"/>
      <c r="E649" s="430"/>
    </row>
    <row r="650" spans="1:13" ht="30" customHeight="1">
      <c r="A650" s="437"/>
      <c r="B650" s="442" t="s">
        <v>46</v>
      </c>
      <c r="C650" s="431"/>
      <c r="D650" s="431"/>
      <c r="E650" s="431"/>
    </row>
    <row r="651" spans="1:13" ht="14.25">
      <c r="B651" s="432" t="s">
        <v>2</v>
      </c>
      <c r="C651" s="433" t="s">
        <v>3</v>
      </c>
      <c r="D651" s="433" t="s">
        <v>4</v>
      </c>
      <c r="E651" s="433" t="s">
        <v>5</v>
      </c>
      <c r="F651" s="433" t="s">
        <v>6</v>
      </c>
      <c r="G651" s="433" t="s">
        <v>7</v>
      </c>
      <c r="H651" s="433" t="s">
        <v>8</v>
      </c>
      <c r="I651" s="433" t="s">
        <v>9</v>
      </c>
      <c r="J651" s="433" t="s">
        <v>10</v>
      </c>
      <c r="K651" s="433" t="s">
        <v>11</v>
      </c>
      <c r="L651" s="433" t="s">
        <v>12</v>
      </c>
      <c r="M651" s="432" t="s">
        <v>13</v>
      </c>
    </row>
    <row r="652" spans="1:13" ht="14.25">
      <c r="B652" s="434" t="s">
        <v>14</v>
      </c>
      <c r="C652" s="320">
        <v>2300</v>
      </c>
      <c r="D652" s="325">
        <v>1840</v>
      </c>
      <c r="E652" s="325">
        <v>1496</v>
      </c>
      <c r="F652" s="325">
        <v>1380</v>
      </c>
      <c r="G652" s="325">
        <v>1150</v>
      </c>
      <c r="H652" s="325">
        <v>576</v>
      </c>
      <c r="I652" s="325">
        <v>230</v>
      </c>
      <c r="J652" s="325">
        <v>184</v>
      </c>
      <c r="K652" s="325">
        <v>138</v>
      </c>
      <c r="L652" s="325">
        <v>92</v>
      </c>
      <c r="M652" s="435">
        <v>80</v>
      </c>
    </row>
    <row r="653" spans="1:13" ht="14.25">
      <c r="B653" s="434" t="s">
        <v>15</v>
      </c>
      <c r="C653" s="325">
        <v>1610</v>
      </c>
      <c r="D653" s="325">
        <v>1288</v>
      </c>
      <c r="E653" s="325">
        <v>1046</v>
      </c>
      <c r="F653" s="325">
        <v>966</v>
      </c>
      <c r="G653" s="325">
        <v>806</v>
      </c>
      <c r="H653" s="325">
        <v>402</v>
      </c>
      <c r="I653" s="325">
        <v>162</v>
      </c>
      <c r="J653" s="325">
        <v>128</v>
      </c>
      <c r="K653" s="325">
        <v>96</v>
      </c>
      <c r="L653" s="325">
        <v>64</v>
      </c>
      <c r="M653" s="435">
        <v>56</v>
      </c>
    </row>
    <row r="654" spans="1:13" ht="14.25">
      <c r="B654" s="434" t="s">
        <v>16</v>
      </c>
      <c r="C654" s="325">
        <v>1036</v>
      </c>
      <c r="D654" s="325">
        <v>828</v>
      </c>
      <c r="E654" s="325">
        <v>672</v>
      </c>
      <c r="F654" s="325">
        <v>622</v>
      </c>
      <c r="G654" s="325">
        <v>518</v>
      </c>
      <c r="H654" s="325">
        <v>260</v>
      </c>
      <c r="I654" s="325">
        <v>104</v>
      </c>
      <c r="J654" s="325">
        <v>82</v>
      </c>
      <c r="K654" s="325">
        <v>62</v>
      </c>
      <c r="L654" s="325">
        <v>42</v>
      </c>
      <c r="M654" s="435">
        <v>36</v>
      </c>
    </row>
    <row r="655" spans="1:13" ht="14.25">
      <c r="B655" s="434" t="s">
        <v>17</v>
      </c>
      <c r="C655" s="476" t="s">
        <v>18</v>
      </c>
      <c r="D655" s="477"/>
      <c r="E655" s="477"/>
      <c r="F655" s="477"/>
      <c r="G655" s="477"/>
      <c r="H655" s="477"/>
      <c r="I655" s="477"/>
      <c r="J655" s="477"/>
      <c r="K655" s="477"/>
      <c r="L655" s="477"/>
      <c r="M655" s="478"/>
    </row>
    <row r="656" spans="1:13" ht="14.25">
      <c r="B656" s="440"/>
      <c r="C656" s="441"/>
      <c r="D656" s="441"/>
      <c r="E656" s="441"/>
      <c r="F656" s="441"/>
      <c r="G656" s="441"/>
      <c r="H656" s="441"/>
      <c r="I656" s="441"/>
      <c r="J656" s="441"/>
      <c r="K656" s="441"/>
      <c r="L656" s="441"/>
      <c r="M656" s="441"/>
    </row>
    <row r="657" spans="1:13" ht="18">
      <c r="B657" s="430" t="s">
        <v>70</v>
      </c>
      <c r="C657" s="430"/>
      <c r="D657" s="430"/>
      <c r="E657" s="430"/>
    </row>
    <row r="658" spans="1:13" ht="30" customHeight="1">
      <c r="A658" s="437"/>
      <c r="B658" s="431" t="s">
        <v>39</v>
      </c>
      <c r="C658" s="431"/>
      <c r="D658" s="431"/>
      <c r="E658" s="431"/>
    </row>
    <row r="659" spans="1:13" ht="14.25">
      <c r="B659" s="432" t="s">
        <v>2</v>
      </c>
      <c r="C659" s="433" t="s">
        <v>3</v>
      </c>
      <c r="D659" s="433" t="s">
        <v>4</v>
      </c>
      <c r="E659" s="433" t="s">
        <v>5</v>
      </c>
      <c r="F659" s="433" t="s">
        <v>6</v>
      </c>
      <c r="G659" s="433" t="s">
        <v>7</v>
      </c>
      <c r="H659" s="433" t="s">
        <v>8</v>
      </c>
      <c r="I659" s="433" t="s">
        <v>9</v>
      </c>
      <c r="J659" s="433" t="s">
        <v>10</v>
      </c>
      <c r="K659" s="433" t="s">
        <v>11</v>
      </c>
      <c r="L659" s="433" t="s">
        <v>12</v>
      </c>
      <c r="M659" s="432" t="s">
        <v>13</v>
      </c>
    </row>
    <row r="660" spans="1:13" ht="14.25">
      <c r="B660" s="434" t="s">
        <v>14</v>
      </c>
      <c r="C660" s="320">
        <v>1060</v>
      </c>
      <c r="D660" s="325">
        <v>796</v>
      </c>
      <c r="E660" s="325">
        <v>596</v>
      </c>
      <c r="F660" s="325">
        <v>448</v>
      </c>
      <c r="G660" s="325">
        <v>336</v>
      </c>
      <c r="H660" s="325">
        <v>252</v>
      </c>
      <c r="I660" s="325">
        <v>190</v>
      </c>
      <c r="J660" s="325">
        <v>142</v>
      </c>
      <c r="K660" s="325">
        <v>106</v>
      </c>
      <c r="L660" s="325">
        <v>80</v>
      </c>
      <c r="M660" s="435">
        <v>60</v>
      </c>
    </row>
    <row r="661" spans="1:13" ht="14.25">
      <c r="B661" s="434" t="s">
        <v>15</v>
      </c>
      <c r="C661" s="325">
        <v>650</v>
      </c>
      <c r="D661" s="325">
        <v>488</v>
      </c>
      <c r="E661" s="325">
        <v>366</v>
      </c>
      <c r="F661" s="325">
        <v>274</v>
      </c>
      <c r="G661" s="325">
        <v>206</v>
      </c>
      <c r="H661" s="325">
        <v>154</v>
      </c>
      <c r="I661" s="325">
        <v>116</v>
      </c>
      <c r="J661" s="325">
        <v>88</v>
      </c>
      <c r="K661" s="325">
        <v>66</v>
      </c>
      <c r="L661" s="325">
        <v>48</v>
      </c>
      <c r="M661" s="325">
        <v>36</v>
      </c>
    </row>
    <row r="662" spans="1:13" ht="14.25">
      <c r="B662" s="434" t="s">
        <v>16</v>
      </c>
      <c r="C662" s="325">
        <v>370</v>
      </c>
      <c r="D662" s="325">
        <v>278</v>
      </c>
      <c r="E662" s="325">
        <v>208</v>
      </c>
      <c r="F662" s="325">
        <v>156</v>
      </c>
      <c r="G662" s="325">
        <v>118</v>
      </c>
      <c r="H662" s="325">
        <v>88</v>
      </c>
      <c r="I662" s="325">
        <v>66</v>
      </c>
      <c r="J662" s="325">
        <v>50</v>
      </c>
      <c r="K662" s="325">
        <v>36</v>
      </c>
      <c r="L662" s="325">
        <v>28</v>
      </c>
      <c r="M662" s="435">
        <v>20</v>
      </c>
    </row>
    <row r="663" spans="1:13" ht="14.25">
      <c r="B663" s="434" t="s">
        <v>17</v>
      </c>
      <c r="C663" s="476" t="s">
        <v>18</v>
      </c>
      <c r="D663" s="477"/>
      <c r="E663" s="477"/>
      <c r="F663" s="477"/>
      <c r="G663" s="477"/>
      <c r="H663" s="477"/>
      <c r="I663" s="477"/>
      <c r="J663" s="477"/>
      <c r="K663" s="477"/>
      <c r="L663" s="477"/>
      <c r="M663" s="478"/>
    </row>
    <row r="664" spans="1:13" ht="14.25">
      <c r="B664" s="436"/>
      <c r="C664" s="436"/>
      <c r="D664" s="436"/>
      <c r="E664" s="436"/>
    </row>
    <row r="665" spans="1:13" ht="14.25">
      <c r="B665" s="431" t="s">
        <v>19</v>
      </c>
      <c r="C665" s="431"/>
      <c r="D665" s="431"/>
      <c r="E665" s="431"/>
    </row>
    <row r="666" spans="1:13" ht="14.25">
      <c r="B666" s="432" t="s">
        <v>2</v>
      </c>
      <c r="C666" s="433" t="s">
        <v>3</v>
      </c>
      <c r="D666" s="433" t="s">
        <v>4</v>
      </c>
      <c r="E666" s="433" t="s">
        <v>5</v>
      </c>
      <c r="F666" s="433" t="s">
        <v>6</v>
      </c>
      <c r="G666" s="433" t="s">
        <v>7</v>
      </c>
      <c r="H666" s="433" t="s">
        <v>8</v>
      </c>
      <c r="I666" s="433" t="s">
        <v>9</v>
      </c>
      <c r="J666" s="433" t="s">
        <v>10</v>
      </c>
      <c r="K666" s="433" t="s">
        <v>11</v>
      </c>
      <c r="L666" s="433" t="s">
        <v>12</v>
      </c>
      <c r="M666" s="432" t="s">
        <v>13</v>
      </c>
    </row>
    <row r="667" spans="1:13" ht="14.25">
      <c r="B667" s="434" t="s">
        <v>14</v>
      </c>
      <c r="C667" s="320">
        <v>3400</v>
      </c>
      <c r="D667" s="325">
        <v>3300</v>
      </c>
      <c r="E667" s="325">
        <v>3200</v>
      </c>
      <c r="F667" s="325">
        <v>3100</v>
      </c>
      <c r="G667" s="325">
        <v>3000</v>
      </c>
      <c r="H667" s="325">
        <v>2900</v>
      </c>
      <c r="I667" s="325">
        <v>2800</v>
      </c>
      <c r="J667" s="325">
        <v>2700</v>
      </c>
      <c r="K667" s="325">
        <v>2600</v>
      </c>
      <c r="L667" s="325">
        <v>2500</v>
      </c>
      <c r="M667" s="325">
        <v>2400</v>
      </c>
    </row>
    <row r="668" spans="1:13" ht="14.25">
      <c r="B668" s="434" t="s">
        <v>15</v>
      </c>
      <c r="C668" s="325">
        <v>2600</v>
      </c>
      <c r="D668" s="325">
        <v>2500</v>
      </c>
      <c r="E668" s="325">
        <v>2400</v>
      </c>
      <c r="F668" s="325">
        <v>2300</v>
      </c>
      <c r="G668" s="325">
        <v>2200</v>
      </c>
      <c r="H668" s="325">
        <v>2100</v>
      </c>
      <c r="I668" s="325">
        <v>2000</v>
      </c>
      <c r="J668" s="325">
        <v>1900</v>
      </c>
      <c r="K668" s="325">
        <v>1800</v>
      </c>
      <c r="L668" s="325">
        <v>1700</v>
      </c>
      <c r="M668" s="435">
        <v>1600</v>
      </c>
    </row>
    <row r="669" spans="1:13" ht="14.25">
      <c r="B669" s="434" t="s">
        <v>16</v>
      </c>
      <c r="C669" s="325">
        <v>2000</v>
      </c>
      <c r="D669" s="325">
        <v>1800</v>
      </c>
      <c r="E669" s="325">
        <v>1600</v>
      </c>
      <c r="F669" s="325">
        <v>1400</v>
      </c>
      <c r="G669" s="325">
        <v>1200</v>
      </c>
      <c r="H669" s="325">
        <v>1000</v>
      </c>
      <c r="I669" s="325">
        <v>800</v>
      </c>
      <c r="J669" s="325">
        <v>600</v>
      </c>
      <c r="K669" s="325">
        <v>400</v>
      </c>
      <c r="L669" s="325">
        <v>300</v>
      </c>
      <c r="M669" s="435">
        <v>200</v>
      </c>
    </row>
    <row r="670" spans="1:13" ht="14.25">
      <c r="B670" s="434" t="s">
        <v>17</v>
      </c>
      <c r="C670" s="476" t="s">
        <v>18</v>
      </c>
      <c r="D670" s="477"/>
      <c r="E670" s="477"/>
      <c r="F670" s="477"/>
      <c r="G670" s="477"/>
      <c r="H670" s="477"/>
      <c r="I670" s="477"/>
      <c r="J670" s="477"/>
      <c r="K670" s="477"/>
      <c r="L670" s="477"/>
      <c r="M670" s="478"/>
    </row>
    <row r="671" spans="1:13" ht="14.25">
      <c r="B671" s="440"/>
      <c r="C671" s="441"/>
      <c r="D671" s="441"/>
      <c r="E671" s="441"/>
      <c r="F671" s="441"/>
      <c r="G671" s="441"/>
      <c r="H671" s="441"/>
      <c r="I671" s="441"/>
      <c r="J671" s="441"/>
      <c r="K671" s="441"/>
      <c r="L671" s="441"/>
      <c r="M671" s="441"/>
    </row>
    <row r="672" spans="1:13" ht="18">
      <c r="B672" s="430" t="s">
        <v>71</v>
      </c>
      <c r="C672" s="430"/>
      <c r="D672" s="430"/>
      <c r="E672" s="430"/>
    </row>
    <row r="673" spans="1:13" ht="30" customHeight="1">
      <c r="A673" s="437"/>
      <c r="B673" s="431" t="s">
        <v>39</v>
      </c>
      <c r="C673" s="431"/>
      <c r="D673" s="431"/>
      <c r="E673" s="431"/>
    </row>
    <row r="674" spans="1:13" ht="14.25">
      <c r="B674" s="432" t="s">
        <v>2</v>
      </c>
      <c r="C674" s="433" t="s">
        <v>3</v>
      </c>
      <c r="D674" s="433" t="s">
        <v>4</v>
      </c>
      <c r="E674" s="433" t="s">
        <v>5</v>
      </c>
      <c r="F674" s="433" t="s">
        <v>6</v>
      </c>
      <c r="G674" s="433" t="s">
        <v>7</v>
      </c>
      <c r="H674" s="433" t="s">
        <v>8</v>
      </c>
      <c r="I674" s="433" t="s">
        <v>9</v>
      </c>
      <c r="J674" s="433" t="s">
        <v>10</v>
      </c>
      <c r="K674" s="433" t="s">
        <v>11</v>
      </c>
      <c r="L674" s="433" t="s">
        <v>12</v>
      </c>
      <c r="M674" s="432" t="s">
        <v>13</v>
      </c>
    </row>
    <row r="675" spans="1:13" ht="14.25">
      <c r="B675" s="434" t="s">
        <v>14</v>
      </c>
      <c r="C675" s="320">
        <v>9732.5</v>
      </c>
      <c r="D675" s="325">
        <v>7300</v>
      </c>
      <c r="E675" s="325">
        <v>5475</v>
      </c>
      <c r="F675" s="325">
        <v>4105</v>
      </c>
      <c r="G675" s="325">
        <v>3080</v>
      </c>
      <c r="H675" s="325">
        <v>2187.5</v>
      </c>
      <c r="I675" s="325">
        <v>1552.5</v>
      </c>
      <c r="J675" s="325">
        <v>1102.5</v>
      </c>
      <c r="K675" s="325">
        <v>782.5</v>
      </c>
      <c r="L675" s="325">
        <v>555</v>
      </c>
      <c r="M675" s="435">
        <v>395</v>
      </c>
    </row>
    <row r="676" spans="1:13" ht="14.25">
      <c r="B676" s="434" t="s">
        <v>15</v>
      </c>
      <c r="C676" s="325">
        <v>8237.5</v>
      </c>
      <c r="D676" s="325">
        <v>6180</v>
      </c>
      <c r="E676" s="325">
        <v>4635</v>
      </c>
      <c r="F676" s="325">
        <v>3477.5</v>
      </c>
      <c r="G676" s="325">
        <v>2607.5</v>
      </c>
      <c r="H676" s="325">
        <v>1852.5</v>
      </c>
      <c r="I676" s="325">
        <v>1315</v>
      </c>
      <c r="J676" s="325">
        <v>932.5</v>
      </c>
      <c r="K676" s="325">
        <v>662.5</v>
      </c>
      <c r="L676" s="325">
        <v>470</v>
      </c>
      <c r="M676" s="435">
        <v>335</v>
      </c>
    </row>
    <row r="677" spans="1:13" ht="14.25">
      <c r="B677" s="434" t="s">
        <v>16</v>
      </c>
      <c r="C677" s="325">
        <v>6747.5</v>
      </c>
      <c r="D677" s="325">
        <v>5062.5</v>
      </c>
      <c r="E677" s="325">
        <v>3795</v>
      </c>
      <c r="F677" s="325">
        <v>2847.5</v>
      </c>
      <c r="G677" s="325">
        <v>2135</v>
      </c>
      <c r="H677" s="325">
        <v>1515</v>
      </c>
      <c r="I677" s="325">
        <v>1077.5</v>
      </c>
      <c r="J677" s="325">
        <v>765</v>
      </c>
      <c r="K677" s="325">
        <v>542.5</v>
      </c>
      <c r="L677" s="325">
        <v>385</v>
      </c>
      <c r="M677" s="435">
        <v>272.5</v>
      </c>
    </row>
    <row r="678" spans="1:13" ht="14.25">
      <c r="B678" s="434" t="s">
        <v>17</v>
      </c>
      <c r="C678" s="435">
        <v>5307.5</v>
      </c>
      <c r="D678" s="435">
        <v>3962.5</v>
      </c>
      <c r="E678" s="435">
        <v>2972.5</v>
      </c>
      <c r="F678" s="435">
        <v>2230</v>
      </c>
      <c r="G678" s="435">
        <v>1672.5</v>
      </c>
      <c r="H678" s="435">
        <v>1187.5</v>
      </c>
      <c r="I678" s="435">
        <v>842.5</v>
      </c>
      <c r="J678" s="435">
        <v>597.5</v>
      </c>
      <c r="K678" s="435">
        <v>425</v>
      </c>
      <c r="L678" s="435">
        <v>302.5</v>
      </c>
      <c r="M678" s="435">
        <v>215</v>
      </c>
    </row>
    <row r="679" spans="1:13" ht="14.25">
      <c r="B679" s="436"/>
      <c r="C679" s="436"/>
      <c r="D679" s="436"/>
      <c r="E679" s="436"/>
    </row>
    <row r="680" spans="1:13" ht="14.25">
      <c r="B680" s="431" t="s">
        <v>19</v>
      </c>
      <c r="C680" s="431"/>
      <c r="D680" s="431"/>
      <c r="E680" s="431"/>
    </row>
    <row r="681" spans="1:13" ht="14.25">
      <c r="B681" s="432" t="s">
        <v>2</v>
      </c>
      <c r="C681" s="433" t="s">
        <v>3</v>
      </c>
      <c r="D681" s="433" t="s">
        <v>4</v>
      </c>
      <c r="E681" s="433" t="s">
        <v>5</v>
      </c>
      <c r="F681" s="433" t="s">
        <v>6</v>
      </c>
      <c r="G681" s="433" t="s">
        <v>7</v>
      </c>
      <c r="H681" s="433" t="s">
        <v>8</v>
      </c>
      <c r="I681" s="433" t="s">
        <v>9</v>
      </c>
      <c r="J681" s="433" t="s">
        <v>10</v>
      </c>
      <c r="K681" s="433" t="s">
        <v>11</v>
      </c>
      <c r="L681" s="433" t="s">
        <v>12</v>
      </c>
      <c r="M681" s="432" t="s">
        <v>13</v>
      </c>
    </row>
    <row r="682" spans="1:13" ht="14.25">
      <c r="B682" s="434" t="s">
        <v>14</v>
      </c>
      <c r="C682" s="320">
        <v>19495</v>
      </c>
      <c r="D682" s="325">
        <v>14620</v>
      </c>
      <c r="E682" s="325">
        <v>10965</v>
      </c>
      <c r="F682" s="325">
        <v>8225</v>
      </c>
      <c r="G682" s="325">
        <v>6167.5</v>
      </c>
      <c r="H682" s="325">
        <v>4625</v>
      </c>
      <c r="I682" s="325">
        <v>3470</v>
      </c>
      <c r="J682" s="325">
        <v>2602.5</v>
      </c>
      <c r="K682" s="325">
        <v>1952.5</v>
      </c>
      <c r="L682" s="325">
        <v>1465</v>
      </c>
      <c r="M682" s="435">
        <v>1097.5</v>
      </c>
    </row>
    <row r="683" spans="1:13" ht="14.25">
      <c r="B683" s="434" t="s">
        <v>15</v>
      </c>
      <c r="C683" s="325">
        <v>13272.5</v>
      </c>
      <c r="D683" s="325">
        <v>9955</v>
      </c>
      <c r="E683" s="325">
        <v>7465</v>
      </c>
      <c r="F683" s="325">
        <v>5600</v>
      </c>
      <c r="G683" s="325">
        <v>4200</v>
      </c>
      <c r="H683" s="325">
        <v>3150</v>
      </c>
      <c r="I683" s="325">
        <v>2362.5</v>
      </c>
      <c r="J683" s="325">
        <v>1772.5</v>
      </c>
      <c r="K683" s="325">
        <v>1327.5</v>
      </c>
      <c r="L683" s="325">
        <v>997.5</v>
      </c>
      <c r="M683" s="435">
        <v>747.5</v>
      </c>
    </row>
    <row r="684" spans="1:13" ht="14.25">
      <c r="B684" s="434" t="s">
        <v>16</v>
      </c>
      <c r="C684" s="325">
        <v>9025</v>
      </c>
      <c r="D684" s="325">
        <v>6770</v>
      </c>
      <c r="E684" s="325">
        <v>5077.5</v>
      </c>
      <c r="F684" s="325">
        <v>3807.5</v>
      </c>
      <c r="G684" s="325">
        <v>2855</v>
      </c>
      <c r="H684" s="325">
        <v>2142.5</v>
      </c>
      <c r="I684" s="325">
        <v>1607.5</v>
      </c>
      <c r="J684" s="325">
        <v>1205</v>
      </c>
      <c r="K684" s="325">
        <v>902.5</v>
      </c>
      <c r="L684" s="325">
        <v>677.5</v>
      </c>
      <c r="M684" s="435">
        <v>507.5</v>
      </c>
    </row>
    <row r="685" spans="1:13" ht="14.25">
      <c r="B685" s="434" t="s">
        <v>17</v>
      </c>
      <c r="C685" s="435">
        <v>6137.5</v>
      </c>
      <c r="D685" s="435">
        <v>4602.5</v>
      </c>
      <c r="E685" s="435">
        <v>3465</v>
      </c>
      <c r="F685" s="435">
        <v>2590</v>
      </c>
      <c r="G685" s="435">
        <v>1942.5</v>
      </c>
      <c r="H685" s="435">
        <v>1457.5</v>
      </c>
      <c r="I685" s="435">
        <v>1092.5</v>
      </c>
      <c r="J685" s="435">
        <v>820</v>
      </c>
      <c r="K685" s="435">
        <v>615</v>
      </c>
      <c r="L685" s="435">
        <v>460</v>
      </c>
      <c r="M685" s="435">
        <v>345</v>
      </c>
    </row>
    <row r="687" spans="1:13" ht="18">
      <c r="B687" s="438" t="s">
        <v>72</v>
      </c>
      <c r="C687" s="438"/>
      <c r="D687" s="438"/>
      <c r="E687" s="438"/>
    </row>
    <row r="688" spans="1:13" ht="30" customHeight="1">
      <c r="A688" s="437"/>
      <c r="B688" s="431" t="s">
        <v>39</v>
      </c>
      <c r="C688" s="431"/>
      <c r="D688" s="431"/>
      <c r="E688" s="431"/>
    </row>
    <row r="689" spans="1:13" ht="14.25">
      <c r="B689" s="432" t="s">
        <v>2</v>
      </c>
      <c r="C689" s="433" t="s">
        <v>3</v>
      </c>
      <c r="D689" s="433" t="s">
        <v>4</v>
      </c>
      <c r="E689" s="433" t="s">
        <v>5</v>
      </c>
      <c r="F689" s="433" t="s">
        <v>6</v>
      </c>
      <c r="G689" s="433" t="s">
        <v>7</v>
      </c>
      <c r="H689" s="433" t="s">
        <v>8</v>
      </c>
      <c r="I689" s="433" t="s">
        <v>9</v>
      </c>
      <c r="J689" s="433" t="s">
        <v>10</v>
      </c>
      <c r="K689" s="433" t="s">
        <v>11</v>
      </c>
      <c r="L689" s="433" t="s">
        <v>12</v>
      </c>
      <c r="M689" s="432" t="s">
        <v>13</v>
      </c>
    </row>
    <row r="690" spans="1:13" ht="14.25">
      <c r="B690" s="434" t="s">
        <v>14</v>
      </c>
      <c r="C690" s="320">
        <v>6960</v>
      </c>
      <c r="D690" s="325">
        <v>5212</v>
      </c>
      <c r="E690" s="325">
        <v>3914</v>
      </c>
      <c r="F690" s="325">
        <v>2926</v>
      </c>
      <c r="G690" s="325">
        <v>2202</v>
      </c>
      <c r="H690" s="325">
        <v>1642</v>
      </c>
      <c r="I690" s="325">
        <v>1238</v>
      </c>
      <c r="J690" s="325">
        <v>928</v>
      </c>
      <c r="K690" s="325">
        <v>690</v>
      </c>
      <c r="L690" s="325">
        <v>512</v>
      </c>
      <c r="M690" s="435">
        <v>380</v>
      </c>
    </row>
    <row r="691" spans="1:13" ht="14.25">
      <c r="B691" s="434" t="s">
        <v>15</v>
      </c>
      <c r="C691" s="325">
        <v>4284</v>
      </c>
      <c r="D691" s="325">
        <v>3206</v>
      </c>
      <c r="E691" s="325">
        <v>2408</v>
      </c>
      <c r="F691" s="325">
        <v>1802</v>
      </c>
      <c r="G691" s="325">
        <v>1354</v>
      </c>
      <c r="H691" s="325">
        <v>1010</v>
      </c>
      <c r="I691" s="325">
        <v>762</v>
      </c>
      <c r="J691" s="325">
        <v>572</v>
      </c>
      <c r="K691" s="325">
        <v>424</v>
      </c>
      <c r="L691" s="325">
        <v>314</v>
      </c>
      <c r="M691" s="435">
        <v>234</v>
      </c>
    </row>
    <row r="692" spans="1:13" ht="14.25">
      <c r="B692" s="434" t="s">
        <v>16</v>
      </c>
      <c r="C692" s="325">
        <v>3570</v>
      </c>
      <c r="D692" s="325">
        <v>2672</v>
      </c>
      <c r="E692" s="325">
        <v>2008</v>
      </c>
      <c r="F692" s="325">
        <v>1500</v>
      </c>
      <c r="G692" s="325">
        <v>1128</v>
      </c>
      <c r="H692" s="325">
        <v>842</v>
      </c>
      <c r="I692" s="325">
        <v>634</v>
      </c>
      <c r="J692" s="325">
        <v>476</v>
      </c>
      <c r="K692" s="325">
        <v>354</v>
      </c>
      <c r="L692" s="325">
        <v>262</v>
      </c>
      <c r="M692" s="435">
        <v>196</v>
      </c>
    </row>
    <row r="693" spans="1:13" ht="14.25">
      <c r="B693" s="434" t="s">
        <v>17</v>
      </c>
      <c r="C693" s="435">
        <v>2380</v>
      </c>
      <c r="D693" s="435">
        <v>1782</v>
      </c>
      <c r="E693" s="435">
        <v>1338</v>
      </c>
      <c r="F693" s="435">
        <v>1000</v>
      </c>
      <c r="G693" s="435">
        <v>752</v>
      </c>
      <c r="H693" s="435">
        <v>562</v>
      </c>
      <c r="I693" s="435">
        <v>424</v>
      </c>
      <c r="J693" s="435">
        <v>318</v>
      </c>
      <c r="K693" s="435">
        <v>236</v>
      </c>
      <c r="L693" s="435">
        <v>174</v>
      </c>
      <c r="M693" s="435">
        <v>130</v>
      </c>
    </row>
    <row r="694" spans="1:13" ht="14.25">
      <c r="B694" s="436"/>
      <c r="C694" s="436"/>
      <c r="D694" s="436"/>
      <c r="E694" s="436"/>
    </row>
    <row r="695" spans="1:13" ht="14.25">
      <c r="B695" s="431" t="s">
        <v>19</v>
      </c>
      <c r="C695" s="431"/>
      <c r="D695" s="431"/>
      <c r="E695" s="431"/>
    </row>
    <row r="696" spans="1:13" ht="14.25">
      <c r="B696" s="432" t="s">
        <v>2</v>
      </c>
      <c r="C696" s="433" t="s">
        <v>3</v>
      </c>
      <c r="D696" s="433" t="s">
        <v>4</v>
      </c>
      <c r="E696" s="433" t="s">
        <v>5</v>
      </c>
      <c r="F696" s="433" t="s">
        <v>6</v>
      </c>
      <c r="G696" s="433" t="s">
        <v>7</v>
      </c>
      <c r="H696" s="433" t="s">
        <v>8</v>
      </c>
      <c r="I696" s="433" t="s">
        <v>9</v>
      </c>
      <c r="J696" s="433" t="s">
        <v>10</v>
      </c>
      <c r="K696" s="433" t="s">
        <v>11</v>
      </c>
      <c r="L696" s="433" t="s">
        <v>12</v>
      </c>
      <c r="M696" s="432" t="s">
        <v>13</v>
      </c>
    </row>
    <row r="697" spans="1:13" ht="14.25">
      <c r="B697" s="434" t="s">
        <v>14</v>
      </c>
      <c r="C697" s="320">
        <v>10708</v>
      </c>
      <c r="D697" s="325">
        <v>8018</v>
      </c>
      <c r="E697" s="325">
        <v>6022</v>
      </c>
      <c r="F697" s="325">
        <v>4502</v>
      </c>
      <c r="G697" s="325">
        <v>3386</v>
      </c>
      <c r="H697" s="325">
        <v>2526</v>
      </c>
      <c r="I697" s="325">
        <v>1904</v>
      </c>
      <c r="J697" s="325">
        <v>1428</v>
      </c>
      <c r="K697" s="325">
        <v>1062</v>
      </c>
      <c r="L697" s="325">
        <v>788</v>
      </c>
      <c r="M697" s="435">
        <v>586</v>
      </c>
    </row>
    <row r="698" spans="1:13" ht="14.25">
      <c r="B698" s="434" t="s">
        <v>15</v>
      </c>
      <c r="C698" s="325">
        <v>6590</v>
      </c>
      <c r="D698" s="325">
        <v>4934</v>
      </c>
      <c r="E698" s="325">
        <v>3706</v>
      </c>
      <c r="F698" s="325">
        <v>2770</v>
      </c>
      <c r="G698" s="325">
        <v>2084</v>
      </c>
      <c r="H698" s="325">
        <v>1554</v>
      </c>
      <c r="I698" s="325">
        <v>1172</v>
      </c>
      <c r="J698" s="325">
        <v>878</v>
      </c>
      <c r="K698" s="325">
        <v>654</v>
      </c>
      <c r="L698" s="325">
        <v>484</v>
      </c>
      <c r="M698" s="435">
        <v>360</v>
      </c>
    </row>
    <row r="699" spans="1:13" ht="14.25">
      <c r="B699" s="434" t="s">
        <v>16</v>
      </c>
      <c r="C699" s="325">
        <v>5492</v>
      </c>
      <c r="D699" s="325">
        <v>4112</v>
      </c>
      <c r="E699" s="325">
        <v>3088</v>
      </c>
      <c r="F699" s="325">
        <v>2310</v>
      </c>
      <c r="G699" s="325">
        <v>1736</v>
      </c>
      <c r="H699" s="325">
        <v>1296</v>
      </c>
      <c r="I699" s="325">
        <v>976</v>
      </c>
      <c r="J699" s="325">
        <v>732</v>
      </c>
      <c r="K699" s="325">
        <v>544</v>
      </c>
      <c r="L699" s="325">
        <v>404</v>
      </c>
      <c r="M699" s="435">
        <v>300</v>
      </c>
    </row>
    <row r="700" spans="1:13" ht="14.25">
      <c r="B700" s="434" t="s">
        <v>17</v>
      </c>
      <c r="C700" s="435">
        <v>3660</v>
      </c>
      <c r="D700" s="435">
        <v>2740</v>
      </c>
      <c r="E700" s="435">
        <v>2058</v>
      </c>
      <c r="F700" s="435">
        <v>1540</v>
      </c>
      <c r="G700" s="435">
        <v>1158</v>
      </c>
      <c r="H700" s="435">
        <v>864</v>
      </c>
      <c r="I700" s="435">
        <v>650</v>
      </c>
      <c r="J700" s="435">
        <v>488</v>
      </c>
      <c r="K700" s="435">
        <v>362</v>
      </c>
      <c r="L700" s="435">
        <v>270</v>
      </c>
      <c r="M700" s="435">
        <v>200</v>
      </c>
    </row>
    <row r="702" spans="1:13" ht="18">
      <c r="B702" s="430" t="s">
        <v>73</v>
      </c>
      <c r="C702" s="430"/>
      <c r="D702" s="430"/>
      <c r="E702" s="430"/>
    </row>
    <row r="703" spans="1:13" ht="30" customHeight="1">
      <c r="A703" s="437"/>
      <c r="B703" s="431" t="s">
        <v>39</v>
      </c>
      <c r="C703" s="431"/>
      <c r="D703" s="431"/>
      <c r="E703" s="431"/>
    </row>
    <row r="704" spans="1:13" ht="14.25">
      <c r="B704" s="432" t="s">
        <v>2</v>
      </c>
      <c r="C704" s="433" t="s">
        <v>3</v>
      </c>
      <c r="D704" s="433" t="s">
        <v>4</v>
      </c>
      <c r="E704" s="433" t="s">
        <v>5</v>
      </c>
      <c r="F704" s="433" t="s">
        <v>6</v>
      </c>
      <c r="G704" s="433" t="s">
        <v>7</v>
      </c>
      <c r="H704" s="433" t="s">
        <v>8</v>
      </c>
      <c r="I704" s="433" t="s">
        <v>9</v>
      </c>
      <c r="J704" s="433" t="s">
        <v>10</v>
      </c>
      <c r="K704" s="433" t="s">
        <v>11</v>
      </c>
      <c r="L704" s="433" t="s">
        <v>12</v>
      </c>
      <c r="M704" s="432" t="s">
        <v>13</v>
      </c>
    </row>
    <row r="705" spans="1:13" ht="14.25">
      <c r="B705" s="434" t="s">
        <v>14</v>
      </c>
      <c r="C705" s="320">
        <v>8000</v>
      </c>
      <c r="D705" s="325">
        <v>6000</v>
      </c>
      <c r="E705" s="325">
        <v>4500</v>
      </c>
      <c r="F705" s="325">
        <v>3375</v>
      </c>
      <c r="G705" s="325">
        <v>2565</v>
      </c>
      <c r="H705" s="325">
        <v>1925</v>
      </c>
      <c r="I705" s="325">
        <v>1442.5</v>
      </c>
      <c r="J705" s="325">
        <v>1125</v>
      </c>
      <c r="K705" s="325">
        <v>800</v>
      </c>
      <c r="L705" s="325">
        <v>560</v>
      </c>
      <c r="M705" s="435">
        <v>397.5</v>
      </c>
    </row>
    <row r="706" spans="1:13" ht="14.25">
      <c r="B706" s="434" t="s">
        <v>15</v>
      </c>
      <c r="C706" s="325">
        <v>7000</v>
      </c>
      <c r="D706" s="325">
        <v>5250</v>
      </c>
      <c r="E706" s="325">
        <v>3937.5</v>
      </c>
      <c r="F706" s="325">
        <v>2952.5</v>
      </c>
      <c r="G706" s="325">
        <v>2245</v>
      </c>
      <c r="H706" s="325">
        <v>1682.5</v>
      </c>
      <c r="I706" s="325">
        <v>1262.5</v>
      </c>
      <c r="J706" s="325">
        <v>985</v>
      </c>
      <c r="K706" s="325">
        <v>700</v>
      </c>
      <c r="L706" s="325">
        <v>490</v>
      </c>
      <c r="M706" s="435">
        <v>347.5</v>
      </c>
    </row>
    <row r="707" spans="1:13" ht="14.25">
      <c r="B707" s="434" t="s">
        <v>16</v>
      </c>
      <c r="C707" s="325">
        <v>6250</v>
      </c>
      <c r="D707" s="325">
        <v>4687.5</v>
      </c>
      <c r="E707" s="325">
        <v>3515</v>
      </c>
      <c r="F707" s="325">
        <v>2637.5</v>
      </c>
      <c r="G707" s="325">
        <v>2005</v>
      </c>
      <c r="H707" s="325">
        <v>1502.5</v>
      </c>
      <c r="I707" s="325">
        <v>1127.5</v>
      </c>
      <c r="J707" s="325">
        <v>880</v>
      </c>
      <c r="K707" s="325">
        <v>625</v>
      </c>
      <c r="L707" s="325">
        <v>437.5</v>
      </c>
      <c r="M707" s="435">
        <v>310</v>
      </c>
    </row>
    <row r="708" spans="1:13" ht="14.25">
      <c r="B708" s="434" t="s">
        <v>17</v>
      </c>
      <c r="C708" s="476" t="s">
        <v>18</v>
      </c>
      <c r="D708" s="477"/>
      <c r="E708" s="477"/>
      <c r="F708" s="477"/>
      <c r="G708" s="477"/>
      <c r="H708" s="477"/>
      <c r="I708" s="477"/>
      <c r="J708" s="477"/>
      <c r="K708" s="477"/>
      <c r="L708" s="477"/>
      <c r="M708" s="478"/>
    </row>
    <row r="709" spans="1:13" ht="14.25">
      <c r="B709" s="436"/>
      <c r="C709" s="436"/>
      <c r="D709" s="436"/>
      <c r="E709" s="436"/>
    </row>
    <row r="710" spans="1:13" ht="14.25">
      <c r="B710" s="431" t="s">
        <v>19</v>
      </c>
      <c r="C710" s="431"/>
      <c r="D710" s="431"/>
      <c r="E710" s="431"/>
    </row>
    <row r="711" spans="1:13" ht="14.25">
      <c r="B711" s="432" t="s">
        <v>2</v>
      </c>
      <c r="C711" s="433" t="s">
        <v>3</v>
      </c>
      <c r="D711" s="433" t="s">
        <v>4</v>
      </c>
      <c r="E711" s="433" t="s">
        <v>5</v>
      </c>
      <c r="F711" s="433" t="s">
        <v>6</v>
      </c>
      <c r="G711" s="433" t="s">
        <v>7</v>
      </c>
      <c r="H711" s="433" t="s">
        <v>8</v>
      </c>
      <c r="I711" s="433" t="s">
        <v>9</v>
      </c>
      <c r="J711" s="433" t="s">
        <v>10</v>
      </c>
      <c r="K711" s="433" t="s">
        <v>11</v>
      </c>
      <c r="L711" s="433" t="s">
        <v>12</v>
      </c>
      <c r="M711" s="432" t="s">
        <v>13</v>
      </c>
    </row>
    <row r="712" spans="1:13" ht="14.25">
      <c r="B712" s="434" t="s">
        <v>14</v>
      </c>
      <c r="C712" s="320">
        <v>10750</v>
      </c>
      <c r="D712" s="325">
        <v>8062.5</v>
      </c>
      <c r="E712" s="325">
        <v>6047.5</v>
      </c>
      <c r="F712" s="325">
        <v>4535</v>
      </c>
      <c r="G712" s="325">
        <v>3447.5</v>
      </c>
      <c r="H712" s="325">
        <v>2585</v>
      </c>
      <c r="I712" s="325">
        <v>1940</v>
      </c>
      <c r="J712" s="325">
        <v>1512.5</v>
      </c>
      <c r="K712" s="325">
        <v>1072.5</v>
      </c>
      <c r="L712" s="325">
        <v>752.5</v>
      </c>
      <c r="M712" s="435">
        <v>532.5</v>
      </c>
    </row>
    <row r="713" spans="1:13" ht="14.25">
      <c r="B713" s="434" t="s">
        <v>15</v>
      </c>
      <c r="C713" s="325">
        <v>7500</v>
      </c>
      <c r="D713" s="325">
        <v>5625</v>
      </c>
      <c r="E713" s="325">
        <v>4220</v>
      </c>
      <c r="F713" s="325">
        <v>3165</v>
      </c>
      <c r="G713" s="325">
        <v>2405</v>
      </c>
      <c r="H713" s="325">
        <v>1802.5</v>
      </c>
      <c r="I713" s="325">
        <v>1352.5</v>
      </c>
      <c r="J713" s="325">
        <v>1055</v>
      </c>
      <c r="K713" s="325">
        <v>750</v>
      </c>
      <c r="L713" s="325">
        <v>525</v>
      </c>
      <c r="M713" s="435">
        <v>372.5</v>
      </c>
    </row>
    <row r="714" spans="1:13" ht="14.25">
      <c r="B714" s="434" t="s">
        <v>16</v>
      </c>
      <c r="C714" s="325">
        <v>4250</v>
      </c>
      <c r="D714" s="325">
        <v>3187.5</v>
      </c>
      <c r="E714" s="325">
        <v>2390</v>
      </c>
      <c r="F714" s="325">
        <v>1792.5</v>
      </c>
      <c r="G714" s="325">
        <v>1362.5</v>
      </c>
      <c r="H714" s="325">
        <v>1022.5</v>
      </c>
      <c r="I714" s="325">
        <v>767.5</v>
      </c>
      <c r="J714" s="325">
        <v>597.5</v>
      </c>
      <c r="K714" s="325">
        <v>425</v>
      </c>
      <c r="L714" s="325">
        <v>297.5</v>
      </c>
      <c r="M714" s="435">
        <v>210</v>
      </c>
    </row>
    <row r="715" spans="1:13" ht="14.25">
      <c r="B715" s="434" t="s">
        <v>17</v>
      </c>
      <c r="C715" s="476" t="s">
        <v>18</v>
      </c>
      <c r="D715" s="477"/>
      <c r="E715" s="477"/>
      <c r="F715" s="477"/>
      <c r="G715" s="477"/>
      <c r="H715" s="477"/>
      <c r="I715" s="477"/>
      <c r="J715" s="477"/>
      <c r="K715" s="477"/>
      <c r="L715" s="477"/>
      <c r="M715" s="478"/>
    </row>
    <row r="716" spans="1:13" ht="14.25">
      <c r="B716" s="440"/>
      <c r="C716" s="441"/>
      <c r="D716" s="441"/>
      <c r="E716" s="441"/>
      <c r="F716" s="441"/>
      <c r="G716" s="441"/>
      <c r="H716" s="441"/>
      <c r="I716" s="441"/>
      <c r="J716" s="441"/>
      <c r="K716" s="441"/>
      <c r="L716" s="441"/>
      <c r="M716" s="441"/>
    </row>
    <row r="717" spans="1:13" ht="18">
      <c r="B717" s="438" t="s">
        <v>74</v>
      </c>
      <c r="C717" s="438"/>
      <c r="D717" s="438"/>
      <c r="E717" s="438"/>
    </row>
    <row r="718" spans="1:13" ht="30" customHeight="1">
      <c r="A718" s="437"/>
      <c r="B718" s="431" t="s">
        <v>39</v>
      </c>
      <c r="C718" s="431"/>
      <c r="D718" s="431"/>
      <c r="E718" s="431"/>
    </row>
    <row r="719" spans="1:13" ht="14.25">
      <c r="B719" s="432" t="s">
        <v>2</v>
      </c>
      <c r="C719" s="433" t="s">
        <v>3</v>
      </c>
      <c r="D719" s="433" t="s">
        <v>4</v>
      </c>
      <c r="E719" s="433" t="s">
        <v>5</v>
      </c>
      <c r="F719" s="433" t="s">
        <v>6</v>
      </c>
      <c r="G719" s="433" t="s">
        <v>7</v>
      </c>
      <c r="H719" s="433" t="s">
        <v>8</v>
      </c>
      <c r="I719" s="433" t="s">
        <v>9</v>
      </c>
      <c r="J719" s="433" t="s">
        <v>10</v>
      </c>
      <c r="K719" s="433" t="s">
        <v>11</v>
      </c>
      <c r="L719" s="433" t="s">
        <v>12</v>
      </c>
      <c r="M719" s="432" t="s">
        <v>13</v>
      </c>
    </row>
    <row r="720" spans="1:13" ht="14.25">
      <c r="B720" s="434" t="s">
        <v>14</v>
      </c>
      <c r="C720" s="320">
        <v>10714</v>
      </c>
      <c r="D720" s="325">
        <v>9114</v>
      </c>
      <c r="E720" s="325">
        <v>6914</v>
      </c>
      <c r="F720" s="325">
        <v>4714</v>
      </c>
      <c r="G720" s="325">
        <v>3314</v>
      </c>
      <c r="H720" s="325">
        <v>2314</v>
      </c>
      <c r="I720" s="325">
        <v>1914</v>
      </c>
      <c r="J720" s="325">
        <v>1314</v>
      </c>
      <c r="K720" s="325">
        <v>914</v>
      </c>
      <c r="L720" s="325">
        <v>714</v>
      </c>
      <c r="M720" s="435">
        <v>314</v>
      </c>
    </row>
    <row r="721" spans="1:13" ht="14.25">
      <c r="B721" s="434" t="s">
        <v>15</v>
      </c>
      <c r="C721" s="325">
        <v>9114</v>
      </c>
      <c r="D721" s="325">
        <v>6914</v>
      </c>
      <c r="E721" s="325">
        <v>4714</v>
      </c>
      <c r="F721" s="325">
        <v>3314</v>
      </c>
      <c r="G721" s="325">
        <v>2314</v>
      </c>
      <c r="H721" s="325">
        <v>1914</v>
      </c>
      <c r="I721" s="325">
        <v>1314</v>
      </c>
      <c r="J721" s="325">
        <v>914</v>
      </c>
      <c r="K721" s="325">
        <v>714</v>
      </c>
      <c r="L721" s="325">
        <v>314</v>
      </c>
      <c r="M721" s="435">
        <v>160</v>
      </c>
    </row>
    <row r="722" spans="1:13" ht="14.25">
      <c r="B722" s="434" t="s">
        <v>16</v>
      </c>
      <c r="C722" s="476" t="s">
        <v>18</v>
      </c>
      <c r="D722" s="477"/>
      <c r="E722" s="477"/>
      <c r="F722" s="477"/>
      <c r="G722" s="477"/>
      <c r="H722" s="477"/>
      <c r="I722" s="477"/>
      <c r="J722" s="477"/>
      <c r="K722" s="477"/>
      <c r="L722" s="477"/>
      <c r="M722" s="478"/>
    </row>
    <row r="723" spans="1:13" ht="14.25">
      <c r="B723" s="434" t="s">
        <v>17</v>
      </c>
      <c r="C723" s="476" t="s">
        <v>18</v>
      </c>
      <c r="D723" s="477"/>
      <c r="E723" s="477"/>
      <c r="F723" s="477"/>
      <c r="G723" s="477"/>
      <c r="H723" s="477"/>
      <c r="I723" s="477"/>
      <c r="J723" s="477"/>
      <c r="K723" s="477"/>
      <c r="L723" s="477"/>
      <c r="M723" s="478"/>
    </row>
    <row r="724" spans="1:13" ht="14.25">
      <c r="B724" s="436"/>
      <c r="C724" s="436"/>
      <c r="D724" s="436"/>
      <c r="E724" s="436"/>
    </row>
    <row r="725" spans="1:13" ht="14.25">
      <c r="B725" s="431" t="s">
        <v>19</v>
      </c>
      <c r="C725" s="431"/>
      <c r="D725" s="431"/>
      <c r="E725" s="431"/>
    </row>
    <row r="726" spans="1:13" ht="14.25">
      <c r="B726" s="432" t="s">
        <v>2</v>
      </c>
      <c r="C726" s="433" t="s">
        <v>3</v>
      </c>
      <c r="D726" s="433" t="s">
        <v>4</v>
      </c>
      <c r="E726" s="433" t="s">
        <v>5</v>
      </c>
      <c r="F726" s="433" t="s">
        <v>6</v>
      </c>
      <c r="G726" s="433" t="s">
        <v>7</v>
      </c>
      <c r="H726" s="433" t="s">
        <v>8</v>
      </c>
      <c r="I726" s="433" t="s">
        <v>9</v>
      </c>
      <c r="J726" s="433" t="s">
        <v>10</v>
      </c>
      <c r="K726" s="433" t="s">
        <v>11</v>
      </c>
      <c r="L726" s="433" t="s">
        <v>12</v>
      </c>
      <c r="M726" s="432" t="s">
        <v>13</v>
      </c>
    </row>
    <row r="727" spans="1:13" ht="14.25">
      <c r="B727" s="434" t="s">
        <v>14</v>
      </c>
      <c r="C727" s="320">
        <v>21428</v>
      </c>
      <c r="D727" s="325">
        <v>18228</v>
      </c>
      <c r="E727" s="325">
        <v>13828</v>
      </c>
      <c r="F727" s="325">
        <v>9428</v>
      </c>
      <c r="G727" s="325">
        <v>6628</v>
      </c>
      <c r="H727" s="325">
        <v>4628</v>
      </c>
      <c r="I727" s="325">
        <v>3828</v>
      </c>
      <c r="J727" s="325">
        <v>2628</v>
      </c>
      <c r="K727" s="325">
        <v>1828</v>
      </c>
      <c r="L727" s="325">
        <v>1428</v>
      </c>
      <c r="M727" s="435">
        <v>628</v>
      </c>
    </row>
    <row r="728" spans="1:13" ht="14.25">
      <c r="B728" s="434" t="s">
        <v>15</v>
      </c>
      <c r="C728" s="325">
        <v>18228</v>
      </c>
      <c r="D728" s="325">
        <v>13828</v>
      </c>
      <c r="E728" s="325">
        <v>9428</v>
      </c>
      <c r="F728" s="325">
        <v>6628</v>
      </c>
      <c r="G728" s="325">
        <v>4628</v>
      </c>
      <c r="H728" s="325">
        <v>3828</v>
      </c>
      <c r="I728" s="325">
        <v>2628</v>
      </c>
      <c r="J728" s="325">
        <v>1828</v>
      </c>
      <c r="K728" s="325">
        <v>1428</v>
      </c>
      <c r="L728" s="325">
        <v>628</v>
      </c>
      <c r="M728" s="435">
        <v>320</v>
      </c>
    </row>
    <row r="729" spans="1:13" ht="14.25">
      <c r="B729" s="434" t="s">
        <v>16</v>
      </c>
      <c r="C729" s="476" t="s">
        <v>18</v>
      </c>
      <c r="D729" s="477"/>
      <c r="E729" s="477"/>
      <c r="F729" s="477"/>
      <c r="G729" s="477"/>
      <c r="H729" s="477"/>
      <c r="I729" s="477"/>
      <c r="J729" s="477"/>
      <c r="K729" s="477"/>
      <c r="L729" s="477"/>
      <c r="M729" s="478"/>
    </row>
    <row r="730" spans="1:13" ht="14.25">
      <c r="B730" s="434" t="s">
        <v>17</v>
      </c>
      <c r="C730" s="476" t="s">
        <v>18</v>
      </c>
      <c r="D730" s="477"/>
      <c r="E730" s="477"/>
      <c r="F730" s="477"/>
      <c r="G730" s="477"/>
      <c r="H730" s="477"/>
      <c r="I730" s="477"/>
      <c r="J730" s="477"/>
      <c r="K730" s="477"/>
      <c r="L730" s="477"/>
      <c r="M730" s="478"/>
    </row>
    <row r="731" spans="1:13" ht="14.25">
      <c r="B731" s="440"/>
      <c r="C731" s="436"/>
      <c r="D731" s="436"/>
      <c r="E731" s="436"/>
      <c r="F731" s="436"/>
      <c r="G731" s="436"/>
      <c r="H731" s="436"/>
      <c r="I731" s="436"/>
      <c r="J731" s="436"/>
      <c r="K731" s="436"/>
      <c r="L731" s="436"/>
      <c r="M731" s="436"/>
    </row>
    <row r="732" spans="1:13" ht="18">
      <c r="B732" s="438" t="s">
        <v>75</v>
      </c>
      <c r="C732" s="438"/>
      <c r="D732" s="438"/>
      <c r="E732" s="438"/>
    </row>
    <row r="733" spans="1:13" ht="30" customHeight="1">
      <c r="A733" s="437"/>
      <c r="B733" s="431" t="s">
        <v>39</v>
      </c>
      <c r="C733" s="431"/>
      <c r="D733" s="431"/>
      <c r="E733" s="431"/>
    </row>
    <row r="734" spans="1:13" ht="14.25">
      <c r="B734" s="432" t="s">
        <v>2</v>
      </c>
      <c r="C734" s="433" t="s">
        <v>3</v>
      </c>
      <c r="D734" s="433" t="s">
        <v>4</v>
      </c>
      <c r="E734" s="433" t="s">
        <v>5</v>
      </c>
      <c r="F734" s="433" t="s">
        <v>6</v>
      </c>
      <c r="G734" s="433" t="s">
        <v>7</v>
      </c>
      <c r="H734" s="433" t="s">
        <v>8</v>
      </c>
      <c r="I734" s="433" t="s">
        <v>9</v>
      </c>
      <c r="J734" s="433" t="s">
        <v>10</v>
      </c>
      <c r="K734" s="433" t="s">
        <v>11</v>
      </c>
      <c r="L734" s="433" t="s">
        <v>12</v>
      </c>
      <c r="M734" s="432" t="s">
        <v>13</v>
      </c>
    </row>
    <row r="735" spans="1:13" ht="14.25">
      <c r="B735" s="434" t="s">
        <v>14</v>
      </c>
      <c r="C735" s="320">
        <v>2000</v>
      </c>
      <c r="D735" s="325">
        <v>1500</v>
      </c>
      <c r="E735" s="325">
        <v>1126</v>
      </c>
      <c r="F735" s="325">
        <v>844</v>
      </c>
      <c r="G735" s="325">
        <v>632</v>
      </c>
      <c r="H735" s="325">
        <v>474</v>
      </c>
      <c r="I735" s="325">
        <v>356</v>
      </c>
      <c r="J735" s="325">
        <v>266</v>
      </c>
      <c r="K735" s="325">
        <v>200</v>
      </c>
      <c r="L735" s="325">
        <v>150</v>
      </c>
      <c r="M735" s="435">
        <v>112</v>
      </c>
    </row>
    <row r="736" spans="1:13" ht="14.25">
      <c r="B736" s="434" t="s">
        <v>15</v>
      </c>
      <c r="C736" s="325">
        <v>1250</v>
      </c>
      <c r="D736" s="325">
        <v>938</v>
      </c>
      <c r="E736" s="325">
        <v>704</v>
      </c>
      <c r="F736" s="325">
        <v>528</v>
      </c>
      <c r="G736" s="325">
        <v>396</v>
      </c>
      <c r="H736" s="325">
        <v>296</v>
      </c>
      <c r="I736" s="325">
        <v>222</v>
      </c>
      <c r="J736" s="325">
        <v>166</v>
      </c>
      <c r="K736" s="325">
        <v>126</v>
      </c>
      <c r="L736" s="325">
        <v>94</v>
      </c>
      <c r="M736" s="435">
        <v>70</v>
      </c>
    </row>
    <row r="737" spans="1:13" ht="14.25">
      <c r="B737" s="434" t="s">
        <v>16</v>
      </c>
      <c r="C737" s="325">
        <v>700</v>
      </c>
      <c r="D737" s="325">
        <v>526</v>
      </c>
      <c r="E737" s="325">
        <v>394</v>
      </c>
      <c r="F737" s="325">
        <v>296</v>
      </c>
      <c r="G737" s="325">
        <v>222</v>
      </c>
      <c r="H737" s="325">
        <v>166</v>
      </c>
      <c r="I737" s="325">
        <v>124</v>
      </c>
      <c r="J737" s="325">
        <v>94</v>
      </c>
      <c r="K737" s="325">
        <v>70</v>
      </c>
      <c r="L737" s="325">
        <v>52</v>
      </c>
      <c r="M737" s="435">
        <v>40</v>
      </c>
    </row>
    <row r="738" spans="1:13" ht="14.25">
      <c r="B738" s="434" t="s">
        <v>17</v>
      </c>
      <c r="C738" s="476" t="s">
        <v>18</v>
      </c>
      <c r="D738" s="477"/>
      <c r="E738" s="477"/>
      <c r="F738" s="477"/>
      <c r="G738" s="477"/>
      <c r="H738" s="477"/>
      <c r="I738" s="477"/>
      <c r="J738" s="477"/>
      <c r="K738" s="477"/>
      <c r="L738" s="477"/>
      <c r="M738" s="478"/>
    </row>
    <row r="739" spans="1:13" ht="14.25">
      <c r="B739" s="436"/>
      <c r="C739" s="436"/>
      <c r="D739" s="436"/>
      <c r="E739" s="436"/>
    </row>
    <row r="740" spans="1:13" ht="14.25">
      <c r="B740" s="431" t="s">
        <v>19</v>
      </c>
      <c r="C740" s="431"/>
      <c r="D740" s="431"/>
      <c r="E740" s="431"/>
    </row>
    <row r="741" spans="1:13" ht="14.25">
      <c r="B741" s="432" t="s">
        <v>2</v>
      </c>
      <c r="C741" s="433" t="s">
        <v>3</v>
      </c>
      <c r="D741" s="433" t="s">
        <v>4</v>
      </c>
      <c r="E741" s="433" t="s">
        <v>5</v>
      </c>
      <c r="F741" s="433" t="s">
        <v>6</v>
      </c>
      <c r="G741" s="433" t="s">
        <v>7</v>
      </c>
      <c r="H741" s="433" t="s">
        <v>8</v>
      </c>
      <c r="I741" s="433" t="s">
        <v>9</v>
      </c>
      <c r="J741" s="433" t="s">
        <v>10</v>
      </c>
      <c r="K741" s="433" t="s">
        <v>11</v>
      </c>
      <c r="L741" s="433" t="s">
        <v>12</v>
      </c>
      <c r="M741" s="432" t="s">
        <v>13</v>
      </c>
    </row>
    <row r="742" spans="1:13" ht="14.25">
      <c r="B742" s="434" t="s">
        <v>14</v>
      </c>
      <c r="C742" s="320">
        <v>6000</v>
      </c>
      <c r="D742" s="325">
        <v>4500</v>
      </c>
      <c r="E742" s="325">
        <v>3376</v>
      </c>
      <c r="F742" s="325">
        <v>2532</v>
      </c>
      <c r="G742" s="325">
        <v>1898</v>
      </c>
      <c r="H742" s="325">
        <v>1424</v>
      </c>
      <c r="I742" s="325">
        <v>1068</v>
      </c>
      <c r="J742" s="325">
        <v>800</v>
      </c>
      <c r="K742" s="325">
        <v>600</v>
      </c>
      <c r="L742" s="325">
        <v>450</v>
      </c>
      <c r="M742" s="435">
        <v>338</v>
      </c>
    </row>
    <row r="743" spans="1:13" ht="14.25">
      <c r="B743" s="434" t="s">
        <v>15</v>
      </c>
      <c r="C743" s="325">
        <v>3600</v>
      </c>
      <c r="D743" s="325">
        <v>2700</v>
      </c>
      <c r="E743" s="325">
        <v>2026</v>
      </c>
      <c r="F743" s="325">
        <v>1518</v>
      </c>
      <c r="G743" s="325">
        <v>1140</v>
      </c>
      <c r="H743" s="325">
        <v>854</v>
      </c>
      <c r="I743" s="325">
        <v>640</v>
      </c>
      <c r="J743" s="325">
        <v>480</v>
      </c>
      <c r="K743" s="325">
        <v>360</v>
      </c>
      <c r="L743" s="325">
        <v>270</v>
      </c>
      <c r="M743" s="435">
        <v>202</v>
      </c>
    </row>
    <row r="744" spans="1:13" ht="14.25">
      <c r="B744" s="434" t="s">
        <v>16</v>
      </c>
      <c r="C744" s="325">
        <v>2400</v>
      </c>
      <c r="D744" s="325">
        <v>1800</v>
      </c>
      <c r="E744" s="325">
        <v>1350</v>
      </c>
      <c r="F744" s="325">
        <v>1012</v>
      </c>
      <c r="G744" s="325">
        <v>760</v>
      </c>
      <c r="H744" s="325">
        <v>570</v>
      </c>
      <c r="I744" s="325">
        <v>428</v>
      </c>
      <c r="J744" s="325">
        <v>320</v>
      </c>
      <c r="K744" s="325">
        <v>240</v>
      </c>
      <c r="L744" s="325">
        <v>180</v>
      </c>
      <c r="M744" s="435">
        <v>136</v>
      </c>
    </row>
    <row r="745" spans="1:13" ht="14.25">
      <c r="B745" s="434" t="s">
        <v>17</v>
      </c>
      <c r="C745" s="476" t="s">
        <v>18</v>
      </c>
      <c r="D745" s="477"/>
      <c r="E745" s="477"/>
      <c r="F745" s="477"/>
      <c r="G745" s="477"/>
      <c r="H745" s="477"/>
      <c r="I745" s="477"/>
      <c r="J745" s="477"/>
      <c r="K745" s="477"/>
      <c r="L745" s="477"/>
      <c r="M745" s="478"/>
    </row>
    <row r="746" spans="1:13" ht="15" customHeight="1"/>
    <row r="747" spans="1:13" ht="18">
      <c r="B747" s="438" t="s">
        <v>76</v>
      </c>
      <c r="C747" s="438"/>
      <c r="D747" s="438"/>
      <c r="E747" s="438"/>
    </row>
    <row r="748" spans="1:13" ht="30" customHeight="1">
      <c r="A748" s="437"/>
      <c r="B748" s="431" t="s">
        <v>39</v>
      </c>
      <c r="C748" s="431"/>
      <c r="D748" s="431"/>
      <c r="E748" s="431"/>
    </row>
    <row r="749" spans="1:13" ht="14.25">
      <c r="B749" s="432" t="s">
        <v>2</v>
      </c>
      <c r="C749" s="433" t="s">
        <v>3</v>
      </c>
      <c r="D749" s="433" t="s">
        <v>4</v>
      </c>
      <c r="E749" s="433" t="s">
        <v>5</v>
      </c>
      <c r="F749" s="433" t="s">
        <v>6</v>
      </c>
      <c r="G749" s="433" t="s">
        <v>7</v>
      </c>
      <c r="H749" s="433" t="s">
        <v>8</v>
      </c>
      <c r="I749" s="433" t="s">
        <v>9</v>
      </c>
      <c r="J749" s="433" t="s">
        <v>10</v>
      </c>
      <c r="K749" s="433" t="s">
        <v>11</v>
      </c>
      <c r="L749" s="433" t="s">
        <v>12</v>
      </c>
      <c r="M749" s="432" t="s">
        <v>13</v>
      </c>
    </row>
    <row r="750" spans="1:13" ht="14.25">
      <c r="B750" s="434" t="s">
        <v>14</v>
      </c>
      <c r="C750" s="320">
        <v>1752</v>
      </c>
      <c r="D750" s="325">
        <v>1314</v>
      </c>
      <c r="E750" s="325">
        <v>986</v>
      </c>
      <c r="F750" s="325">
        <v>738</v>
      </c>
      <c r="G750" s="325">
        <v>554</v>
      </c>
      <c r="H750" s="325">
        <v>416</v>
      </c>
      <c r="I750" s="325">
        <v>312</v>
      </c>
      <c r="J750" s="325">
        <v>234</v>
      </c>
      <c r="K750" s="325">
        <v>176</v>
      </c>
      <c r="L750" s="325">
        <v>132</v>
      </c>
      <c r="M750" s="435">
        <v>98</v>
      </c>
    </row>
    <row r="751" spans="1:13" ht="14.25">
      <c r="B751" s="434" t="s">
        <v>15</v>
      </c>
      <c r="C751" s="325">
        <v>1292</v>
      </c>
      <c r="D751" s="325">
        <v>970</v>
      </c>
      <c r="E751" s="325">
        <v>728</v>
      </c>
      <c r="F751" s="325">
        <v>546</v>
      </c>
      <c r="G751" s="325">
        <v>408</v>
      </c>
      <c r="H751" s="325">
        <v>306</v>
      </c>
      <c r="I751" s="325">
        <v>230</v>
      </c>
      <c r="J751" s="325">
        <v>172</v>
      </c>
      <c r="K751" s="325">
        <v>130</v>
      </c>
      <c r="L751" s="325">
        <v>98</v>
      </c>
      <c r="M751" s="325">
        <v>72</v>
      </c>
    </row>
    <row r="752" spans="1:13" ht="14.25">
      <c r="B752" s="434" t="s">
        <v>16</v>
      </c>
      <c r="C752" s="476" t="s">
        <v>18</v>
      </c>
      <c r="D752" s="477"/>
      <c r="E752" s="477"/>
      <c r="F752" s="477"/>
      <c r="G752" s="477"/>
      <c r="H752" s="477"/>
      <c r="I752" s="477"/>
      <c r="J752" s="477"/>
      <c r="K752" s="477"/>
      <c r="L752" s="477"/>
      <c r="M752" s="478"/>
    </row>
    <row r="753" spans="1:13" ht="14.25">
      <c r="B753" s="434" t="s">
        <v>17</v>
      </c>
      <c r="C753" s="476" t="s">
        <v>18</v>
      </c>
      <c r="D753" s="477"/>
      <c r="E753" s="477"/>
      <c r="F753" s="477"/>
      <c r="G753" s="477"/>
      <c r="H753" s="477"/>
      <c r="I753" s="477"/>
      <c r="J753" s="477"/>
      <c r="K753" s="477"/>
      <c r="L753" s="477"/>
      <c r="M753" s="478"/>
    </row>
    <row r="754" spans="1:13" ht="14.25">
      <c r="B754" s="436"/>
      <c r="C754" s="436"/>
      <c r="D754" s="436"/>
      <c r="E754" s="436"/>
    </row>
    <row r="755" spans="1:13" ht="14.25">
      <c r="B755" s="431" t="s">
        <v>19</v>
      </c>
      <c r="C755" s="431"/>
      <c r="D755" s="431"/>
      <c r="E755" s="431"/>
    </row>
    <row r="756" spans="1:13" ht="14.25">
      <c r="B756" s="432" t="s">
        <v>2</v>
      </c>
      <c r="C756" s="433" t="s">
        <v>3</v>
      </c>
      <c r="D756" s="433" t="s">
        <v>4</v>
      </c>
      <c r="E756" s="433" t="s">
        <v>5</v>
      </c>
      <c r="F756" s="433" t="s">
        <v>6</v>
      </c>
      <c r="G756" s="433" t="s">
        <v>7</v>
      </c>
      <c r="H756" s="433" t="s">
        <v>8</v>
      </c>
      <c r="I756" s="433" t="s">
        <v>9</v>
      </c>
      <c r="J756" s="433" t="s">
        <v>10</v>
      </c>
      <c r="K756" s="433" t="s">
        <v>11</v>
      </c>
      <c r="L756" s="433" t="s">
        <v>12</v>
      </c>
      <c r="M756" s="432" t="s">
        <v>13</v>
      </c>
    </row>
    <row r="757" spans="1:13" ht="14.25">
      <c r="B757" s="434" t="s">
        <v>14</v>
      </c>
      <c r="C757" s="320">
        <v>1313</v>
      </c>
      <c r="D757" s="325">
        <v>985</v>
      </c>
      <c r="E757" s="325">
        <v>739</v>
      </c>
      <c r="F757" s="325">
        <v>554</v>
      </c>
      <c r="G757" s="325">
        <v>416</v>
      </c>
      <c r="H757" s="325">
        <v>312</v>
      </c>
      <c r="I757" s="325">
        <v>234</v>
      </c>
      <c r="J757" s="325">
        <v>175</v>
      </c>
      <c r="K757" s="325">
        <v>131</v>
      </c>
      <c r="L757" s="325">
        <v>99</v>
      </c>
      <c r="M757" s="435">
        <v>74</v>
      </c>
    </row>
    <row r="758" spans="1:13" ht="14.25">
      <c r="B758" s="434" t="s">
        <v>15</v>
      </c>
      <c r="C758" s="325">
        <v>969</v>
      </c>
      <c r="D758" s="325">
        <v>727</v>
      </c>
      <c r="E758" s="325">
        <v>545</v>
      </c>
      <c r="F758" s="325">
        <v>409</v>
      </c>
      <c r="G758" s="325">
        <v>307</v>
      </c>
      <c r="H758" s="325">
        <v>230</v>
      </c>
      <c r="I758" s="325">
        <v>173</v>
      </c>
      <c r="J758" s="325">
        <v>129</v>
      </c>
      <c r="K758" s="325">
        <v>97</v>
      </c>
      <c r="L758" s="325">
        <v>73</v>
      </c>
      <c r="M758" s="435">
        <v>55</v>
      </c>
    </row>
    <row r="759" spans="1:13" ht="14.25">
      <c r="B759" s="434" t="s">
        <v>16</v>
      </c>
      <c r="C759" s="476" t="s">
        <v>18</v>
      </c>
      <c r="D759" s="477"/>
      <c r="E759" s="477"/>
      <c r="F759" s="477"/>
      <c r="G759" s="477"/>
      <c r="H759" s="477"/>
      <c r="I759" s="477"/>
      <c r="J759" s="477"/>
      <c r="K759" s="477"/>
      <c r="L759" s="477"/>
      <c r="M759" s="478"/>
    </row>
    <row r="760" spans="1:13" ht="14.25">
      <c r="B760" s="434" t="s">
        <v>17</v>
      </c>
      <c r="C760" s="476" t="s">
        <v>18</v>
      </c>
      <c r="D760" s="477"/>
      <c r="E760" s="477"/>
      <c r="F760" s="477"/>
      <c r="G760" s="477"/>
      <c r="H760" s="477"/>
      <c r="I760" s="477"/>
      <c r="J760" s="477"/>
      <c r="K760" s="477"/>
      <c r="L760" s="477"/>
      <c r="M760" s="478"/>
    </row>
    <row r="761" spans="1:13" ht="14.25">
      <c r="B761" s="440"/>
      <c r="C761" s="441"/>
      <c r="D761" s="441"/>
      <c r="E761" s="441"/>
      <c r="F761" s="441"/>
      <c r="G761" s="441"/>
      <c r="H761" s="441"/>
      <c r="I761" s="441"/>
      <c r="J761" s="441"/>
      <c r="K761" s="441"/>
      <c r="L761" s="441"/>
      <c r="M761" s="441"/>
    </row>
    <row r="762" spans="1:13" ht="18">
      <c r="B762" s="438" t="s">
        <v>77</v>
      </c>
      <c r="C762" s="438"/>
      <c r="D762" s="438"/>
      <c r="E762" s="438"/>
    </row>
    <row r="763" spans="1:13" ht="30" customHeight="1">
      <c r="A763" s="437"/>
      <c r="B763" s="431" t="s">
        <v>39</v>
      </c>
      <c r="C763" s="431"/>
      <c r="D763" s="431"/>
      <c r="E763" s="431"/>
    </row>
    <row r="764" spans="1:13" ht="14.25">
      <c r="B764" s="432" t="s">
        <v>2</v>
      </c>
      <c r="C764" s="433" t="s">
        <v>3</v>
      </c>
      <c r="D764" s="433" t="s">
        <v>4</v>
      </c>
      <c r="E764" s="433" t="s">
        <v>5</v>
      </c>
      <c r="F764" s="433" t="s">
        <v>6</v>
      </c>
      <c r="G764" s="433" t="s">
        <v>7</v>
      </c>
      <c r="H764" s="433" t="s">
        <v>8</v>
      </c>
      <c r="I764" s="433" t="s">
        <v>9</v>
      </c>
      <c r="J764" s="433" t="s">
        <v>10</v>
      </c>
      <c r="K764" s="433" t="s">
        <v>11</v>
      </c>
      <c r="L764" s="433" t="s">
        <v>12</v>
      </c>
      <c r="M764" s="432" t="s">
        <v>13</v>
      </c>
    </row>
    <row r="765" spans="1:13" ht="14.25">
      <c r="B765" s="434" t="s">
        <v>14</v>
      </c>
      <c r="C765" s="320">
        <v>3270</v>
      </c>
      <c r="D765" s="325">
        <v>2452</v>
      </c>
      <c r="E765" s="325">
        <v>1840</v>
      </c>
      <c r="F765" s="325">
        <v>1380</v>
      </c>
      <c r="G765" s="325">
        <v>1034</v>
      </c>
      <c r="H765" s="325">
        <v>776</v>
      </c>
      <c r="I765" s="325">
        <v>582</v>
      </c>
      <c r="J765" s="325">
        <v>436</v>
      </c>
      <c r="K765" s="325">
        <v>328</v>
      </c>
      <c r="L765" s="325">
        <v>246</v>
      </c>
      <c r="M765" s="435">
        <v>184</v>
      </c>
    </row>
    <row r="766" spans="1:13" ht="14.25">
      <c r="B766" s="434" t="s">
        <v>15</v>
      </c>
      <c r="C766" s="476" t="s">
        <v>18</v>
      </c>
      <c r="D766" s="477"/>
      <c r="E766" s="477"/>
      <c r="F766" s="477"/>
      <c r="G766" s="477"/>
      <c r="H766" s="477"/>
      <c r="I766" s="477"/>
      <c r="J766" s="477"/>
      <c r="K766" s="477"/>
      <c r="L766" s="477"/>
      <c r="M766" s="478"/>
    </row>
    <row r="767" spans="1:13" ht="14.25">
      <c r="B767" s="434" t="s">
        <v>16</v>
      </c>
      <c r="C767" s="476" t="s">
        <v>18</v>
      </c>
      <c r="D767" s="477"/>
      <c r="E767" s="477"/>
      <c r="F767" s="477"/>
      <c r="G767" s="477"/>
      <c r="H767" s="477"/>
      <c r="I767" s="477"/>
      <c r="J767" s="477"/>
      <c r="K767" s="477"/>
      <c r="L767" s="477"/>
      <c r="M767" s="478"/>
    </row>
    <row r="768" spans="1:13" ht="14.25">
      <c r="B768" s="434" t="s">
        <v>17</v>
      </c>
      <c r="C768" s="476" t="s">
        <v>18</v>
      </c>
      <c r="D768" s="477"/>
      <c r="E768" s="477"/>
      <c r="F768" s="477"/>
      <c r="G768" s="477"/>
      <c r="H768" s="477"/>
      <c r="I768" s="477"/>
      <c r="J768" s="477"/>
      <c r="K768" s="477"/>
      <c r="L768" s="477"/>
      <c r="M768" s="478"/>
    </row>
    <row r="769" spans="1:13" ht="14.25">
      <c r="B769" s="436"/>
      <c r="C769" s="436"/>
      <c r="D769" s="436"/>
      <c r="E769" s="436"/>
    </row>
    <row r="770" spans="1:13" ht="14.25">
      <c r="B770" s="431" t="s">
        <v>19</v>
      </c>
      <c r="C770" s="431"/>
      <c r="D770" s="431"/>
      <c r="E770" s="431"/>
    </row>
    <row r="771" spans="1:13" ht="14.25">
      <c r="B771" s="432" t="s">
        <v>2</v>
      </c>
      <c r="C771" s="433" t="s">
        <v>3</v>
      </c>
      <c r="D771" s="433" t="s">
        <v>4</v>
      </c>
      <c r="E771" s="433" t="s">
        <v>5</v>
      </c>
      <c r="F771" s="433" t="s">
        <v>6</v>
      </c>
      <c r="G771" s="433" t="s">
        <v>7</v>
      </c>
      <c r="H771" s="433" t="s">
        <v>8</v>
      </c>
      <c r="I771" s="433" t="s">
        <v>9</v>
      </c>
      <c r="J771" s="433" t="s">
        <v>10</v>
      </c>
      <c r="K771" s="433" t="s">
        <v>11</v>
      </c>
      <c r="L771" s="433" t="s">
        <v>12</v>
      </c>
      <c r="M771" s="432" t="s">
        <v>13</v>
      </c>
    </row>
    <row r="772" spans="1:13" ht="14.25">
      <c r="B772" s="434" t="s">
        <v>14</v>
      </c>
      <c r="C772" s="320">
        <v>4146</v>
      </c>
      <c r="D772" s="325">
        <v>3110</v>
      </c>
      <c r="E772" s="325">
        <v>2332</v>
      </c>
      <c r="F772" s="325">
        <v>1750</v>
      </c>
      <c r="G772" s="325">
        <v>1312</v>
      </c>
      <c r="H772" s="325">
        <v>984</v>
      </c>
      <c r="I772" s="325">
        <v>738</v>
      </c>
      <c r="J772" s="325">
        <v>554</v>
      </c>
      <c r="K772" s="325">
        <v>416</v>
      </c>
      <c r="L772" s="325">
        <v>312</v>
      </c>
      <c r="M772" s="435">
        <v>234</v>
      </c>
    </row>
    <row r="773" spans="1:13" ht="14.25">
      <c r="B773" s="434" t="s">
        <v>15</v>
      </c>
      <c r="C773" s="476" t="s">
        <v>18</v>
      </c>
      <c r="D773" s="477"/>
      <c r="E773" s="477"/>
      <c r="F773" s="477"/>
      <c r="G773" s="477"/>
      <c r="H773" s="477"/>
      <c r="I773" s="477"/>
      <c r="J773" s="477"/>
      <c r="K773" s="477"/>
      <c r="L773" s="477"/>
      <c r="M773" s="478"/>
    </row>
    <row r="774" spans="1:13" ht="14.25">
      <c r="B774" s="434" t="s">
        <v>16</v>
      </c>
      <c r="C774" s="476" t="s">
        <v>18</v>
      </c>
      <c r="D774" s="477"/>
      <c r="E774" s="477"/>
      <c r="F774" s="477"/>
      <c r="G774" s="477"/>
      <c r="H774" s="477"/>
      <c r="I774" s="477"/>
      <c r="J774" s="477"/>
      <c r="K774" s="477"/>
      <c r="L774" s="477"/>
      <c r="M774" s="478"/>
    </row>
    <row r="775" spans="1:13" ht="14.25">
      <c r="B775" s="434" t="s">
        <v>17</v>
      </c>
      <c r="C775" s="476" t="s">
        <v>18</v>
      </c>
      <c r="D775" s="477"/>
      <c r="E775" s="477"/>
      <c r="F775" s="477"/>
      <c r="G775" s="477"/>
      <c r="H775" s="477"/>
      <c r="I775" s="477"/>
      <c r="J775" s="477"/>
      <c r="K775" s="477"/>
      <c r="L775" s="477"/>
      <c r="M775" s="478"/>
    </row>
    <row r="776" spans="1:13" ht="14.25">
      <c r="B776" s="440"/>
      <c r="C776" s="441"/>
      <c r="D776" s="441"/>
      <c r="E776" s="441"/>
      <c r="F776" s="441"/>
      <c r="G776" s="441"/>
      <c r="H776" s="441"/>
      <c r="I776" s="441"/>
      <c r="J776" s="441"/>
      <c r="K776" s="441"/>
      <c r="L776" s="441"/>
      <c r="M776" s="441"/>
    </row>
    <row r="777" spans="1:13" ht="18">
      <c r="B777" s="438" t="s">
        <v>78</v>
      </c>
      <c r="C777" s="438"/>
      <c r="D777" s="438"/>
      <c r="E777" s="438"/>
    </row>
    <row r="778" spans="1:13" ht="30" customHeight="1">
      <c r="A778" s="437"/>
      <c r="B778" s="431" t="s">
        <v>39</v>
      </c>
      <c r="C778" s="431"/>
      <c r="D778" s="431"/>
      <c r="E778" s="431"/>
    </row>
    <row r="779" spans="1:13" ht="14.25">
      <c r="B779" s="432" t="s">
        <v>2</v>
      </c>
      <c r="C779" s="433" t="s">
        <v>3</v>
      </c>
      <c r="D779" s="433" t="s">
        <v>4</v>
      </c>
      <c r="E779" s="433" t="s">
        <v>5</v>
      </c>
      <c r="F779" s="433" t="s">
        <v>6</v>
      </c>
      <c r="G779" s="433" t="s">
        <v>7</v>
      </c>
      <c r="H779" s="433" t="s">
        <v>8</v>
      </c>
      <c r="I779" s="433" t="s">
        <v>9</v>
      </c>
      <c r="J779" s="433" t="s">
        <v>10</v>
      </c>
      <c r="K779" s="433" t="s">
        <v>11</v>
      </c>
      <c r="L779" s="433" t="s">
        <v>12</v>
      </c>
      <c r="M779" s="432" t="s">
        <v>13</v>
      </c>
    </row>
    <row r="780" spans="1:13" ht="14.25">
      <c r="B780" s="434" t="s">
        <v>14</v>
      </c>
      <c r="C780" s="320">
        <v>1860</v>
      </c>
      <c r="D780" s="325">
        <v>1394</v>
      </c>
      <c r="E780" s="325">
        <v>1046</v>
      </c>
      <c r="F780" s="325">
        <v>784</v>
      </c>
      <c r="G780" s="325">
        <v>588</v>
      </c>
      <c r="H780" s="325">
        <v>442</v>
      </c>
      <c r="I780" s="325">
        <v>332</v>
      </c>
      <c r="J780" s="325">
        <v>248</v>
      </c>
      <c r="K780" s="325">
        <v>186</v>
      </c>
      <c r="L780" s="325">
        <v>140</v>
      </c>
      <c r="M780" s="435">
        <v>104</v>
      </c>
    </row>
    <row r="781" spans="1:13" ht="14.25">
      <c r="B781" s="434" t="s">
        <v>15</v>
      </c>
      <c r="C781" s="476" t="s">
        <v>18</v>
      </c>
      <c r="D781" s="477"/>
      <c r="E781" s="477"/>
      <c r="F781" s="477"/>
      <c r="G781" s="477"/>
      <c r="H781" s="477"/>
      <c r="I781" s="477"/>
      <c r="J781" s="477"/>
      <c r="K781" s="477"/>
      <c r="L781" s="477"/>
      <c r="M781" s="478"/>
    </row>
    <row r="782" spans="1:13" ht="14.25">
      <c r="B782" s="434" t="s">
        <v>16</v>
      </c>
      <c r="C782" s="476" t="s">
        <v>18</v>
      </c>
      <c r="D782" s="477"/>
      <c r="E782" s="477"/>
      <c r="F782" s="477"/>
      <c r="G782" s="477"/>
      <c r="H782" s="477"/>
      <c r="I782" s="477"/>
      <c r="J782" s="477"/>
      <c r="K782" s="477"/>
      <c r="L782" s="477"/>
      <c r="M782" s="478"/>
    </row>
    <row r="783" spans="1:13" ht="14.25">
      <c r="B783" s="434" t="s">
        <v>17</v>
      </c>
      <c r="C783" s="476" t="s">
        <v>18</v>
      </c>
      <c r="D783" s="477"/>
      <c r="E783" s="477"/>
      <c r="F783" s="477"/>
      <c r="G783" s="477"/>
      <c r="H783" s="477"/>
      <c r="I783" s="477"/>
      <c r="J783" s="477"/>
      <c r="K783" s="477"/>
      <c r="L783" s="477"/>
      <c r="M783" s="478"/>
    </row>
    <row r="784" spans="1:13" ht="14.25">
      <c r="B784" s="436"/>
      <c r="C784" s="436"/>
      <c r="D784" s="436"/>
      <c r="E784" s="436"/>
    </row>
    <row r="785" spans="1:13" ht="14.25">
      <c r="B785" s="431" t="s">
        <v>19</v>
      </c>
      <c r="C785" s="431"/>
      <c r="D785" s="431"/>
      <c r="E785" s="431"/>
    </row>
    <row r="786" spans="1:13" ht="14.25">
      <c r="B786" s="432" t="s">
        <v>2</v>
      </c>
      <c r="C786" s="433" t="s">
        <v>3</v>
      </c>
      <c r="D786" s="433" t="s">
        <v>4</v>
      </c>
      <c r="E786" s="433" t="s">
        <v>5</v>
      </c>
      <c r="F786" s="433" t="s">
        <v>6</v>
      </c>
      <c r="G786" s="433" t="s">
        <v>7</v>
      </c>
      <c r="H786" s="433" t="s">
        <v>8</v>
      </c>
      <c r="I786" s="433" t="s">
        <v>9</v>
      </c>
      <c r="J786" s="433" t="s">
        <v>10</v>
      </c>
      <c r="K786" s="433" t="s">
        <v>11</v>
      </c>
      <c r="L786" s="433" t="s">
        <v>12</v>
      </c>
      <c r="M786" s="432" t="s">
        <v>13</v>
      </c>
    </row>
    <row r="787" spans="1:13" ht="14.25">
      <c r="B787" s="434" t="s">
        <v>14</v>
      </c>
      <c r="C787" s="320">
        <v>4780</v>
      </c>
      <c r="D787" s="325">
        <v>3586</v>
      </c>
      <c r="E787" s="325">
        <v>2688</v>
      </c>
      <c r="F787" s="325">
        <v>2016</v>
      </c>
      <c r="G787" s="325">
        <v>1512</v>
      </c>
      <c r="H787" s="325">
        <v>1134</v>
      </c>
      <c r="I787" s="325">
        <v>850</v>
      </c>
      <c r="J787" s="325">
        <v>638</v>
      </c>
      <c r="K787" s="325">
        <v>480</v>
      </c>
      <c r="L787" s="325">
        <v>360</v>
      </c>
      <c r="M787" s="435">
        <v>268</v>
      </c>
    </row>
    <row r="788" spans="1:13" ht="14.25">
      <c r="B788" s="434" t="s">
        <v>15</v>
      </c>
      <c r="C788" s="476" t="s">
        <v>18</v>
      </c>
      <c r="D788" s="477"/>
      <c r="E788" s="477"/>
      <c r="F788" s="477"/>
      <c r="G788" s="477"/>
      <c r="H788" s="477"/>
      <c r="I788" s="477"/>
      <c r="J788" s="477"/>
      <c r="K788" s="477"/>
      <c r="L788" s="477"/>
      <c r="M788" s="478"/>
    </row>
    <row r="789" spans="1:13" ht="14.25">
      <c r="B789" s="434" t="s">
        <v>16</v>
      </c>
      <c r="C789" s="476" t="s">
        <v>18</v>
      </c>
      <c r="D789" s="477"/>
      <c r="E789" s="477"/>
      <c r="F789" s="477"/>
      <c r="G789" s="477"/>
      <c r="H789" s="477"/>
      <c r="I789" s="477"/>
      <c r="J789" s="477"/>
      <c r="K789" s="477"/>
      <c r="L789" s="477"/>
      <c r="M789" s="478"/>
    </row>
    <row r="790" spans="1:13" ht="14.25">
      <c r="B790" s="434" t="s">
        <v>17</v>
      </c>
      <c r="C790" s="476" t="s">
        <v>18</v>
      </c>
      <c r="D790" s="477"/>
      <c r="E790" s="477"/>
      <c r="F790" s="477"/>
      <c r="G790" s="477"/>
      <c r="H790" s="477"/>
      <c r="I790" s="477"/>
      <c r="J790" s="477"/>
      <c r="K790" s="477"/>
      <c r="L790" s="477"/>
      <c r="M790" s="478"/>
    </row>
    <row r="791" spans="1:13" ht="14.25">
      <c r="B791" s="440"/>
      <c r="C791" s="441"/>
      <c r="D791" s="441"/>
      <c r="E791" s="441"/>
      <c r="F791" s="441"/>
      <c r="G791" s="441"/>
      <c r="H791" s="441"/>
      <c r="I791" s="441"/>
      <c r="J791" s="441"/>
      <c r="K791" s="441"/>
      <c r="L791" s="441"/>
      <c r="M791" s="441"/>
    </row>
    <row r="792" spans="1:13" ht="18">
      <c r="B792" s="438" t="s">
        <v>79</v>
      </c>
      <c r="C792" s="438"/>
      <c r="D792" s="438"/>
      <c r="E792" s="438"/>
    </row>
    <row r="793" spans="1:13" ht="30" customHeight="1">
      <c r="A793" s="437"/>
      <c r="B793" s="431" t="s">
        <v>39</v>
      </c>
      <c r="C793" s="431"/>
      <c r="D793" s="431"/>
      <c r="E793" s="431"/>
    </row>
    <row r="794" spans="1:13" ht="14.25">
      <c r="B794" s="432" t="s">
        <v>2</v>
      </c>
      <c r="C794" s="433" t="s">
        <v>3</v>
      </c>
      <c r="D794" s="433" t="s">
        <v>4</v>
      </c>
      <c r="E794" s="433" t="s">
        <v>5</v>
      </c>
      <c r="F794" s="433" t="s">
        <v>6</v>
      </c>
      <c r="G794" s="433" t="s">
        <v>7</v>
      </c>
      <c r="H794" s="433" t="s">
        <v>8</v>
      </c>
      <c r="I794" s="433" t="s">
        <v>9</v>
      </c>
      <c r="J794" s="433" t="s">
        <v>10</v>
      </c>
      <c r="K794" s="433" t="s">
        <v>11</v>
      </c>
      <c r="L794" s="433" t="s">
        <v>12</v>
      </c>
      <c r="M794" s="432" t="s">
        <v>13</v>
      </c>
    </row>
    <row r="795" spans="1:13" ht="14.25">
      <c r="B795" s="434" t="s">
        <v>14</v>
      </c>
      <c r="C795" s="320">
        <v>2500</v>
      </c>
      <c r="D795" s="325">
        <v>1876</v>
      </c>
      <c r="E795" s="325">
        <v>1406</v>
      </c>
      <c r="F795" s="325">
        <v>1054</v>
      </c>
      <c r="G795" s="325">
        <v>792</v>
      </c>
      <c r="H795" s="325">
        <v>594</v>
      </c>
      <c r="I795" s="325">
        <v>444</v>
      </c>
      <c r="J795" s="325">
        <v>334</v>
      </c>
      <c r="K795" s="325">
        <v>250</v>
      </c>
      <c r="L795" s="325">
        <v>188</v>
      </c>
      <c r="M795" s="435">
        <v>140</v>
      </c>
    </row>
    <row r="796" spans="1:13" ht="14.25">
      <c r="B796" s="434" t="s">
        <v>15</v>
      </c>
      <c r="C796" s="320">
        <v>2000</v>
      </c>
      <c r="D796" s="325">
        <v>1500</v>
      </c>
      <c r="E796" s="325">
        <v>1126</v>
      </c>
      <c r="F796" s="325">
        <v>844</v>
      </c>
      <c r="G796" s="325">
        <v>632</v>
      </c>
      <c r="H796" s="325">
        <v>474</v>
      </c>
      <c r="I796" s="325">
        <v>356</v>
      </c>
      <c r="J796" s="325">
        <v>266</v>
      </c>
      <c r="K796" s="325">
        <v>200</v>
      </c>
      <c r="L796" s="325">
        <v>150</v>
      </c>
      <c r="M796" s="435">
        <v>112</v>
      </c>
    </row>
    <row r="797" spans="1:13" ht="14.25">
      <c r="B797" s="434" t="s">
        <v>16</v>
      </c>
      <c r="C797" s="476" t="s">
        <v>18</v>
      </c>
      <c r="D797" s="477"/>
      <c r="E797" s="477"/>
      <c r="F797" s="477"/>
      <c r="G797" s="477"/>
      <c r="H797" s="477"/>
      <c r="I797" s="477"/>
      <c r="J797" s="477"/>
      <c r="K797" s="477"/>
      <c r="L797" s="477"/>
      <c r="M797" s="478"/>
    </row>
    <row r="798" spans="1:13" ht="14.25">
      <c r="B798" s="434" t="s">
        <v>17</v>
      </c>
      <c r="C798" s="476" t="s">
        <v>18</v>
      </c>
      <c r="D798" s="477"/>
      <c r="E798" s="477"/>
      <c r="F798" s="477"/>
      <c r="G798" s="477"/>
      <c r="H798" s="477"/>
      <c r="I798" s="477"/>
      <c r="J798" s="477"/>
      <c r="K798" s="477"/>
      <c r="L798" s="477"/>
      <c r="M798" s="478"/>
    </row>
    <row r="799" spans="1:13" ht="14.25">
      <c r="B799" s="436"/>
      <c r="C799" s="436"/>
      <c r="D799" s="436"/>
      <c r="E799" s="436"/>
    </row>
    <row r="800" spans="1:13" ht="14.25">
      <c r="B800" s="431" t="s">
        <v>19</v>
      </c>
      <c r="C800" s="431"/>
      <c r="D800" s="431"/>
      <c r="E800" s="431"/>
    </row>
    <row r="801" spans="1:13" ht="14.25">
      <c r="B801" s="432" t="s">
        <v>2</v>
      </c>
      <c r="C801" s="433" t="s">
        <v>3</v>
      </c>
      <c r="D801" s="433" t="s">
        <v>4</v>
      </c>
      <c r="E801" s="433" t="s">
        <v>5</v>
      </c>
      <c r="F801" s="433" t="s">
        <v>6</v>
      </c>
      <c r="G801" s="433" t="s">
        <v>7</v>
      </c>
      <c r="H801" s="433" t="s">
        <v>8</v>
      </c>
      <c r="I801" s="433" t="s">
        <v>9</v>
      </c>
      <c r="J801" s="433" t="s">
        <v>10</v>
      </c>
      <c r="K801" s="433" t="s">
        <v>11</v>
      </c>
      <c r="L801" s="433" t="s">
        <v>12</v>
      </c>
      <c r="M801" s="432" t="s">
        <v>13</v>
      </c>
    </row>
    <row r="802" spans="1:13" ht="14.25">
      <c r="B802" s="434" t="s">
        <v>14</v>
      </c>
      <c r="C802" s="320">
        <v>3400</v>
      </c>
      <c r="D802" s="325">
        <v>2550</v>
      </c>
      <c r="E802" s="325">
        <v>1912</v>
      </c>
      <c r="F802" s="325">
        <v>1434</v>
      </c>
      <c r="G802" s="325">
        <v>1076</v>
      </c>
      <c r="H802" s="325">
        <v>806</v>
      </c>
      <c r="I802" s="325">
        <v>606</v>
      </c>
      <c r="J802" s="325">
        <v>454</v>
      </c>
      <c r="K802" s="325">
        <v>340</v>
      </c>
      <c r="L802" s="325">
        <v>256</v>
      </c>
      <c r="M802" s="435">
        <v>192</v>
      </c>
    </row>
    <row r="803" spans="1:13" ht="14.25">
      <c r="B803" s="434" t="s">
        <v>15</v>
      </c>
      <c r="C803" s="320">
        <v>2600</v>
      </c>
      <c r="D803" s="325">
        <v>1950</v>
      </c>
      <c r="E803" s="325">
        <v>1462</v>
      </c>
      <c r="F803" s="325">
        <v>1096</v>
      </c>
      <c r="G803" s="325">
        <v>822</v>
      </c>
      <c r="H803" s="325">
        <v>616</v>
      </c>
      <c r="I803" s="325">
        <v>462</v>
      </c>
      <c r="J803" s="325">
        <v>348</v>
      </c>
      <c r="K803" s="325">
        <v>260</v>
      </c>
      <c r="L803" s="325">
        <v>196</v>
      </c>
      <c r="M803" s="435">
        <v>146</v>
      </c>
    </row>
    <row r="804" spans="1:13" ht="14.25">
      <c r="B804" s="434" t="s">
        <v>16</v>
      </c>
      <c r="C804" s="476" t="s">
        <v>18</v>
      </c>
      <c r="D804" s="477"/>
      <c r="E804" s="477"/>
      <c r="F804" s="477"/>
      <c r="G804" s="477"/>
      <c r="H804" s="477"/>
      <c r="I804" s="477"/>
      <c r="J804" s="477"/>
      <c r="K804" s="477"/>
      <c r="L804" s="477"/>
      <c r="M804" s="478"/>
    </row>
    <row r="805" spans="1:13" ht="14.25">
      <c r="B805" s="434" t="s">
        <v>17</v>
      </c>
      <c r="C805" s="476" t="s">
        <v>18</v>
      </c>
      <c r="D805" s="477"/>
      <c r="E805" s="477"/>
      <c r="F805" s="477"/>
      <c r="G805" s="477"/>
      <c r="H805" s="477"/>
      <c r="I805" s="477"/>
      <c r="J805" s="477"/>
      <c r="K805" s="477"/>
      <c r="L805" s="477"/>
      <c r="M805" s="478"/>
    </row>
    <row r="806" spans="1:13" ht="14.25">
      <c r="B806" s="440"/>
      <c r="C806" s="441"/>
      <c r="D806" s="441"/>
      <c r="E806" s="441"/>
      <c r="F806" s="441"/>
      <c r="G806" s="441"/>
      <c r="H806" s="441"/>
      <c r="I806" s="441"/>
      <c r="J806" s="441"/>
      <c r="K806" s="441"/>
      <c r="L806" s="441"/>
      <c r="M806" s="441"/>
    </row>
    <row r="807" spans="1:13" ht="18">
      <c r="B807" s="438" t="s">
        <v>80</v>
      </c>
      <c r="C807" s="438"/>
      <c r="D807" s="438"/>
      <c r="E807" s="438"/>
    </row>
    <row r="808" spans="1:13" ht="30" customHeight="1">
      <c r="A808" s="437"/>
      <c r="B808" s="431" t="s">
        <v>39</v>
      </c>
      <c r="C808" s="431"/>
      <c r="D808" s="431"/>
      <c r="E808" s="431"/>
    </row>
    <row r="809" spans="1:13" ht="14.25">
      <c r="B809" s="432" t="s">
        <v>2</v>
      </c>
      <c r="C809" s="433" t="s">
        <v>3</v>
      </c>
      <c r="D809" s="433" t="s">
        <v>4</v>
      </c>
      <c r="E809" s="433" t="s">
        <v>5</v>
      </c>
      <c r="F809" s="433" t="s">
        <v>6</v>
      </c>
      <c r="G809" s="433" t="s">
        <v>7</v>
      </c>
      <c r="H809" s="433" t="s">
        <v>8</v>
      </c>
      <c r="I809" s="433" t="s">
        <v>9</v>
      </c>
      <c r="J809" s="433" t="s">
        <v>10</v>
      </c>
      <c r="K809" s="433" t="s">
        <v>11</v>
      </c>
      <c r="L809" s="433" t="s">
        <v>12</v>
      </c>
      <c r="M809" s="432" t="s">
        <v>13</v>
      </c>
    </row>
    <row r="810" spans="1:13" ht="14.25">
      <c r="B810" s="434" t="s">
        <v>14</v>
      </c>
      <c r="C810" s="320">
        <v>3664</v>
      </c>
      <c r="D810" s="325">
        <v>2748</v>
      </c>
      <c r="E810" s="325">
        <v>2060</v>
      </c>
      <c r="F810" s="325">
        <v>1546</v>
      </c>
      <c r="G810" s="325">
        <v>1158</v>
      </c>
      <c r="H810" s="325">
        <v>870</v>
      </c>
      <c r="I810" s="325">
        <v>652</v>
      </c>
      <c r="J810" s="325">
        <v>488</v>
      </c>
      <c r="K810" s="325">
        <v>366</v>
      </c>
      <c r="L810" s="325">
        <v>276</v>
      </c>
      <c r="M810" s="435">
        <v>206</v>
      </c>
    </row>
    <row r="811" spans="1:13" ht="14.25">
      <c r="B811" s="434" t="s">
        <v>15</v>
      </c>
      <c r="C811" s="476" t="s">
        <v>18</v>
      </c>
      <c r="D811" s="477"/>
      <c r="E811" s="477"/>
      <c r="F811" s="477"/>
      <c r="G811" s="477"/>
      <c r="H811" s="477"/>
      <c r="I811" s="477"/>
      <c r="J811" s="477"/>
      <c r="K811" s="477"/>
      <c r="L811" s="477"/>
      <c r="M811" s="478"/>
    </row>
    <row r="812" spans="1:13" ht="14.25">
      <c r="B812" s="434" t="s">
        <v>16</v>
      </c>
      <c r="C812" s="476" t="s">
        <v>18</v>
      </c>
      <c r="D812" s="477"/>
      <c r="E812" s="477"/>
      <c r="F812" s="477"/>
      <c r="G812" s="477"/>
      <c r="H812" s="477"/>
      <c r="I812" s="477"/>
      <c r="J812" s="477"/>
      <c r="K812" s="477"/>
      <c r="L812" s="477"/>
      <c r="M812" s="478"/>
    </row>
    <row r="813" spans="1:13" ht="14.25">
      <c r="B813" s="434" t="s">
        <v>17</v>
      </c>
      <c r="C813" s="476" t="s">
        <v>18</v>
      </c>
      <c r="D813" s="477"/>
      <c r="E813" s="477"/>
      <c r="F813" s="477"/>
      <c r="G813" s="477"/>
      <c r="H813" s="477"/>
      <c r="I813" s="477"/>
      <c r="J813" s="477"/>
      <c r="K813" s="477"/>
      <c r="L813" s="477"/>
      <c r="M813" s="478"/>
    </row>
    <row r="814" spans="1:13" ht="14.25">
      <c r="B814" s="436"/>
      <c r="C814" s="436"/>
      <c r="D814" s="436"/>
      <c r="E814" s="436"/>
    </row>
    <row r="815" spans="1:13" ht="14.25">
      <c r="B815" s="431" t="s">
        <v>19</v>
      </c>
      <c r="C815" s="431"/>
      <c r="D815" s="431"/>
      <c r="E815" s="431"/>
    </row>
    <row r="816" spans="1:13" ht="14.25">
      <c r="B816" s="432" t="s">
        <v>2</v>
      </c>
      <c r="C816" s="433" t="s">
        <v>3</v>
      </c>
      <c r="D816" s="433" t="s">
        <v>4</v>
      </c>
      <c r="E816" s="433" t="s">
        <v>5</v>
      </c>
      <c r="F816" s="433" t="s">
        <v>6</v>
      </c>
      <c r="G816" s="433" t="s">
        <v>7</v>
      </c>
      <c r="H816" s="433" t="s">
        <v>8</v>
      </c>
      <c r="I816" s="433" t="s">
        <v>9</v>
      </c>
      <c r="J816" s="433" t="s">
        <v>10</v>
      </c>
      <c r="K816" s="433" t="s">
        <v>11</v>
      </c>
      <c r="L816" s="433" t="s">
        <v>12</v>
      </c>
      <c r="M816" s="432" t="s">
        <v>13</v>
      </c>
    </row>
    <row r="817" spans="1:13" ht="14.25">
      <c r="B817" s="434" t="s">
        <v>14</v>
      </c>
      <c r="C817" s="320">
        <v>4058</v>
      </c>
      <c r="D817" s="325">
        <v>3044</v>
      </c>
      <c r="E817" s="325">
        <v>2282</v>
      </c>
      <c r="F817" s="325">
        <v>1712</v>
      </c>
      <c r="G817" s="325">
        <v>1284</v>
      </c>
      <c r="H817" s="325">
        <v>962</v>
      </c>
      <c r="I817" s="325">
        <v>722</v>
      </c>
      <c r="J817" s="325">
        <v>542</v>
      </c>
      <c r="K817" s="325">
        <v>406</v>
      </c>
      <c r="L817" s="325">
        <v>304</v>
      </c>
      <c r="M817" s="435">
        <v>220</v>
      </c>
    </row>
    <row r="818" spans="1:13" ht="14.25">
      <c r="B818" s="434" t="s">
        <v>15</v>
      </c>
      <c r="C818" s="476" t="s">
        <v>18</v>
      </c>
      <c r="D818" s="477"/>
      <c r="E818" s="477"/>
      <c r="F818" s="477"/>
      <c r="G818" s="477"/>
      <c r="H818" s="477"/>
      <c r="I818" s="477"/>
      <c r="J818" s="477"/>
      <c r="K818" s="477"/>
      <c r="L818" s="477"/>
      <c r="M818" s="478"/>
    </row>
    <row r="819" spans="1:13" ht="14.25">
      <c r="B819" s="434" t="s">
        <v>16</v>
      </c>
      <c r="C819" s="476" t="s">
        <v>18</v>
      </c>
      <c r="D819" s="477"/>
      <c r="E819" s="477"/>
      <c r="F819" s="477"/>
      <c r="G819" s="477"/>
      <c r="H819" s="477"/>
      <c r="I819" s="477"/>
      <c r="J819" s="477"/>
      <c r="K819" s="477"/>
      <c r="L819" s="477"/>
      <c r="M819" s="478"/>
    </row>
    <row r="820" spans="1:13" ht="14.25">
      <c r="B820" s="434" t="s">
        <v>17</v>
      </c>
      <c r="C820" s="476" t="s">
        <v>18</v>
      </c>
      <c r="D820" s="477"/>
      <c r="E820" s="477"/>
      <c r="F820" s="477"/>
      <c r="G820" s="477"/>
      <c r="H820" s="477"/>
      <c r="I820" s="477"/>
      <c r="J820" s="477"/>
      <c r="K820" s="477"/>
      <c r="L820" s="477"/>
      <c r="M820" s="478"/>
    </row>
    <row r="821" spans="1:13" ht="14.25">
      <c r="B821" s="440"/>
      <c r="C821" s="441"/>
      <c r="D821" s="441"/>
      <c r="E821" s="441"/>
      <c r="F821" s="441"/>
      <c r="G821" s="441"/>
      <c r="H821" s="441"/>
      <c r="I821" s="441"/>
      <c r="J821" s="441"/>
      <c r="K821" s="441"/>
      <c r="L821" s="441"/>
      <c r="M821" s="441"/>
    </row>
    <row r="822" spans="1:13" ht="18">
      <c r="B822" s="438" t="s">
        <v>81</v>
      </c>
      <c r="C822" s="438"/>
      <c r="D822" s="438"/>
      <c r="E822" s="438"/>
    </row>
    <row r="823" spans="1:13" ht="30" customHeight="1">
      <c r="A823" s="437"/>
      <c r="B823" s="431" t="s">
        <v>39</v>
      </c>
      <c r="C823" s="431"/>
      <c r="D823" s="431"/>
      <c r="E823" s="431"/>
    </row>
    <row r="824" spans="1:13" ht="14.25">
      <c r="B824" s="432" t="s">
        <v>2</v>
      </c>
      <c r="C824" s="433" t="s">
        <v>3</v>
      </c>
      <c r="D824" s="433" t="s">
        <v>4</v>
      </c>
      <c r="E824" s="433" t="s">
        <v>5</v>
      </c>
      <c r="F824" s="433" t="s">
        <v>6</v>
      </c>
      <c r="G824" s="433" t="s">
        <v>7</v>
      </c>
      <c r="H824" s="433" t="s">
        <v>8</v>
      </c>
      <c r="I824" s="433" t="s">
        <v>9</v>
      </c>
      <c r="J824" s="433" t="s">
        <v>10</v>
      </c>
      <c r="K824" s="433" t="s">
        <v>11</v>
      </c>
      <c r="L824" s="433" t="s">
        <v>12</v>
      </c>
      <c r="M824" s="432" t="s">
        <v>13</v>
      </c>
    </row>
    <row r="825" spans="1:13" ht="14.25">
      <c r="B825" s="434" t="s">
        <v>14</v>
      </c>
      <c r="C825" s="320">
        <v>698</v>
      </c>
      <c r="D825" s="325">
        <v>524</v>
      </c>
      <c r="E825" s="325">
        <v>392</v>
      </c>
      <c r="F825" s="325">
        <v>294</v>
      </c>
      <c r="G825" s="325">
        <v>220</v>
      </c>
      <c r="H825" s="325">
        <v>166</v>
      </c>
      <c r="I825" s="325">
        <v>124</v>
      </c>
      <c r="J825" s="325">
        <v>94</v>
      </c>
      <c r="K825" s="325">
        <v>70</v>
      </c>
      <c r="L825" s="325">
        <v>52</v>
      </c>
      <c r="M825" s="435">
        <v>40</v>
      </c>
    </row>
    <row r="826" spans="1:13" ht="14.25">
      <c r="B826" s="434" t="s">
        <v>15</v>
      </c>
      <c r="C826" s="476" t="s">
        <v>18</v>
      </c>
      <c r="D826" s="477"/>
      <c r="E826" s="477"/>
      <c r="F826" s="477"/>
      <c r="G826" s="477"/>
      <c r="H826" s="477"/>
      <c r="I826" s="477"/>
      <c r="J826" s="477"/>
      <c r="K826" s="477"/>
      <c r="L826" s="477"/>
      <c r="M826" s="478"/>
    </row>
    <row r="827" spans="1:13" ht="14.25">
      <c r="B827" s="434" t="s">
        <v>16</v>
      </c>
      <c r="C827" s="476" t="s">
        <v>18</v>
      </c>
      <c r="D827" s="477"/>
      <c r="E827" s="477"/>
      <c r="F827" s="477"/>
      <c r="G827" s="477"/>
      <c r="H827" s="477"/>
      <c r="I827" s="477"/>
      <c r="J827" s="477"/>
      <c r="K827" s="477"/>
      <c r="L827" s="477"/>
      <c r="M827" s="478"/>
    </row>
    <row r="828" spans="1:13" ht="14.25">
      <c r="B828" s="434" t="s">
        <v>17</v>
      </c>
      <c r="C828" s="476" t="s">
        <v>18</v>
      </c>
      <c r="D828" s="477"/>
      <c r="E828" s="477"/>
      <c r="F828" s="477"/>
      <c r="G828" s="477"/>
      <c r="H828" s="477"/>
      <c r="I828" s="477"/>
      <c r="J828" s="477"/>
      <c r="K828" s="477"/>
      <c r="L828" s="477"/>
      <c r="M828" s="478"/>
    </row>
    <row r="829" spans="1:13" ht="14.25">
      <c r="B829" s="436"/>
      <c r="C829" s="436"/>
      <c r="D829" s="436"/>
      <c r="E829" s="436"/>
    </row>
    <row r="830" spans="1:13" ht="14.25">
      <c r="B830" s="431" t="s">
        <v>19</v>
      </c>
      <c r="C830" s="431"/>
      <c r="D830" s="431"/>
      <c r="E830" s="431"/>
    </row>
    <row r="831" spans="1:13" ht="14.25">
      <c r="B831" s="432" t="s">
        <v>2</v>
      </c>
      <c r="C831" s="433" t="s">
        <v>3</v>
      </c>
      <c r="D831" s="433" t="s">
        <v>4</v>
      </c>
      <c r="E831" s="433" t="s">
        <v>5</v>
      </c>
      <c r="F831" s="433" t="s">
        <v>6</v>
      </c>
      <c r="G831" s="433" t="s">
        <v>7</v>
      </c>
      <c r="H831" s="433" t="s">
        <v>8</v>
      </c>
      <c r="I831" s="433" t="s">
        <v>9</v>
      </c>
      <c r="J831" s="433" t="s">
        <v>10</v>
      </c>
      <c r="K831" s="433" t="s">
        <v>11</v>
      </c>
      <c r="L831" s="433" t="s">
        <v>12</v>
      </c>
      <c r="M831" s="432" t="s">
        <v>13</v>
      </c>
    </row>
    <row r="832" spans="1:13" ht="14.25">
      <c r="B832" s="434" t="s">
        <v>14</v>
      </c>
      <c r="C832" s="320">
        <v>2624</v>
      </c>
      <c r="D832" s="325">
        <v>2624</v>
      </c>
      <c r="E832" s="325">
        <v>1476</v>
      </c>
      <c r="F832" s="325">
        <v>1106</v>
      </c>
      <c r="G832" s="325">
        <v>830</v>
      </c>
      <c r="H832" s="325">
        <v>624</v>
      </c>
      <c r="I832" s="325">
        <v>468</v>
      </c>
      <c r="J832" s="325">
        <v>350</v>
      </c>
      <c r="K832" s="325">
        <v>264</v>
      </c>
      <c r="L832" s="325">
        <v>196</v>
      </c>
      <c r="M832" s="435">
        <v>148</v>
      </c>
    </row>
    <row r="833" spans="1:13" ht="14.25">
      <c r="B833" s="434" t="s">
        <v>15</v>
      </c>
      <c r="C833" s="476" t="s">
        <v>18</v>
      </c>
      <c r="D833" s="477"/>
      <c r="E833" s="477"/>
      <c r="F833" s="477"/>
      <c r="G833" s="477"/>
      <c r="H833" s="477"/>
      <c r="I833" s="477"/>
      <c r="J833" s="477"/>
      <c r="K833" s="477"/>
      <c r="L833" s="477"/>
      <c r="M833" s="478"/>
    </row>
    <row r="834" spans="1:13" ht="14.25">
      <c r="B834" s="434" t="s">
        <v>16</v>
      </c>
      <c r="C834" s="476" t="s">
        <v>18</v>
      </c>
      <c r="D834" s="477"/>
      <c r="E834" s="477"/>
      <c r="F834" s="477"/>
      <c r="G834" s="477"/>
      <c r="H834" s="477"/>
      <c r="I834" s="477"/>
      <c r="J834" s="477"/>
      <c r="K834" s="477"/>
      <c r="L834" s="477"/>
      <c r="M834" s="478"/>
    </row>
    <row r="835" spans="1:13" ht="14.25">
      <c r="B835" s="434" t="s">
        <v>17</v>
      </c>
      <c r="C835" s="476" t="s">
        <v>18</v>
      </c>
      <c r="D835" s="477"/>
      <c r="E835" s="477"/>
      <c r="F835" s="477"/>
      <c r="G835" s="477"/>
      <c r="H835" s="477"/>
      <c r="I835" s="477"/>
      <c r="J835" s="477"/>
      <c r="K835" s="477"/>
      <c r="L835" s="477"/>
      <c r="M835" s="478"/>
    </row>
    <row r="836" spans="1:13" ht="14.25">
      <c r="B836" s="440"/>
      <c r="C836" s="441"/>
      <c r="D836" s="441"/>
      <c r="E836" s="441"/>
      <c r="F836" s="441"/>
      <c r="G836" s="441"/>
      <c r="H836" s="441"/>
      <c r="I836" s="441"/>
      <c r="J836" s="441"/>
      <c r="K836" s="441"/>
      <c r="L836" s="441"/>
      <c r="M836" s="441"/>
    </row>
    <row r="837" spans="1:13" ht="18">
      <c r="B837" s="438" t="s">
        <v>82</v>
      </c>
      <c r="C837" s="438"/>
      <c r="D837" s="438"/>
      <c r="E837" s="438"/>
    </row>
    <row r="838" spans="1:13" ht="30" customHeight="1">
      <c r="A838" s="437"/>
      <c r="B838" s="431" t="s">
        <v>39</v>
      </c>
      <c r="C838" s="431"/>
      <c r="D838" s="431"/>
      <c r="E838" s="431"/>
    </row>
    <row r="839" spans="1:13" ht="14.25">
      <c r="B839" s="432" t="s">
        <v>2</v>
      </c>
      <c r="C839" s="433" t="s">
        <v>3</v>
      </c>
      <c r="D839" s="433" t="s">
        <v>4</v>
      </c>
      <c r="E839" s="433" t="s">
        <v>5</v>
      </c>
      <c r="F839" s="433" t="s">
        <v>6</v>
      </c>
      <c r="G839" s="433" t="s">
        <v>7</v>
      </c>
      <c r="H839" s="433" t="s">
        <v>8</v>
      </c>
      <c r="I839" s="433" t="s">
        <v>9</v>
      </c>
      <c r="J839" s="433" t="s">
        <v>10</v>
      </c>
      <c r="K839" s="433" t="s">
        <v>11</v>
      </c>
      <c r="L839" s="433" t="s">
        <v>12</v>
      </c>
      <c r="M839" s="432" t="s">
        <v>13</v>
      </c>
    </row>
    <row r="840" spans="1:13" ht="14.25">
      <c r="B840" s="434" t="s">
        <v>14</v>
      </c>
      <c r="C840" s="320">
        <v>2422</v>
      </c>
      <c r="D840" s="325">
        <v>1818</v>
      </c>
      <c r="E840" s="325">
        <v>1364</v>
      </c>
      <c r="F840" s="325">
        <v>1024</v>
      </c>
      <c r="G840" s="325">
        <v>768</v>
      </c>
      <c r="H840" s="325">
        <v>576</v>
      </c>
      <c r="I840" s="325">
        <v>432</v>
      </c>
      <c r="J840" s="325">
        <v>324</v>
      </c>
      <c r="K840" s="325">
        <v>244</v>
      </c>
      <c r="L840" s="325">
        <v>182</v>
      </c>
      <c r="M840" s="435">
        <v>136</v>
      </c>
    </row>
    <row r="841" spans="1:13" ht="14.25">
      <c r="B841" s="434" t="s">
        <v>15</v>
      </c>
      <c r="C841" s="320">
        <v>1452</v>
      </c>
      <c r="D841" s="325">
        <v>1090</v>
      </c>
      <c r="E841" s="325">
        <v>818</v>
      </c>
      <c r="F841" s="325">
        <v>614</v>
      </c>
      <c r="G841" s="325">
        <v>460</v>
      </c>
      <c r="H841" s="325">
        <v>346</v>
      </c>
      <c r="I841" s="325">
        <v>260</v>
      </c>
      <c r="J841" s="325">
        <v>194</v>
      </c>
      <c r="K841" s="325">
        <v>146</v>
      </c>
      <c r="L841" s="325">
        <v>110</v>
      </c>
      <c r="M841" s="435">
        <v>82</v>
      </c>
    </row>
    <row r="842" spans="1:13" ht="14.25">
      <c r="B842" s="434" t="s">
        <v>16</v>
      </c>
      <c r="C842" s="320">
        <v>726</v>
      </c>
      <c r="D842" s="325">
        <v>544</v>
      </c>
      <c r="E842" s="325">
        <v>408</v>
      </c>
      <c r="F842" s="325">
        <v>306</v>
      </c>
      <c r="G842" s="325">
        <v>230</v>
      </c>
      <c r="H842" s="325">
        <v>172</v>
      </c>
      <c r="I842" s="325">
        <v>130</v>
      </c>
      <c r="J842" s="325">
        <v>98</v>
      </c>
      <c r="K842" s="325">
        <v>72</v>
      </c>
      <c r="L842" s="325">
        <v>54</v>
      </c>
      <c r="M842" s="435">
        <v>42</v>
      </c>
    </row>
    <row r="843" spans="1:13" ht="14.25">
      <c r="B843" s="434" t="s">
        <v>17</v>
      </c>
      <c r="C843" s="476" t="s">
        <v>18</v>
      </c>
      <c r="D843" s="477"/>
      <c r="E843" s="477"/>
      <c r="F843" s="477"/>
      <c r="G843" s="477"/>
      <c r="H843" s="477"/>
      <c r="I843" s="477"/>
      <c r="J843" s="477"/>
      <c r="K843" s="477"/>
      <c r="L843" s="477"/>
      <c r="M843" s="478"/>
    </row>
    <row r="844" spans="1:13" ht="14.25">
      <c r="B844" s="436"/>
      <c r="C844" s="436"/>
      <c r="D844" s="436"/>
      <c r="E844" s="436"/>
    </row>
    <row r="845" spans="1:13" ht="14.25">
      <c r="B845" s="431" t="s">
        <v>19</v>
      </c>
      <c r="C845" s="431"/>
      <c r="D845" s="431"/>
      <c r="E845" s="431"/>
    </row>
    <row r="846" spans="1:13" ht="14.25">
      <c r="B846" s="432" t="s">
        <v>2</v>
      </c>
      <c r="C846" s="433" t="s">
        <v>3</v>
      </c>
      <c r="D846" s="433" t="s">
        <v>4</v>
      </c>
      <c r="E846" s="433" t="s">
        <v>5</v>
      </c>
      <c r="F846" s="433" t="s">
        <v>6</v>
      </c>
      <c r="G846" s="433" t="s">
        <v>7</v>
      </c>
      <c r="H846" s="433" t="s">
        <v>8</v>
      </c>
      <c r="I846" s="433" t="s">
        <v>9</v>
      </c>
      <c r="J846" s="433" t="s">
        <v>10</v>
      </c>
      <c r="K846" s="433" t="s">
        <v>11</v>
      </c>
      <c r="L846" s="433" t="s">
        <v>12</v>
      </c>
      <c r="M846" s="432" t="s">
        <v>13</v>
      </c>
    </row>
    <row r="847" spans="1:13" ht="14.25">
      <c r="B847" s="434" t="s">
        <v>14</v>
      </c>
      <c r="C847" s="320">
        <v>4320</v>
      </c>
      <c r="D847" s="325">
        <v>3238</v>
      </c>
      <c r="E847" s="325">
        <v>2428</v>
      </c>
      <c r="F847" s="325">
        <v>1820</v>
      </c>
      <c r="G847" s="325">
        <v>1364</v>
      </c>
      <c r="H847" s="325">
        <v>1022</v>
      </c>
      <c r="I847" s="325">
        <v>766</v>
      </c>
      <c r="J847" s="325">
        <v>574</v>
      </c>
      <c r="K847" s="325">
        <v>430</v>
      </c>
      <c r="L847" s="325">
        <v>322</v>
      </c>
      <c r="M847" s="435">
        <v>242</v>
      </c>
    </row>
    <row r="848" spans="1:13" ht="14.25">
      <c r="B848" s="434" t="s">
        <v>15</v>
      </c>
      <c r="C848" s="320">
        <v>2592</v>
      </c>
      <c r="D848" s="325">
        <v>1942</v>
      </c>
      <c r="E848" s="325">
        <v>1456</v>
      </c>
      <c r="F848" s="325">
        <v>1092</v>
      </c>
      <c r="G848" s="325">
        <v>818</v>
      </c>
      <c r="H848" s="325">
        <v>614</v>
      </c>
      <c r="I848" s="325">
        <v>460</v>
      </c>
      <c r="J848" s="325">
        <v>344</v>
      </c>
      <c r="K848" s="325">
        <v>258</v>
      </c>
      <c r="L848" s="325">
        <v>194</v>
      </c>
      <c r="M848" s="435">
        <v>146</v>
      </c>
    </row>
    <row r="849" spans="1:13" ht="14.25">
      <c r="B849" s="434" t="s">
        <v>16</v>
      </c>
      <c r="C849" s="320">
        <v>1296</v>
      </c>
      <c r="D849" s="325">
        <v>972</v>
      </c>
      <c r="E849" s="325">
        <v>728</v>
      </c>
      <c r="F849" s="325">
        <v>546</v>
      </c>
      <c r="G849" s="325">
        <v>412</v>
      </c>
      <c r="H849" s="325">
        <v>306</v>
      </c>
      <c r="I849" s="325">
        <v>230</v>
      </c>
      <c r="J849" s="325">
        <v>172</v>
      </c>
      <c r="K849" s="325">
        <v>130</v>
      </c>
      <c r="L849" s="325">
        <v>96</v>
      </c>
      <c r="M849" s="435">
        <v>72</v>
      </c>
    </row>
    <row r="850" spans="1:13" ht="14.25">
      <c r="B850" s="434" t="s">
        <v>17</v>
      </c>
      <c r="C850" s="476" t="s">
        <v>18</v>
      </c>
      <c r="D850" s="477"/>
      <c r="E850" s="477"/>
      <c r="F850" s="477"/>
      <c r="G850" s="477"/>
      <c r="H850" s="477"/>
      <c r="I850" s="477"/>
      <c r="J850" s="477"/>
      <c r="K850" s="477"/>
      <c r="L850" s="477"/>
      <c r="M850" s="478"/>
    </row>
    <row r="851" spans="1:13" ht="14.25">
      <c r="B851" s="440"/>
      <c r="C851" s="441"/>
      <c r="D851" s="441"/>
      <c r="E851" s="441"/>
      <c r="F851" s="441"/>
      <c r="G851" s="441"/>
      <c r="H851" s="441"/>
      <c r="I851" s="441"/>
      <c r="J851" s="441"/>
      <c r="K851" s="441"/>
      <c r="L851" s="441"/>
      <c r="M851" s="441"/>
    </row>
    <row r="852" spans="1:13" ht="18">
      <c r="B852" s="438" t="s">
        <v>83</v>
      </c>
      <c r="C852" s="438"/>
      <c r="D852" s="438"/>
      <c r="E852" s="438"/>
    </row>
    <row r="853" spans="1:13" ht="30" customHeight="1">
      <c r="A853" s="437"/>
      <c r="B853" s="431" t="s">
        <v>39</v>
      </c>
      <c r="C853" s="431"/>
      <c r="D853" s="431"/>
      <c r="E853" s="431"/>
    </row>
    <row r="854" spans="1:13" ht="14.25">
      <c r="B854" s="432" t="s">
        <v>2</v>
      </c>
      <c r="C854" s="433" t="s">
        <v>3</v>
      </c>
      <c r="D854" s="433" t="s">
        <v>4</v>
      </c>
      <c r="E854" s="433" t="s">
        <v>5</v>
      </c>
      <c r="F854" s="433" t="s">
        <v>6</v>
      </c>
      <c r="G854" s="433" t="s">
        <v>7</v>
      </c>
      <c r="H854" s="433" t="s">
        <v>8</v>
      </c>
      <c r="I854" s="433" t="s">
        <v>9</v>
      </c>
      <c r="J854" s="433" t="s">
        <v>10</v>
      </c>
      <c r="K854" s="433" t="s">
        <v>11</v>
      </c>
      <c r="L854" s="433" t="s">
        <v>12</v>
      </c>
      <c r="M854" s="432" t="s">
        <v>13</v>
      </c>
    </row>
    <row r="855" spans="1:13" ht="14.25">
      <c r="B855" s="434" t="s">
        <v>14</v>
      </c>
      <c r="C855" s="320">
        <v>3072</v>
      </c>
      <c r="D855" s="325">
        <v>2304</v>
      </c>
      <c r="E855" s="325">
        <v>1728</v>
      </c>
      <c r="F855" s="325">
        <v>1296</v>
      </c>
      <c r="G855" s="325">
        <v>972</v>
      </c>
      <c r="H855" s="325">
        <v>730</v>
      </c>
      <c r="I855" s="325">
        <v>546</v>
      </c>
      <c r="J855" s="325">
        <v>410</v>
      </c>
      <c r="K855" s="325">
        <v>308</v>
      </c>
      <c r="L855" s="325">
        <v>230</v>
      </c>
      <c r="M855" s="435">
        <v>174</v>
      </c>
    </row>
    <row r="856" spans="1:13" ht="14.25">
      <c r="B856" s="434" t="s">
        <v>15</v>
      </c>
      <c r="C856" s="476" t="s">
        <v>18</v>
      </c>
      <c r="D856" s="477"/>
      <c r="E856" s="477"/>
      <c r="F856" s="477"/>
      <c r="G856" s="477"/>
      <c r="H856" s="477"/>
      <c r="I856" s="477"/>
      <c r="J856" s="477"/>
      <c r="K856" s="477"/>
      <c r="L856" s="477"/>
      <c r="M856" s="478"/>
    </row>
    <row r="857" spans="1:13" ht="14.25">
      <c r="B857" s="434" t="s">
        <v>16</v>
      </c>
      <c r="C857" s="476" t="s">
        <v>18</v>
      </c>
      <c r="D857" s="477"/>
      <c r="E857" s="477"/>
      <c r="F857" s="477"/>
      <c r="G857" s="477"/>
      <c r="H857" s="477"/>
      <c r="I857" s="477"/>
      <c r="J857" s="477"/>
      <c r="K857" s="477"/>
      <c r="L857" s="477"/>
      <c r="M857" s="478"/>
    </row>
    <row r="858" spans="1:13" ht="14.25">
      <c r="B858" s="434" t="s">
        <v>17</v>
      </c>
      <c r="C858" s="476" t="s">
        <v>18</v>
      </c>
      <c r="D858" s="477"/>
      <c r="E858" s="477"/>
      <c r="F858" s="477"/>
      <c r="G858" s="477"/>
      <c r="H858" s="477"/>
      <c r="I858" s="477"/>
      <c r="J858" s="477"/>
      <c r="K858" s="477"/>
      <c r="L858" s="477"/>
      <c r="M858" s="478"/>
    </row>
    <row r="859" spans="1:13" ht="14.25">
      <c r="B859" s="436"/>
      <c r="C859" s="436"/>
      <c r="D859" s="436"/>
      <c r="E859" s="436"/>
    </row>
    <row r="860" spans="1:13" ht="14.25">
      <c r="B860" s="431" t="s">
        <v>19</v>
      </c>
      <c r="C860" s="431"/>
      <c r="D860" s="431"/>
      <c r="E860" s="431"/>
    </row>
    <row r="861" spans="1:13" ht="14.25">
      <c r="B861" s="432" t="s">
        <v>2</v>
      </c>
      <c r="C861" s="433" t="s">
        <v>3</v>
      </c>
      <c r="D861" s="433" t="s">
        <v>4</v>
      </c>
      <c r="E861" s="433" t="s">
        <v>5</v>
      </c>
      <c r="F861" s="433" t="s">
        <v>6</v>
      </c>
      <c r="G861" s="433" t="s">
        <v>7</v>
      </c>
      <c r="H861" s="433" t="s">
        <v>8</v>
      </c>
      <c r="I861" s="433" t="s">
        <v>9</v>
      </c>
      <c r="J861" s="433" t="s">
        <v>10</v>
      </c>
      <c r="K861" s="433" t="s">
        <v>11</v>
      </c>
      <c r="L861" s="433" t="s">
        <v>12</v>
      </c>
      <c r="M861" s="432" t="s">
        <v>13</v>
      </c>
    </row>
    <row r="862" spans="1:13" ht="14.25">
      <c r="B862" s="434" t="s">
        <v>14</v>
      </c>
      <c r="C862" s="320">
        <v>3352</v>
      </c>
      <c r="D862" s="325">
        <v>2514</v>
      </c>
      <c r="E862" s="325">
        <v>1886</v>
      </c>
      <c r="F862" s="325">
        <v>1414</v>
      </c>
      <c r="G862" s="325">
        <v>1060</v>
      </c>
      <c r="H862" s="325">
        <v>796</v>
      </c>
      <c r="I862" s="325">
        <v>596</v>
      </c>
      <c r="J862" s="325">
        <v>448</v>
      </c>
      <c r="K862" s="325">
        <v>336</v>
      </c>
      <c r="L862" s="325">
        <v>252</v>
      </c>
      <c r="M862" s="435">
        <v>188</v>
      </c>
    </row>
    <row r="863" spans="1:13" ht="14.25">
      <c r="B863" s="434" t="s">
        <v>15</v>
      </c>
      <c r="C863" s="476" t="s">
        <v>18</v>
      </c>
      <c r="D863" s="477"/>
      <c r="E863" s="477"/>
      <c r="F863" s="477"/>
      <c r="G863" s="477"/>
      <c r="H863" s="477"/>
      <c r="I863" s="477"/>
      <c r="J863" s="477"/>
      <c r="K863" s="477"/>
      <c r="L863" s="477"/>
      <c r="M863" s="478"/>
    </row>
    <row r="864" spans="1:13" ht="14.25">
      <c r="B864" s="434" t="s">
        <v>16</v>
      </c>
      <c r="C864" s="476" t="s">
        <v>18</v>
      </c>
      <c r="D864" s="477"/>
      <c r="E864" s="477"/>
      <c r="F864" s="477"/>
      <c r="G864" s="477"/>
      <c r="H864" s="477"/>
      <c r="I864" s="477"/>
      <c r="J864" s="477"/>
      <c r="K864" s="477"/>
      <c r="L864" s="477"/>
      <c r="M864" s="478"/>
    </row>
    <row r="865" spans="1:13" ht="14.25">
      <c r="B865" s="434" t="s">
        <v>17</v>
      </c>
      <c r="C865" s="476" t="s">
        <v>18</v>
      </c>
      <c r="D865" s="477"/>
      <c r="E865" s="477"/>
      <c r="F865" s="477"/>
      <c r="G865" s="477"/>
      <c r="H865" s="477"/>
      <c r="I865" s="477"/>
      <c r="J865" s="477"/>
      <c r="K865" s="477"/>
      <c r="L865" s="477"/>
      <c r="M865" s="478"/>
    </row>
    <row r="866" spans="1:13" ht="14.25">
      <c r="B866" s="440"/>
      <c r="C866" s="441"/>
      <c r="D866" s="441"/>
      <c r="E866" s="441"/>
      <c r="F866" s="441"/>
      <c r="G866" s="441"/>
      <c r="H866" s="441"/>
      <c r="I866" s="441"/>
      <c r="J866" s="441"/>
      <c r="K866" s="441"/>
      <c r="L866" s="441"/>
      <c r="M866" s="441"/>
    </row>
    <row r="867" spans="1:13" ht="18">
      <c r="B867" s="430" t="s">
        <v>84</v>
      </c>
      <c r="C867" s="430"/>
      <c r="D867" s="430"/>
      <c r="E867" s="430"/>
    </row>
    <row r="868" spans="1:13" ht="30" customHeight="1">
      <c r="A868" s="437"/>
      <c r="B868" s="442" t="s">
        <v>46</v>
      </c>
      <c r="C868" s="431"/>
      <c r="D868" s="431"/>
      <c r="E868" s="431"/>
    </row>
    <row r="869" spans="1:13" ht="14.25">
      <c r="B869" s="432" t="s">
        <v>2</v>
      </c>
      <c r="C869" s="433" t="s">
        <v>3</v>
      </c>
      <c r="D869" s="433" t="s">
        <v>4</v>
      </c>
      <c r="E869" s="433" t="s">
        <v>5</v>
      </c>
      <c r="F869" s="433" t="s">
        <v>6</v>
      </c>
      <c r="G869" s="433" t="s">
        <v>7</v>
      </c>
      <c r="H869" s="433" t="s">
        <v>8</v>
      </c>
      <c r="I869" s="433" t="s">
        <v>9</v>
      </c>
      <c r="J869" s="433" t="s">
        <v>10</v>
      </c>
      <c r="K869" s="433" t="s">
        <v>11</v>
      </c>
      <c r="L869" s="433" t="s">
        <v>12</v>
      </c>
      <c r="M869" s="432" t="s">
        <v>13</v>
      </c>
    </row>
    <row r="870" spans="1:13" ht="14.25">
      <c r="B870" s="434" t="s">
        <v>14</v>
      </c>
      <c r="C870" s="320">
        <v>586</v>
      </c>
      <c r="D870" s="325">
        <v>468</v>
      </c>
      <c r="E870" s="325">
        <v>380</v>
      </c>
      <c r="F870" s="325">
        <v>352</v>
      </c>
      <c r="G870" s="325">
        <v>294</v>
      </c>
      <c r="H870" s="325">
        <v>146</v>
      </c>
      <c r="I870" s="325">
        <v>58</v>
      </c>
      <c r="J870" s="325">
        <v>46</v>
      </c>
      <c r="K870" s="325">
        <v>36</v>
      </c>
      <c r="L870" s="325">
        <v>24</v>
      </c>
      <c r="M870" s="435">
        <v>20</v>
      </c>
    </row>
    <row r="871" spans="1:13" ht="14.25">
      <c r="B871" s="434" t="s">
        <v>15</v>
      </c>
      <c r="C871" s="325">
        <v>410</v>
      </c>
      <c r="D871" s="325">
        <v>328</v>
      </c>
      <c r="E871" s="325">
        <v>266</v>
      </c>
      <c r="F871" s="325">
        <v>246</v>
      </c>
      <c r="G871" s="325">
        <v>206</v>
      </c>
      <c r="H871" s="325">
        <v>102</v>
      </c>
      <c r="I871" s="325">
        <v>42</v>
      </c>
      <c r="J871" s="325">
        <v>32</v>
      </c>
      <c r="K871" s="325">
        <v>24</v>
      </c>
      <c r="L871" s="325">
        <v>16</v>
      </c>
      <c r="M871" s="435">
        <v>14</v>
      </c>
    </row>
    <row r="872" spans="1:13" ht="14.25">
      <c r="B872" s="434" t="s">
        <v>16</v>
      </c>
      <c r="C872" s="476" t="s">
        <v>18</v>
      </c>
      <c r="D872" s="477"/>
      <c r="E872" s="477"/>
      <c r="F872" s="477"/>
      <c r="G872" s="477"/>
      <c r="H872" s="477"/>
      <c r="I872" s="477"/>
      <c r="J872" s="477"/>
      <c r="K872" s="477"/>
      <c r="L872" s="477"/>
      <c r="M872" s="478"/>
    </row>
    <row r="873" spans="1:13" ht="14.25">
      <c r="B873" s="434" t="s">
        <v>17</v>
      </c>
      <c r="C873" s="476" t="s">
        <v>18</v>
      </c>
      <c r="D873" s="477"/>
      <c r="E873" s="477"/>
      <c r="F873" s="477"/>
      <c r="G873" s="477"/>
      <c r="H873" s="477"/>
      <c r="I873" s="477"/>
      <c r="J873" s="477"/>
      <c r="K873" s="477"/>
      <c r="L873" s="477"/>
      <c r="M873" s="478"/>
    </row>
    <row r="874" spans="1:13" ht="14.25">
      <c r="B874" s="440"/>
      <c r="C874" s="441"/>
      <c r="D874" s="441"/>
      <c r="E874" s="441"/>
      <c r="F874" s="441"/>
      <c r="G874" s="441"/>
      <c r="H874" s="441"/>
      <c r="I874" s="441"/>
      <c r="J874" s="441"/>
      <c r="K874" s="441"/>
      <c r="L874" s="441"/>
      <c r="M874" s="441"/>
    </row>
    <row r="875" spans="1:13" ht="18">
      <c r="B875" s="438" t="s">
        <v>83</v>
      </c>
      <c r="C875" s="438"/>
      <c r="D875" s="438"/>
      <c r="E875" s="438"/>
    </row>
    <row r="876" spans="1:13" ht="30" customHeight="1">
      <c r="A876" s="437"/>
      <c r="B876" s="431" t="s">
        <v>39</v>
      </c>
      <c r="C876" s="431"/>
      <c r="D876" s="431"/>
      <c r="E876" s="431"/>
    </row>
    <row r="877" spans="1:13" ht="14.25">
      <c r="B877" s="432" t="s">
        <v>2</v>
      </c>
      <c r="C877" s="433" t="s">
        <v>3</v>
      </c>
      <c r="D877" s="433" t="s">
        <v>4</v>
      </c>
      <c r="E877" s="433" t="s">
        <v>5</v>
      </c>
      <c r="F877" s="433" t="s">
        <v>6</v>
      </c>
      <c r="G877" s="433" t="s">
        <v>7</v>
      </c>
      <c r="H877" s="433" t="s">
        <v>8</v>
      </c>
      <c r="I877" s="433" t="s">
        <v>9</v>
      </c>
      <c r="J877" s="433" t="s">
        <v>10</v>
      </c>
      <c r="K877" s="433" t="s">
        <v>11</v>
      </c>
      <c r="L877" s="433" t="s">
        <v>12</v>
      </c>
      <c r="M877" s="432" t="s">
        <v>13</v>
      </c>
    </row>
    <row r="878" spans="1:13" ht="14.25">
      <c r="B878" s="434" t="s">
        <v>14</v>
      </c>
      <c r="C878" s="320">
        <v>3072</v>
      </c>
      <c r="D878" s="325">
        <v>2304</v>
      </c>
      <c r="E878" s="325">
        <v>1728</v>
      </c>
      <c r="F878" s="325">
        <v>1296</v>
      </c>
      <c r="G878" s="325">
        <v>972</v>
      </c>
      <c r="H878" s="325">
        <v>730</v>
      </c>
      <c r="I878" s="325">
        <v>546</v>
      </c>
      <c r="J878" s="325">
        <v>410</v>
      </c>
      <c r="K878" s="325">
        <v>308</v>
      </c>
      <c r="L878" s="325">
        <v>230</v>
      </c>
      <c r="M878" s="435">
        <v>174</v>
      </c>
    </row>
    <row r="879" spans="1:13" ht="14.25">
      <c r="B879" s="434" t="s">
        <v>15</v>
      </c>
      <c r="C879" s="476" t="s">
        <v>18</v>
      </c>
      <c r="D879" s="477"/>
      <c r="E879" s="477"/>
      <c r="F879" s="477"/>
      <c r="G879" s="477"/>
      <c r="H879" s="477"/>
      <c r="I879" s="477"/>
      <c r="J879" s="477"/>
      <c r="K879" s="477"/>
      <c r="L879" s="477"/>
      <c r="M879" s="478"/>
    </row>
    <row r="880" spans="1:13" ht="14.25">
      <c r="B880" s="434" t="s">
        <v>16</v>
      </c>
      <c r="C880" s="476" t="s">
        <v>18</v>
      </c>
      <c r="D880" s="477"/>
      <c r="E880" s="477"/>
      <c r="F880" s="477"/>
      <c r="G880" s="477"/>
      <c r="H880" s="477"/>
      <c r="I880" s="477"/>
      <c r="J880" s="477"/>
      <c r="K880" s="477"/>
      <c r="L880" s="477"/>
      <c r="M880" s="478"/>
    </row>
    <row r="881" spans="1:13" ht="14.25">
      <c r="B881" s="434" t="s">
        <v>17</v>
      </c>
      <c r="C881" s="476" t="s">
        <v>18</v>
      </c>
      <c r="D881" s="477"/>
      <c r="E881" s="477"/>
      <c r="F881" s="477"/>
      <c r="G881" s="477"/>
      <c r="H881" s="477"/>
      <c r="I881" s="477"/>
      <c r="J881" s="477"/>
      <c r="K881" s="477"/>
      <c r="L881" s="477"/>
      <c r="M881" s="478"/>
    </row>
    <row r="882" spans="1:13" ht="14.25">
      <c r="B882" s="436"/>
      <c r="C882" s="436"/>
      <c r="D882" s="436"/>
      <c r="E882" s="436"/>
    </row>
    <row r="883" spans="1:13" ht="14.25">
      <c r="B883" s="431" t="s">
        <v>19</v>
      </c>
      <c r="C883" s="431"/>
      <c r="D883" s="431"/>
      <c r="E883" s="431"/>
    </row>
    <row r="884" spans="1:13" ht="14.25">
      <c r="B884" s="432" t="s">
        <v>2</v>
      </c>
      <c r="C884" s="433" t="s">
        <v>3</v>
      </c>
      <c r="D884" s="433" t="s">
        <v>4</v>
      </c>
      <c r="E884" s="433" t="s">
        <v>5</v>
      </c>
      <c r="F884" s="433" t="s">
        <v>6</v>
      </c>
      <c r="G884" s="433" t="s">
        <v>7</v>
      </c>
      <c r="H884" s="433" t="s">
        <v>8</v>
      </c>
      <c r="I884" s="433" t="s">
        <v>9</v>
      </c>
      <c r="J884" s="433" t="s">
        <v>10</v>
      </c>
      <c r="K884" s="433" t="s">
        <v>11</v>
      </c>
      <c r="L884" s="433" t="s">
        <v>12</v>
      </c>
      <c r="M884" s="432" t="s">
        <v>13</v>
      </c>
    </row>
    <row r="885" spans="1:13" ht="14.25">
      <c r="B885" s="434" t="s">
        <v>14</v>
      </c>
      <c r="C885" s="320">
        <v>3352</v>
      </c>
      <c r="D885" s="325">
        <v>2514</v>
      </c>
      <c r="E885" s="325">
        <v>1886</v>
      </c>
      <c r="F885" s="325">
        <v>1414</v>
      </c>
      <c r="G885" s="325">
        <v>1060</v>
      </c>
      <c r="H885" s="325">
        <v>796</v>
      </c>
      <c r="I885" s="325">
        <v>596</v>
      </c>
      <c r="J885" s="325">
        <v>448</v>
      </c>
      <c r="K885" s="325">
        <v>336</v>
      </c>
      <c r="L885" s="325">
        <v>252</v>
      </c>
      <c r="M885" s="435">
        <v>188</v>
      </c>
    </row>
    <row r="886" spans="1:13" ht="14.25">
      <c r="B886" s="434" t="s">
        <v>15</v>
      </c>
      <c r="C886" s="476" t="s">
        <v>18</v>
      </c>
      <c r="D886" s="477"/>
      <c r="E886" s="477"/>
      <c r="F886" s="477"/>
      <c r="G886" s="477"/>
      <c r="H886" s="477"/>
      <c r="I886" s="477"/>
      <c r="J886" s="477"/>
      <c r="K886" s="477"/>
      <c r="L886" s="477"/>
      <c r="M886" s="478"/>
    </row>
    <row r="887" spans="1:13" ht="14.25">
      <c r="B887" s="434" t="s">
        <v>16</v>
      </c>
      <c r="C887" s="476" t="s">
        <v>18</v>
      </c>
      <c r="D887" s="477"/>
      <c r="E887" s="477"/>
      <c r="F887" s="477"/>
      <c r="G887" s="477"/>
      <c r="H887" s="477"/>
      <c r="I887" s="477"/>
      <c r="J887" s="477"/>
      <c r="K887" s="477"/>
      <c r="L887" s="477"/>
      <c r="M887" s="478"/>
    </row>
    <row r="888" spans="1:13" ht="14.25">
      <c r="B888" s="434" t="s">
        <v>17</v>
      </c>
      <c r="C888" s="476" t="s">
        <v>18</v>
      </c>
      <c r="D888" s="477"/>
      <c r="E888" s="477"/>
      <c r="F888" s="477"/>
      <c r="G888" s="477"/>
      <c r="H888" s="477"/>
      <c r="I888" s="477"/>
      <c r="J888" s="477"/>
      <c r="K888" s="477"/>
      <c r="L888" s="477"/>
      <c r="M888" s="478"/>
    </row>
    <row r="889" spans="1:13" ht="14.25">
      <c r="B889" s="440"/>
      <c r="C889" s="441"/>
      <c r="D889" s="441"/>
      <c r="E889" s="441"/>
      <c r="F889" s="441"/>
      <c r="G889" s="441"/>
      <c r="H889" s="441"/>
      <c r="I889" s="441"/>
      <c r="J889" s="441"/>
      <c r="K889" s="441"/>
      <c r="L889" s="441"/>
      <c r="M889" s="441"/>
    </row>
    <row r="890" spans="1:13" ht="18">
      <c r="B890" s="438" t="s">
        <v>85</v>
      </c>
      <c r="C890" s="438"/>
      <c r="D890" s="438"/>
      <c r="E890" s="438"/>
    </row>
    <row r="891" spans="1:13" ht="30" customHeight="1">
      <c r="A891" s="437"/>
      <c r="B891" s="431" t="s">
        <v>39</v>
      </c>
      <c r="C891" s="431"/>
      <c r="D891" s="431"/>
      <c r="E891" s="431"/>
    </row>
    <row r="892" spans="1:13" ht="14.25">
      <c r="B892" s="432" t="s">
        <v>2</v>
      </c>
      <c r="C892" s="433" t="s">
        <v>3</v>
      </c>
      <c r="D892" s="433" t="s">
        <v>4</v>
      </c>
      <c r="E892" s="433" t="s">
        <v>5</v>
      </c>
      <c r="F892" s="433" t="s">
        <v>6</v>
      </c>
      <c r="G892" s="433" t="s">
        <v>7</v>
      </c>
      <c r="H892" s="433" t="s">
        <v>8</v>
      </c>
      <c r="I892" s="433" t="s">
        <v>9</v>
      </c>
      <c r="J892" s="433" t="s">
        <v>10</v>
      </c>
      <c r="K892" s="433" t="s">
        <v>11</v>
      </c>
      <c r="L892" s="433" t="s">
        <v>12</v>
      </c>
      <c r="M892" s="432" t="s">
        <v>13</v>
      </c>
    </row>
    <row r="893" spans="1:13" ht="14.25">
      <c r="B893" s="434" t="s">
        <v>14</v>
      </c>
      <c r="C893" s="320">
        <v>4534</v>
      </c>
      <c r="D893" s="325">
        <v>3534</v>
      </c>
      <c r="E893" s="325">
        <v>2534</v>
      </c>
      <c r="F893" s="325">
        <v>1934</v>
      </c>
      <c r="G893" s="325">
        <v>1334</v>
      </c>
      <c r="H893" s="325">
        <v>734</v>
      </c>
      <c r="I893" s="325">
        <v>334</v>
      </c>
      <c r="J893" s="325">
        <v>234</v>
      </c>
      <c r="K893" s="325">
        <v>134</v>
      </c>
      <c r="L893" s="325">
        <v>74</v>
      </c>
      <c r="M893" s="435">
        <v>54</v>
      </c>
    </row>
    <row r="894" spans="1:13" ht="14.25">
      <c r="B894" s="434" t="s">
        <v>15</v>
      </c>
      <c r="C894" s="325">
        <v>3534</v>
      </c>
      <c r="D894" s="325">
        <v>2534</v>
      </c>
      <c r="E894" s="325">
        <v>1934</v>
      </c>
      <c r="F894" s="325">
        <v>1334</v>
      </c>
      <c r="G894" s="325">
        <v>734</v>
      </c>
      <c r="H894" s="325">
        <v>334</v>
      </c>
      <c r="I894" s="325">
        <v>234</v>
      </c>
      <c r="J894" s="325">
        <v>134</v>
      </c>
      <c r="K894" s="325">
        <v>74</v>
      </c>
      <c r="L894" s="435">
        <v>54</v>
      </c>
      <c r="M894" s="435">
        <v>40</v>
      </c>
    </row>
    <row r="895" spans="1:13" ht="14.25">
      <c r="B895" s="434" t="s">
        <v>16</v>
      </c>
      <c r="C895" s="325">
        <v>2534</v>
      </c>
      <c r="D895" s="325">
        <v>1934</v>
      </c>
      <c r="E895" s="325">
        <v>1334</v>
      </c>
      <c r="F895" s="325">
        <v>734</v>
      </c>
      <c r="G895" s="325">
        <v>334</v>
      </c>
      <c r="H895" s="325">
        <v>234</v>
      </c>
      <c r="I895" s="325">
        <v>134</v>
      </c>
      <c r="J895" s="325">
        <v>74</v>
      </c>
      <c r="K895" s="435">
        <v>54</v>
      </c>
      <c r="L895" s="435">
        <v>40</v>
      </c>
      <c r="M895" s="435">
        <v>20</v>
      </c>
    </row>
    <row r="896" spans="1:13" ht="14.25">
      <c r="B896" s="434" t="s">
        <v>17</v>
      </c>
      <c r="C896" s="476" t="s">
        <v>18</v>
      </c>
      <c r="D896" s="477"/>
      <c r="E896" s="477"/>
      <c r="F896" s="477"/>
      <c r="G896" s="477"/>
      <c r="H896" s="477"/>
      <c r="I896" s="477"/>
      <c r="J896" s="477"/>
      <c r="K896" s="477"/>
      <c r="L896" s="477"/>
      <c r="M896" s="478"/>
    </row>
    <row r="897" spans="1:13" ht="14.25">
      <c r="B897" s="436"/>
      <c r="C897" s="436"/>
      <c r="D897" s="436"/>
      <c r="E897" s="436"/>
    </row>
    <row r="898" spans="1:13" ht="14.25">
      <c r="B898" s="431" t="s">
        <v>19</v>
      </c>
      <c r="C898" s="431"/>
      <c r="D898" s="431"/>
      <c r="E898" s="431"/>
    </row>
    <row r="899" spans="1:13" ht="14.25">
      <c r="B899" s="432" t="s">
        <v>2</v>
      </c>
      <c r="C899" s="433" t="s">
        <v>3</v>
      </c>
      <c r="D899" s="433" t="s">
        <v>4</v>
      </c>
      <c r="E899" s="433" t="s">
        <v>5</v>
      </c>
      <c r="F899" s="433" t="s">
        <v>6</v>
      </c>
      <c r="G899" s="433" t="s">
        <v>7</v>
      </c>
      <c r="H899" s="433" t="s">
        <v>8</v>
      </c>
      <c r="I899" s="433" t="s">
        <v>9</v>
      </c>
      <c r="J899" s="433" t="s">
        <v>10</v>
      </c>
      <c r="K899" s="433" t="s">
        <v>11</v>
      </c>
      <c r="L899" s="433" t="s">
        <v>12</v>
      </c>
      <c r="M899" s="432" t="s">
        <v>13</v>
      </c>
    </row>
    <row r="900" spans="1:13" ht="14.25">
      <c r="B900" s="434" t="s">
        <v>14</v>
      </c>
      <c r="C900" s="320">
        <v>5894</v>
      </c>
      <c r="D900" s="325">
        <v>4594</v>
      </c>
      <c r="E900" s="325">
        <v>3294</v>
      </c>
      <c r="F900" s="325">
        <v>2514</v>
      </c>
      <c r="G900" s="325">
        <v>1734</v>
      </c>
      <c r="H900" s="325">
        <v>954</v>
      </c>
      <c r="I900" s="325">
        <v>434</v>
      </c>
      <c r="J900" s="325">
        <v>304</v>
      </c>
      <c r="K900" s="325">
        <v>174</v>
      </c>
      <c r="L900" s="325">
        <v>96</v>
      </c>
      <c r="M900" s="435">
        <v>70</v>
      </c>
    </row>
    <row r="901" spans="1:13" ht="14.25">
      <c r="B901" s="434" t="s">
        <v>15</v>
      </c>
      <c r="C901" s="325">
        <v>4594</v>
      </c>
      <c r="D901" s="325">
        <v>3294</v>
      </c>
      <c r="E901" s="325">
        <v>2514</v>
      </c>
      <c r="F901" s="325">
        <v>1734</v>
      </c>
      <c r="G901" s="325">
        <v>954</v>
      </c>
      <c r="H901" s="325">
        <v>434</v>
      </c>
      <c r="I901" s="325">
        <v>304</v>
      </c>
      <c r="J901" s="325">
        <v>174</v>
      </c>
      <c r="K901" s="325">
        <v>96</v>
      </c>
      <c r="L901" s="435">
        <v>70</v>
      </c>
      <c r="M901" s="435">
        <v>52</v>
      </c>
    </row>
    <row r="902" spans="1:13" ht="14.25">
      <c r="B902" s="434" t="s">
        <v>16</v>
      </c>
      <c r="C902" s="325">
        <v>3294</v>
      </c>
      <c r="D902" s="325">
        <v>2514</v>
      </c>
      <c r="E902" s="325">
        <v>1734</v>
      </c>
      <c r="F902" s="325">
        <v>954</v>
      </c>
      <c r="G902" s="325">
        <v>434</v>
      </c>
      <c r="H902" s="325">
        <v>304</v>
      </c>
      <c r="I902" s="325">
        <v>174</v>
      </c>
      <c r="J902" s="325">
        <v>96</v>
      </c>
      <c r="K902" s="435">
        <v>70</v>
      </c>
      <c r="L902" s="435">
        <v>52</v>
      </c>
      <c r="M902" s="435">
        <v>26</v>
      </c>
    </row>
    <row r="903" spans="1:13" ht="14.25">
      <c r="B903" s="434" t="s">
        <v>17</v>
      </c>
      <c r="C903" s="476" t="s">
        <v>18</v>
      </c>
      <c r="D903" s="477"/>
      <c r="E903" s="477"/>
      <c r="F903" s="477"/>
      <c r="G903" s="477"/>
      <c r="H903" s="477"/>
      <c r="I903" s="477"/>
      <c r="J903" s="477"/>
      <c r="K903" s="477"/>
      <c r="L903" s="477"/>
      <c r="M903" s="478"/>
    </row>
    <row r="904" spans="1:13" ht="14.25">
      <c r="B904" s="440"/>
      <c r="C904" s="441"/>
      <c r="D904" s="441"/>
      <c r="E904" s="441"/>
      <c r="F904" s="441"/>
      <c r="G904" s="441"/>
      <c r="H904" s="441"/>
      <c r="I904" s="441"/>
      <c r="J904" s="441"/>
      <c r="K904" s="441"/>
      <c r="L904" s="441"/>
      <c r="M904" s="441"/>
    </row>
    <row r="905" spans="1:13" ht="18">
      <c r="B905" s="438" t="s">
        <v>86</v>
      </c>
      <c r="C905" s="438"/>
      <c r="D905" s="438"/>
      <c r="E905" s="438"/>
    </row>
    <row r="906" spans="1:13" ht="30" customHeight="1">
      <c r="A906" s="437"/>
      <c r="B906" s="431" t="s">
        <v>39</v>
      </c>
      <c r="C906" s="431"/>
      <c r="D906" s="431"/>
      <c r="E906" s="431"/>
    </row>
    <row r="907" spans="1:13" ht="14.25">
      <c r="B907" s="432" t="s">
        <v>2</v>
      </c>
      <c r="C907" s="433" t="s">
        <v>3</v>
      </c>
      <c r="D907" s="433" t="s">
        <v>4</v>
      </c>
      <c r="E907" s="433" t="s">
        <v>5</v>
      </c>
      <c r="F907" s="433" t="s">
        <v>6</v>
      </c>
      <c r="G907" s="433" t="s">
        <v>7</v>
      </c>
      <c r="H907" s="433" t="s">
        <v>8</v>
      </c>
      <c r="I907" s="433" t="s">
        <v>9</v>
      </c>
      <c r="J907" s="433" t="s">
        <v>10</v>
      </c>
      <c r="K907" s="433" t="s">
        <v>11</v>
      </c>
      <c r="L907" s="433" t="s">
        <v>12</v>
      </c>
      <c r="M907" s="432" t="s">
        <v>13</v>
      </c>
    </row>
    <row r="908" spans="1:13" ht="14.25">
      <c r="B908" s="434" t="s">
        <v>14</v>
      </c>
      <c r="C908" s="320">
        <v>2000</v>
      </c>
      <c r="D908" s="325">
        <v>1514</v>
      </c>
      <c r="E908" s="325">
        <v>1146</v>
      </c>
      <c r="F908" s="325">
        <v>868</v>
      </c>
      <c r="G908" s="325">
        <v>658</v>
      </c>
      <c r="H908" s="325">
        <v>498</v>
      </c>
      <c r="I908" s="325">
        <v>376</v>
      </c>
      <c r="J908" s="325">
        <v>286</v>
      </c>
      <c r="K908" s="325">
        <v>216</v>
      </c>
      <c r="L908" s="325">
        <v>164</v>
      </c>
      <c r="M908" s="435">
        <v>124</v>
      </c>
    </row>
    <row r="909" spans="1:13" ht="14.25">
      <c r="B909" s="434" t="s">
        <v>15</v>
      </c>
      <c r="C909" s="325">
        <v>1514</v>
      </c>
      <c r="D909" s="325">
        <v>1146</v>
      </c>
      <c r="E909" s="325">
        <v>868</v>
      </c>
      <c r="F909" s="325">
        <v>658</v>
      </c>
      <c r="G909" s="325">
        <v>498</v>
      </c>
      <c r="H909" s="325">
        <v>376</v>
      </c>
      <c r="I909" s="325">
        <v>286</v>
      </c>
      <c r="J909" s="325">
        <v>216</v>
      </c>
      <c r="K909" s="325">
        <v>164</v>
      </c>
      <c r="L909" s="435">
        <v>124</v>
      </c>
      <c r="M909" s="435">
        <v>82</v>
      </c>
    </row>
    <row r="910" spans="1:13" ht="14.25">
      <c r="B910" s="434" t="s">
        <v>16</v>
      </c>
      <c r="C910" s="325">
        <v>1146</v>
      </c>
      <c r="D910" s="325">
        <v>868</v>
      </c>
      <c r="E910" s="325">
        <v>658</v>
      </c>
      <c r="F910" s="325">
        <v>498</v>
      </c>
      <c r="G910" s="325">
        <v>376</v>
      </c>
      <c r="H910" s="325">
        <v>286</v>
      </c>
      <c r="I910" s="325">
        <v>216</v>
      </c>
      <c r="J910" s="325">
        <v>164</v>
      </c>
      <c r="K910" s="435">
        <v>124</v>
      </c>
      <c r="L910" s="435">
        <v>82</v>
      </c>
      <c r="M910" s="435">
        <v>40</v>
      </c>
    </row>
    <row r="911" spans="1:13" ht="14.25">
      <c r="B911" s="434" t="s">
        <v>17</v>
      </c>
      <c r="C911" s="476" t="s">
        <v>18</v>
      </c>
      <c r="D911" s="477"/>
      <c r="E911" s="477"/>
      <c r="F911" s="477"/>
      <c r="G911" s="477"/>
      <c r="H911" s="477"/>
      <c r="I911" s="477"/>
      <c r="J911" s="477"/>
      <c r="K911" s="477"/>
      <c r="L911" s="477"/>
      <c r="M911" s="478"/>
    </row>
    <row r="912" spans="1:13" ht="14.25">
      <c r="B912" s="436"/>
      <c r="C912" s="436"/>
      <c r="D912" s="436"/>
      <c r="E912" s="436"/>
    </row>
    <row r="913" spans="1:13" ht="14.25">
      <c r="B913" s="431" t="s">
        <v>19</v>
      </c>
      <c r="C913" s="431"/>
      <c r="D913" s="431"/>
      <c r="E913" s="431"/>
    </row>
    <row r="914" spans="1:13" ht="14.25">
      <c r="B914" s="432" t="s">
        <v>2</v>
      </c>
      <c r="C914" s="433" t="s">
        <v>3</v>
      </c>
      <c r="D914" s="433" t="s">
        <v>4</v>
      </c>
      <c r="E914" s="433" t="s">
        <v>5</v>
      </c>
      <c r="F914" s="433" t="s">
        <v>6</v>
      </c>
      <c r="G914" s="433" t="s">
        <v>7</v>
      </c>
      <c r="H914" s="433" t="s">
        <v>8</v>
      </c>
      <c r="I914" s="433" t="s">
        <v>9</v>
      </c>
      <c r="J914" s="433" t="s">
        <v>10</v>
      </c>
      <c r="K914" s="433" t="s">
        <v>11</v>
      </c>
      <c r="L914" s="433" t="s">
        <v>12</v>
      </c>
      <c r="M914" s="432" t="s">
        <v>13</v>
      </c>
    </row>
    <row r="915" spans="1:13" ht="14.25">
      <c r="B915" s="434" t="s">
        <v>14</v>
      </c>
      <c r="C915" s="320">
        <v>3800</v>
      </c>
      <c r="D915" s="325">
        <v>2862</v>
      </c>
      <c r="E915" s="325">
        <v>2156</v>
      </c>
      <c r="F915" s="325">
        <v>1624</v>
      </c>
      <c r="G915" s="325">
        <v>1224</v>
      </c>
      <c r="H915" s="325">
        <v>922</v>
      </c>
      <c r="I915" s="325">
        <v>694</v>
      </c>
      <c r="J915" s="325">
        <v>522</v>
      </c>
      <c r="K915" s="325">
        <v>394</v>
      </c>
      <c r="L915" s="325">
        <v>296</v>
      </c>
      <c r="M915" s="435">
        <v>224</v>
      </c>
    </row>
    <row r="916" spans="1:13" ht="14.25">
      <c r="B916" s="434" t="s">
        <v>15</v>
      </c>
      <c r="C916" s="325">
        <v>2862</v>
      </c>
      <c r="D916" s="325">
        <v>2156</v>
      </c>
      <c r="E916" s="325">
        <v>1624</v>
      </c>
      <c r="F916" s="325">
        <v>1224</v>
      </c>
      <c r="G916" s="325">
        <v>922</v>
      </c>
      <c r="H916" s="325">
        <v>694</v>
      </c>
      <c r="I916" s="325">
        <v>522</v>
      </c>
      <c r="J916" s="325">
        <v>394</v>
      </c>
      <c r="K916" s="325">
        <v>296</v>
      </c>
      <c r="L916" s="435">
        <v>224</v>
      </c>
      <c r="M916" s="435">
        <v>156</v>
      </c>
    </row>
    <row r="917" spans="1:13" ht="14.25">
      <c r="B917" s="434" t="s">
        <v>16</v>
      </c>
      <c r="C917" s="325">
        <v>2156</v>
      </c>
      <c r="D917" s="325">
        <v>1624</v>
      </c>
      <c r="E917" s="325">
        <v>1224</v>
      </c>
      <c r="F917" s="325">
        <v>922</v>
      </c>
      <c r="G917" s="325">
        <v>694</v>
      </c>
      <c r="H917" s="325">
        <v>522</v>
      </c>
      <c r="I917" s="325">
        <v>394</v>
      </c>
      <c r="J917" s="325">
        <v>296</v>
      </c>
      <c r="K917" s="435">
        <v>224</v>
      </c>
      <c r="L917" s="435">
        <v>156</v>
      </c>
      <c r="M917" s="435">
        <v>80</v>
      </c>
    </row>
    <row r="918" spans="1:13" ht="14.25">
      <c r="B918" s="434" t="s">
        <v>17</v>
      </c>
      <c r="C918" s="476" t="s">
        <v>18</v>
      </c>
      <c r="D918" s="477"/>
      <c r="E918" s="477"/>
      <c r="F918" s="477"/>
      <c r="G918" s="477"/>
      <c r="H918" s="477"/>
      <c r="I918" s="477"/>
      <c r="J918" s="477"/>
      <c r="K918" s="477"/>
      <c r="L918" s="477"/>
      <c r="M918" s="478"/>
    </row>
    <row r="919" spans="1:13" ht="14.25">
      <c r="B919" s="440"/>
      <c r="C919" s="441"/>
      <c r="D919" s="441"/>
      <c r="E919" s="441"/>
      <c r="F919" s="441"/>
      <c r="G919" s="441"/>
      <c r="H919" s="441"/>
      <c r="I919" s="441"/>
      <c r="J919" s="441"/>
      <c r="K919" s="441"/>
      <c r="L919" s="441"/>
      <c r="M919" s="441"/>
    </row>
    <row r="920" spans="1:13" ht="18">
      <c r="B920" s="438" t="s">
        <v>87</v>
      </c>
      <c r="C920" s="438"/>
      <c r="D920" s="438"/>
      <c r="E920" s="438"/>
    </row>
    <row r="921" spans="1:13" ht="30" customHeight="1">
      <c r="A921" s="437"/>
      <c r="B921" s="442" t="s">
        <v>46</v>
      </c>
      <c r="C921" s="431"/>
      <c r="D921" s="431"/>
      <c r="E921" s="431"/>
    </row>
    <row r="922" spans="1:13" ht="14.25">
      <c r="B922" s="432" t="s">
        <v>2</v>
      </c>
      <c r="C922" s="433" t="s">
        <v>3</v>
      </c>
      <c r="D922" s="433" t="s">
        <v>4</v>
      </c>
      <c r="E922" s="433" t="s">
        <v>5</v>
      </c>
      <c r="F922" s="433" t="s">
        <v>6</v>
      </c>
      <c r="G922" s="433" t="s">
        <v>7</v>
      </c>
      <c r="H922" s="433" t="s">
        <v>8</v>
      </c>
      <c r="I922" s="433" t="s">
        <v>9</v>
      </c>
      <c r="J922" s="433" t="s">
        <v>10</v>
      </c>
      <c r="K922" s="433" t="s">
        <v>11</v>
      </c>
      <c r="L922" s="433" t="s">
        <v>12</v>
      </c>
      <c r="M922" s="432" t="s">
        <v>13</v>
      </c>
    </row>
    <row r="923" spans="1:13" ht="14.25">
      <c r="B923" s="434" t="s">
        <v>14</v>
      </c>
      <c r="C923" s="320">
        <v>900</v>
      </c>
      <c r="D923" s="325">
        <v>720</v>
      </c>
      <c r="E923" s="325">
        <v>586</v>
      </c>
      <c r="F923" s="325">
        <v>540</v>
      </c>
      <c r="G923" s="325">
        <v>450</v>
      </c>
      <c r="H923" s="325">
        <v>226</v>
      </c>
      <c r="I923" s="325">
        <v>90</v>
      </c>
      <c r="J923" s="325">
        <v>72</v>
      </c>
      <c r="K923" s="325">
        <v>54</v>
      </c>
      <c r="L923" s="325">
        <v>36</v>
      </c>
      <c r="M923" s="435">
        <v>32</v>
      </c>
    </row>
    <row r="924" spans="1:13" ht="14.25">
      <c r="B924" s="434" t="s">
        <v>15</v>
      </c>
      <c r="C924" s="325">
        <v>630</v>
      </c>
      <c r="D924" s="325">
        <v>504</v>
      </c>
      <c r="E924" s="325">
        <v>410</v>
      </c>
      <c r="F924" s="325">
        <v>378</v>
      </c>
      <c r="G924" s="325">
        <v>316</v>
      </c>
      <c r="H924" s="325">
        <v>158</v>
      </c>
      <c r="I924" s="325">
        <v>64</v>
      </c>
      <c r="J924" s="325">
        <v>50</v>
      </c>
      <c r="K924" s="325">
        <v>38</v>
      </c>
      <c r="L924" s="435">
        <v>26</v>
      </c>
      <c r="M924" s="435">
        <v>22</v>
      </c>
    </row>
    <row r="925" spans="1:13" ht="14.25">
      <c r="B925" s="434" t="s">
        <v>16</v>
      </c>
      <c r="C925" s="476" t="s">
        <v>18</v>
      </c>
      <c r="D925" s="477"/>
      <c r="E925" s="477"/>
      <c r="F925" s="477"/>
      <c r="G925" s="477"/>
      <c r="H925" s="477"/>
      <c r="I925" s="477"/>
      <c r="J925" s="477"/>
      <c r="K925" s="477"/>
      <c r="L925" s="477"/>
      <c r="M925" s="478"/>
    </row>
    <row r="926" spans="1:13" ht="14.25">
      <c r="B926" s="434" t="s">
        <v>17</v>
      </c>
      <c r="C926" s="476" t="s">
        <v>18</v>
      </c>
      <c r="D926" s="477"/>
      <c r="E926" s="477"/>
      <c r="F926" s="477"/>
      <c r="G926" s="477"/>
      <c r="H926" s="477"/>
      <c r="I926" s="477"/>
      <c r="J926" s="477"/>
      <c r="K926" s="477"/>
      <c r="L926" s="477"/>
      <c r="M926" s="478"/>
    </row>
    <row r="927" spans="1:13" ht="14.25">
      <c r="B927" s="440"/>
      <c r="C927" s="441"/>
      <c r="D927" s="441"/>
      <c r="E927" s="441"/>
      <c r="F927" s="441"/>
      <c r="G927" s="441"/>
      <c r="H927" s="441"/>
      <c r="I927" s="441"/>
      <c r="J927" s="441"/>
      <c r="K927" s="441"/>
      <c r="L927" s="441"/>
      <c r="M927" s="441"/>
    </row>
    <row r="928" spans="1:13" ht="18">
      <c r="B928" s="438" t="s">
        <v>88</v>
      </c>
      <c r="C928" s="438"/>
      <c r="D928" s="438"/>
      <c r="E928" s="438"/>
    </row>
    <row r="929" spans="1:13" ht="30" customHeight="1">
      <c r="A929" s="437"/>
      <c r="B929" s="442" t="s">
        <v>46</v>
      </c>
      <c r="C929" s="431"/>
      <c r="D929" s="431"/>
      <c r="E929" s="431"/>
    </row>
    <row r="930" spans="1:13" ht="14.25">
      <c r="B930" s="432" t="s">
        <v>2</v>
      </c>
      <c r="C930" s="433" t="s">
        <v>3</v>
      </c>
      <c r="D930" s="433" t="s">
        <v>4</v>
      </c>
      <c r="E930" s="433" t="s">
        <v>5</v>
      </c>
      <c r="F930" s="433" t="s">
        <v>6</v>
      </c>
      <c r="G930" s="433" t="s">
        <v>7</v>
      </c>
      <c r="H930" s="433" t="s">
        <v>8</v>
      </c>
      <c r="I930" s="433" t="s">
        <v>9</v>
      </c>
      <c r="J930" s="433" t="s">
        <v>10</v>
      </c>
      <c r="K930" s="433" t="s">
        <v>11</v>
      </c>
      <c r="L930" s="433" t="s">
        <v>12</v>
      </c>
      <c r="M930" s="432" t="s">
        <v>13</v>
      </c>
    </row>
    <row r="931" spans="1:13" ht="14.25">
      <c r="B931" s="434" t="s">
        <v>14</v>
      </c>
      <c r="C931" s="320">
        <v>460</v>
      </c>
      <c r="D931" s="325">
        <v>368</v>
      </c>
      <c r="E931" s="325">
        <v>300</v>
      </c>
      <c r="F931" s="325">
        <v>276</v>
      </c>
      <c r="G931" s="325">
        <v>230</v>
      </c>
      <c r="H931" s="325">
        <v>116</v>
      </c>
      <c r="I931" s="325">
        <v>46</v>
      </c>
      <c r="J931" s="325">
        <v>36</v>
      </c>
      <c r="K931" s="325">
        <v>28</v>
      </c>
      <c r="L931" s="325">
        <v>18</v>
      </c>
      <c r="M931" s="435">
        <v>16</v>
      </c>
    </row>
    <row r="932" spans="1:13" ht="14.25">
      <c r="B932" s="434" t="s">
        <v>15</v>
      </c>
      <c r="C932" s="325">
        <v>322</v>
      </c>
      <c r="D932" s="325">
        <v>258</v>
      </c>
      <c r="E932" s="325">
        <v>210</v>
      </c>
      <c r="F932" s="325">
        <v>194</v>
      </c>
      <c r="G932" s="325">
        <v>162</v>
      </c>
      <c r="H932" s="325">
        <v>80</v>
      </c>
      <c r="I932" s="325">
        <v>32</v>
      </c>
      <c r="J932" s="325">
        <v>26</v>
      </c>
      <c r="K932" s="325">
        <v>20</v>
      </c>
      <c r="L932" s="435">
        <v>12</v>
      </c>
      <c r="M932" s="435">
        <v>10</v>
      </c>
    </row>
    <row r="933" spans="1:13" ht="14.25">
      <c r="B933" s="434" t="s">
        <v>16</v>
      </c>
      <c r="C933" s="476" t="s">
        <v>18</v>
      </c>
      <c r="D933" s="477"/>
      <c r="E933" s="477"/>
      <c r="F933" s="477"/>
      <c r="G933" s="477"/>
      <c r="H933" s="477"/>
      <c r="I933" s="477"/>
      <c r="J933" s="477"/>
      <c r="K933" s="477"/>
      <c r="L933" s="477"/>
      <c r="M933" s="478"/>
    </row>
    <row r="934" spans="1:13" ht="14.25">
      <c r="B934" s="434" t="s">
        <v>17</v>
      </c>
      <c r="C934" s="476" t="s">
        <v>18</v>
      </c>
      <c r="D934" s="477"/>
      <c r="E934" s="477"/>
      <c r="F934" s="477"/>
      <c r="G934" s="477"/>
      <c r="H934" s="477"/>
      <c r="I934" s="477"/>
      <c r="J934" s="477"/>
      <c r="K934" s="477"/>
      <c r="L934" s="477"/>
      <c r="M934" s="478"/>
    </row>
    <row r="935" spans="1:13" ht="14.25">
      <c r="B935" s="440"/>
      <c r="C935" s="441"/>
      <c r="D935" s="441"/>
      <c r="E935" s="441"/>
      <c r="F935" s="441"/>
      <c r="G935" s="441"/>
      <c r="H935" s="441"/>
      <c r="I935" s="441"/>
      <c r="J935" s="441"/>
      <c r="K935" s="441"/>
      <c r="L935" s="441"/>
      <c r="M935" s="441"/>
    </row>
    <row r="936" spans="1:13" ht="18">
      <c r="B936" s="438" t="s">
        <v>89</v>
      </c>
      <c r="C936" s="438"/>
      <c r="D936" s="438"/>
      <c r="E936" s="438"/>
    </row>
    <row r="937" spans="1:13" ht="30" customHeight="1">
      <c r="A937" s="437"/>
      <c r="B937" s="431" t="s">
        <v>39</v>
      </c>
      <c r="C937" s="431"/>
      <c r="D937" s="431"/>
      <c r="E937" s="431"/>
    </row>
    <row r="938" spans="1:13" ht="14.25">
      <c r="B938" s="432" t="s">
        <v>2</v>
      </c>
      <c r="C938" s="433" t="s">
        <v>3</v>
      </c>
      <c r="D938" s="433" t="s">
        <v>4</v>
      </c>
      <c r="E938" s="433" t="s">
        <v>5</v>
      </c>
      <c r="F938" s="433" t="s">
        <v>6</v>
      </c>
      <c r="G938" s="433" t="s">
        <v>7</v>
      </c>
      <c r="H938" s="433" t="s">
        <v>8</v>
      </c>
      <c r="I938" s="433" t="s">
        <v>9</v>
      </c>
      <c r="J938" s="433" t="s">
        <v>10</v>
      </c>
      <c r="K938" s="433" t="s">
        <v>11</v>
      </c>
      <c r="L938" s="433" t="s">
        <v>12</v>
      </c>
      <c r="M938" s="432" t="s">
        <v>13</v>
      </c>
    </row>
    <row r="939" spans="1:13" ht="14.25">
      <c r="B939" s="434" t="s">
        <v>14</v>
      </c>
      <c r="C939" s="320">
        <v>10000</v>
      </c>
      <c r="D939" s="325">
        <v>8400</v>
      </c>
      <c r="E939" s="325">
        <v>6200</v>
      </c>
      <c r="F939" s="325">
        <v>4000</v>
      </c>
      <c r="G939" s="325">
        <v>2600</v>
      </c>
      <c r="H939" s="325">
        <v>1600</v>
      </c>
      <c r="I939" s="325">
        <v>1200</v>
      </c>
      <c r="J939" s="325">
        <v>600</v>
      </c>
      <c r="K939" s="325">
        <v>200</v>
      </c>
      <c r="L939" s="325">
        <v>140</v>
      </c>
      <c r="M939" s="435">
        <v>80</v>
      </c>
    </row>
    <row r="940" spans="1:13" ht="14.25">
      <c r="B940" s="434" t="s">
        <v>15</v>
      </c>
      <c r="C940" s="325">
        <v>8400</v>
      </c>
      <c r="D940" s="325">
        <v>6200</v>
      </c>
      <c r="E940" s="325">
        <v>4000</v>
      </c>
      <c r="F940" s="325">
        <v>2600</v>
      </c>
      <c r="G940" s="325">
        <v>1600</v>
      </c>
      <c r="H940" s="325">
        <v>1200</v>
      </c>
      <c r="I940" s="325">
        <v>600</v>
      </c>
      <c r="J940" s="325">
        <v>200</v>
      </c>
      <c r="K940" s="325">
        <v>140</v>
      </c>
      <c r="L940" s="435">
        <v>80</v>
      </c>
      <c r="M940" s="435">
        <v>60</v>
      </c>
    </row>
    <row r="941" spans="1:13" ht="14.25">
      <c r="B941" s="434" t="s">
        <v>16</v>
      </c>
      <c r="C941" s="476" t="s">
        <v>18</v>
      </c>
      <c r="D941" s="477"/>
      <c r="E941" s="477"/>
      <c r="F941" s="477"/>
      <c r="G941" s="477"/>
      <c r="H941" s="477"/>
      <c r="I941" s="477"/>
      <c r="J941" s="477"/>
      <c r="K941" s="477"/>
      <c r="L941" s="477"/>
      <c r="M941" s="478"/>
    </row>
    <row r="942" spans="1:13" ht="14.25">
      <c r="B942" s="434" t="s">
        <v>17</v>
      </c>
      <c r="C942" s="476" t="s">
        <v>18</v>
      </c>
      <c r="D942" s="477"/>
      <c r="E942" s="477"/>
      <c r="F942" s="477"/>
      <c r="G942" s="477"/>
      <c r="H942" s="477"/>
      <c r="I942" s="477"/>
      <c r="J942" s="477"/>
      <c r="K942" s="477"/>
      <c r="L942" s="477"/>
      <c r="M942" s="478"/>
    </row>
    <row r="943" spans="1:13" ht="14.25">
      <c r="B943" s="436"/>
      <c r="C943" s="436"/>
      <c r="D943" s="436"/>
      <c r="E943" s="436"/>
    </row>
    <row r="944" spans="1:13" ht="14.25">
      <c r="B944" s="431" t="s">
        <v>19</v>
      </c>
      <c r="C944" s="431"/>
      <c r="D944" s="431"/>
      <c r="E944" s="431"/>
    </row>
    <row r="945" spans="1:13" ht="14.25">
      <c r="B945" s="432" t="s">
        <v>2</v>
      </c>
      <c r="C945" s="433" t="s">
        <v>3</v>
      </c>
      <c r="D945" s="433" t="s">
        <v>4</v>
      </c>
      <c r="E945" s="433" t="s">
        <v>5</v>
      </c>
      <c r="F945" s="433" t="s">
        <v>6</v>
      </c>
      <c r="G945" s="433" t="s">
        <v>7</v>
      </c>
      <c r="H945" s="433" t="s">
        <v>8</v>
      </c>
      <c r="I945" s="433" t="s">
        <v>9</v>
      </c>
      <c r="J945" s="433" t="s">
        <v>10</v>
      </c>
      <c r="K945" s="433" t="s">
        <v>11</v>
      </c>
      <c r="L945" s="433" t="s">
        <v>12</v>
      </c>
      <c r="M945" s="432" t="s">
        <v>13</v>
      </c>
    </row>
    <row r="946" spans="1:13" ht="14.25">
      <c r="B946" s="434" t="s">
        <v>14</v>
      </c>
      <c r="C946" s="320">
        <v>12284</v>
      </c>
      <c r="D946" s="325">
        <v>10684</v>
      </c>
      <c r="E946" s="325">
        <v>8484</v>
      </c>
      <c r="F946" s="325">
        <v>6284</v>
      </c>
      <c r="G946" s="325">
        <v>4884</v>
      </c>
      <c r="H946" s="325">
        <v>3884</v>
      </c>
      <c r="I946" s="325">
        <v>3484</v>
      </c>
      <c r="J946" s="325">
        <v>2884</v>
      </c>
      <c r="K946" s="325">
        <v>2484</v>
      </c>
      <c r="L946" s="325">
        <v>1000</v>
      </c>
      <c r="M946" s="435">
        <v>200</v>
      </c>
    </row>
    <row r="947" spans="1:13" ht="14.25">
      <c r="B947" s="434" t="s">
        <v>15</v>
      </c>
      <c r="C947" s="325">
        <v>10684</v>
      </c>
      <c r="D947" s="325">
        <v>8484</v>
      </c>
      <c r="E947" s="325">
        <v>6284</v>
      </c>
      <c r="F947" s="325">
        <v>4884</v>
      </c>
      <c r="G947" s="325">
        <v>3884</v>
      </c>
      <c r="H947" s="325">
        <v>3484</v>
      </c>
      <c r="I947" s="325">
        <v>2884</v>
      </c>
      <c r="J947" s="325">
        <v>2484</v>
      </c>
      <c r="K947" s="325">
        <v>1000</v>
      </c>
      <c r="L947" s="435">
        <v>200</v>
      </c>
      <c r="M947" s="435">
        <v>140</v>
      </c>
    </row>
    <row r="948" spans="1:13" ht="14.25">
      <c r="B948" s="434" t="s">
        <v>16</v>
      </c>
      <c r="C948" s="476" t="s">
        <v>18</v>
      </c>
      <c r="D948" s="477"/>
      <c r="E948" s="477"/>
      <c r="F948" s="477"/>
      <c r="G948" s="477"/>
      <c r="H948" s="477"/>
      <c r="I948" s="477"/>
      <c r="J948" s="477"/>
      <c r="K948" s="477"/>
      <c r="L948" s="477"/>
      <c r="M948" s="478"/>
    </row>
    <row r="949" spans="1:13" ht="14.25">
      <c r="B949" s="434" t="s">
        <v>17</v>
      </c>
      <c r="C949" s="476" t="s">
        <v>18</v>
      </c>
      <c r="D949" s="477"/>
      <c r="E949" s="477"/>
      <c r="F949" s="477"/>
      <c r="G949" s="477"/>
      <c r="H949" s="477"/>
      <c r="I949" s="477"/>
      <c r="J949" s="477"/>
      <c r="K949" s="477"/>
      <c r="L949" s="477"/>
      <c r="M949" s="478"/>
    </row>
    <row r="950" spans="1:13" ht="14.25">
      <c r="B950" s="440"/>
      <c r="C950" s="441"/>
      <c r="D950" s="441"/>
      <c r="E950" s="441"/>
      <c r="F950" s="441"/>
      <c r="G950" s="441"/>
      <c r="H950" s="441"/>
      <c r="I950" s="441"/>
      <c r="J950" s="441"/>
      <c r="K950" s="441"/>
      <c r="L950" s="441"/>
      <c r="M950" s="441"/>
    </row>
    <row r="951" spans="1:13" ht="18">
      <c r="B951" s="438" t="s">
        <v>90</v>
      </c>
      <c r="C951" s="438"/>
      <c r="D951" s="438"/>
      <c r="E951" s="438"/>
    </row>
    <row r="952" spans="1:13" ht="30" customHeight="1">
      <c r="A952" s="437"/>
      <c r="B952" s="431" t="s">
        <v>39</v>
      </c>
      <c r="C952" s="431"/>
      <c r="D952" s="431"/>
      <c r="E952" s="431"/>
    </row>
    <row r="953" spans="1:13" ht="14.25">
      <c r="B953" s="432" t="s">
        <v>2</v>
      </c>
      <c r="C953" s="433" t="s">
        <v>3</v>
      </c>
      <c r="D953" s="433" t="s">
        <v>4</v>
      </c>
      <c r="E953" s="433" t="s">
        <v>5</v>
      </c>
      <c r="F953" s="433" t="s">
        <v>6</v>
      </c>
      <c r="G953" s="433" t="s">
        <v>7</v>
      </c>
      <c r="H953" s="433" t="s">
        <v>8</v>
      </c>
      <c r="I953" s="433" t="s">
        <v>9</v>
      </c>
      <c r="J953" s="433" t="s">
        <v>10</v>
      </c>
      <c r="K953" s="433" t="s">
        <v>11</v>
      </c>
      <c r="L953" s="433" t="s">
        <v>12</v>
      </c>
      <c r="M953" s="432" t="s">
        <v>13</v>
      </c>
    </row>
    <row r="954" spans="1:13" ht="14.25">
      <c r="B954" s="434" t="s">
        <v>14</v>
      </c>
      <c r="C954" s="320">
        <v>1060</v>
      </c>
      <c r="D954" s="325">
        <v>796</v>
      </c>
      <c r="E954" s="325">
        <v>596</v>
      </c>
      <c r="F954" s="325">
        <v>448</v>
      </c>
      <c r="G954" s="325">
        <v>336</v>
      </c>
      <c r="H954" s="325">
        <v>252</v>
      </c>
      <c r="I954" s="325">
        <v>188</v>
      </c>
      <c r="J954" s="325">
        <v>140</v>
      </c>
      <c r="K954" s="325">
        <v>108</v>
      </c>
      <c r="L954" s="325">
        <v>80</v>
      </c>
      <c r="M954" s="435">
        <v>60</v>
      </c>
    </row>
    <row r="955" spans="1:13" ht="14.25">
      <c r="B955" s="434" t="s">
        <v>15</v>
      </c>
      <c r="C955" s="325">
        <v>776</v>
      </c>
      <c r="D955" s="325">
        <v>584</v>
      </c>
      <c r="E955" s="325">
        <v>436</v>
      </c>
      <c r="F955" s="325">
        <v>328</v>
      </c>
      <c r="G955" s="325">
        <v>244</v>
      </c>
      <c r="H955" s="325">
        <v>184</v>
      </c>
      <c r="I955" s="325">
        <v>140</v>
      </c>
      <c r="J955" s="325">
        <v>104</v>
      </c>
      <c r="K955" s="325">
        <v>76</v>
      </c>
      <c r="L955" s="435">
        <v>60</v>
      </c>
      <c r="M955" s="435">
        <v>44</v>
      </c>
    </row>
    <row r="956" spans="1:13" ht="14.25">
      <c r="B956" s="434" t="s">
        <v>16</v>
      </c>
      <c r="C956" s="325">
        <v>424</v>
      </c>
      <c r="D956" s="325">
        <v>320</v>
      </c>
      <c r="E956" s="325">
        <v>240</v>
      </c>
      <c r="F956" s="325">
        <v>180</v>
      </c>
      <c r="G956" s="325">
        <v>136</v>
      </c>
      <c r="H956" s="325">
        <v>100</v>
      </c>
      <c r="I956" s="325">
        <v>76</v>
      </c>
      <c r="J956" s="325">
        <v>56</v>
      </c>
      <c r="K956" s="325">
        <v>44</v>
      </c>
      <c r="L956" s="435">
        <v>32</v>
      </c>
      <c r="M956" s="435">
        <v>24</v>
      </c>
    </row>
    <row r="957" spans="1:13" ht="14.25">
      <c r="B957" s="434" t="s">
        <v>17</v>
      </c>
      <c r="C957" s="476" t="s">
        <v>18</v>
      </c>
      <c r="D957" s="477"/>
      <c r="E957" s="477"/>
      <c r="F957" s="477"/>
      <c r="G957" s="477"/>
      <c r="H957" s="477"/>
      <c r="I957" s="477"/>
      <c r="J957" s="477"/>
      <c r="K957" s="477"/>
      <c r="L957" s="477"/>
      <c r="M957" s="478"/>
    </row>
    <row r="958" spans="1:13" ht="14.25">
      <c r="B958" s="436"/>
      <c r="C958" s="436"/>
      <c r="D958" s="436"/>
      <c r="E958" s="436"/>
    </row>
    <row r="959" spans="1:13" ht="14.25">
      <c r="B959" s="431" t="s">
        <v>19</v>
      </c>
      <c r="C959" s="431"/>
      <c r="D959" s="431"/>
      <c r="E959" s="431"/>
    </row>
    <row r="960" spans="1:13" ht="14.25">
      <c r="B960" s="432" t="s">
        <v>2</v>
      </c>
      <c r="C960" s="433" t="s">
        <v>3</v>
      </c>
      <c r="D960" s="433" t="s">
        <v>4</v>
      </c>
      <c r="E960" s="433" t="s">
        <v>5</v>
      </c>
      <c r="F960" s="433" t="s">
        <v>6</v>
      </c>
      <c r="G960" s="433" t="s">
        <v>7</v>
      </c>
      <c r="H960" s="433" t="s">
        <v>8</v>
      </c>
      <c r="I960" s="433" t="s">
        <v>9</v>
      </c>
      <c r="J960" s="433" t="s">
        <v>10</v>
      </c>
      <c r="K960" s="433" t="s">
        <v>11</v>
      </c>
      <c r="L960" s="433" t="s">
        <v>12</v>
      </c>
      <c r="M960" s="432" t="s">
        <v>13</v>
      </c>
    </row>
    <row r="961" spans="1:13" ht="14.25">
      <c r="B961" s="434" t="s">
        <v>14</v>
      </c>
      <c r="C961" s="320">
        <v>1830</v>
      </c>
      <c r="D961" s="325">
        <v>1374</v>
      </c>
      <c r="E961" s="325">
        <v>1032</v>
      </c>
      <c r="F961" s="325">
        <v>774</v>
      </c>
      <c r="G961" s="325">
        <v>582</v>
      </c>
      <c r="H961" s="325">
        <v>432</v>
      </c>
      <c r="I961" s="325">
        <v>324</v>
      </c>
      <c r="J961" s="325">
        <v>246</v>
      </c>
      <c r="K961" s="325">
        <v>186</v>
      </c>
      <c r="L961" s="325">
        <v>138</v>
      </c>
      <c r="M961" s="435">
        <v>102</v>
      </c>
    </row>
    <row r="962" spans="1:13" ht="14.25">
      <c r="B962" s="434" t="s">
        <v>15</v>
      </c>
      <c r="C962" s="325">
        <v>1338</v>
      </c>
      <c r="D962" s="325">
        <v>1002</v>
      </c>
      <c r="E962" s="325">
        <v>750</v>
      </c>
      <c r="F962" s="325">
        <v>564</v>
      </c>
      <c r="G962" s="325">
        <v>426</v>
      </c>
      <c r="H962" s="325">
        <v>318</v>
      </c>
      <c r="I962" s="325">
        <v>240</v>
      </c>
      <c r="J962" s="325">
        <v>180</v>
      </c>
      <c r="K962" s="325">
        <v>132</v>
      </c>
      <c r="L962" s="435">
        <v>102</v>
      </c>
      <c r="M962" s="435">
        <v>78</v>
      </c>
    </row>
    <row r="963" spans="1:13" ht="14.25">
      <c r="B963" s="434" t="s">
        <v>16</v>
      </c>
      <c r="C963" s="325">
        <v>732</v>
      </c>
      <c r="D963" s="325">
        <v>552</v>
      </c>
      <c r="E963" s="325">
        <v>414</v>
      </c>
      <c r="F963" s="325">
        <v>306</v>
      </c>
      <c r="G963" s="325">
        <v>234</v>
      </c>
      <c r="H963" s="325">
        <v>174</v>
      </c>
      <c r="I963" s="325">
        <v>132</v>
      </c>
      <c r="J963" s="325">
        <v>96</v>
      </c>
      <c r="K963" s="325">
        <v>72</v>
      </c>
      <c r="L963" s="435">
        <v>54</v>
      </c>
      <c r="M963" s="435">
        <v>42</v>
      </c>
    </row>
    <row r="964" spans="1:13" ht="14.25">
      <c r="B964" s="434" t="s">
        <v>17</v>
      </c>
      <c r="C964" s="476" t="s">
        <v>18</v>
      </c>
      <c r="D964" s="477"/>
      <c r="E964" s="477"/>
      <c r="F964" s="477"/>
      <c r="G964" s="477"/>
      <c r="H964" s="477"/>
      <c r="I964" s="477"/>
      <c r="J964" s="477"/>
      <c r="K964" s="477"/>
      <c r="L964" s="477"/>
      <c r="M964" s="478"/>
    </row>
    <row r="965" spans="1:13" ht="14.25">
      <c r="B965" s="440"/>
      <c r="C965" s="441"/>
      <c r="D965" s="441"/>
      <c r="E965" s="441"/>
      <c r="F965" s="441"/>
      <c r="G965" s="441"/>
      <c r="H965" s="441"/>
      <c r="I965" s="441"/>
      <c r="J965" s="441"/>
      <c r="K965" s="441"/>
      <c r="L965" s="441"/>
      <c r="M965" s="441"/>
    </row>
    <row r="966" spans="1:13" ht="18">
      <c r="B966" s="430" t="s">
        <v>91</v>
      </c>
      <c r="C966" s="430"/>
      <c r="D966" s="430"/>
      <c r="E966" s="430"/>
    </row>
    <row r="967" spans="1:13" ht="30" customHeight="1">
      <c r="A967" s="437"/>
      <c r="B967" s="431" t="s">
        <v>39</v>
      </c>
      <c r="C967" s="431"/>
      <c r="D967" s="431"/>
      <c r="E967" s="431"/>
    </row>
    <row r="968" spans="1:13" ht="14.25">
      <c r="B968" s="432" t="s">
        <v>2</v>
      </c>
      <c r="C968" s="433" t="s">
        <v>3</v>
      </c>
      <c r="D968" s="433" t="s">
        <v>4</v>
      </c>
      <c r="E968" s="433" t="s">
        <v>5</v>
      </c>
      <c r="F968" s="433" t="s">
        <v>6</v>
      </c>
      <c r="G968" s="433" t="s">
        <v>7</v>
      </c>
      <c r="H968" s="433" t="s">
        <v>8</v>
      </c>
      <c r="I968" s="433" t="s">
        <v>9</v>
      </c>
      <c r="J968" s="433" t="s">
        <v>10</v>
      </c>
      <c r="K968" s="433" t="s">
        <v>11</v>
      </c>
      <c r="L968" s="433" t="s">
        <v>12</v>
      </c>
      <c r="M968" s="432" t="s">
        <v>13</v>
      </c>
    </row>
    <row r="969" spans="1:13" ht="14.25">
      <c r="B969" s="434" t="s">
        <v>14</v>
      </c>
      <c r="C969" s="320">
        <v>2332</v>
      </c>
      <c r="D969" s="325">
        <v>1748</v>
      </c>
      <c r="E969" s="325">
        <v>1312</v>
      </c>
      <c r="F969" s="325">
        <v>984</v>
      </c>
      <c r="G969" s="325">
        <v>738</v>
      </c>
      <c r="H969" s="325">
        <v>554</v>
      </c>
      <c r="I969" s="325">
        <v>414</v>
      </c>
      <c r="J969" s="325">
        <v>312</v>
      </c>
      <c r="K969" s="325">
        <v>234</v>
      </c>
      <c r="L969" s="325">
        <v>176</v>
      </c>
      <c r="M969" s="435">
        <v>132</v>
      </c>
    </row>
    <row r="970" spans="1:13" ht="14.25">
      <c r="B970" s="434" t="s">
        <v>15</v>
      </c>
      <c r="C970" s="325">
        <v>1440</v>
      </c>
      <c r="D970" s="325">
        <v>1080</v>
      </c>
      <c r="E970" s="325">
        <v>810</v>
      </c>
      <c r="F970" s="325">
        <v>608</v>
      </c>
      <c r="G970" s="325">
        <v>456</v>
      </c>
      <c r="H970" s="325">
        <v>342</v>
      </c>
      <c r="I970" s="325">
        <v>256</v>
      </c>
      <c r="J970" s="325">
        <v>192</v>
      </c>
      <c r="K970" s="325">
        <v>144</v>
      </c>
      <c r="L970" s="435">
        <v>108</v>
      </c>
      <c r="M970" s="435">
        <v>82</v>
      </c>
    </row>
    <row r="971" spans="1:13" ht="14.25">
      <c r="B971" s="434" t="s">
        <v>16</v>
      </c>
      <c r="C971" s="325">
        <v>950</v>
      </c>
      <c r="D971" s="325">
        <v>712</v>
      </c>
      <c r="E971" s="325">
        <v>534</v>
      </c>
      <c r="F971" s="325">
        <v>402</v>
      </c>
      <c r="G971" s="325">
        <v>300</v>
      </c>
      <c r="H971" s="325">
        <v>226</v>
      </c>
      <c r="I971" s="325">
        <v>170</v>
      </c>
      <c r="J971" s="325">
        <v>126</v>
      </c>
      <c r="K971" s="325">
        <v>96</v>
      </c>
      <c r="L971" s="435">
        <v>72</v>
      </c>
      <c r="M971" s="435">
        <v>54</v>
      </c>
    </row>
    <row r="972" spans="1:13" ht="14.25">
      <c r="B972" s="434" t="s">
        <v>17</v>
      </c>
      <c r="C972" s="476" t="s">
        <v>18</v>
      </c>
      <c r="D972" s="477"/>
      <c r="E972" s="477"/>
      <c r="F972" s="477"/>
      <c r="G972" s="477"/>
      <c r="H972" s="477"/>
      <c r="I972" s="477"/>
      <c r="J972" s="477"/>
      <c r="K972" s="477"/>
      <c r="L972" s="477"/>
      <c r="M972" s="478"/>
    </row>
    <row r="973" spans="1:13" ht="14.25">
      <c r="B973" s="436"/>
      <c r="C973" s="436"/>
      <c r="D973" s="436"/>
      <c r="E973" s="436"/>
    </row>
    <row r="974" spans="1:13" ht="14.25">
      <c r="B974" s="431" t="s">
        <v>19</v>
      </c>
      <c r="C974" s="431"/>
      <c r="D974" s="431"/>
      <c r="E974" s="431"/>
    </row>
    <row r="975" spans="1:13" ht="14.25">
      <c r="B975" s="432" t="s">
        <v>2</v>
      </c>
      <c r="C975" s="433" t="s">
        <v>3</v>
      </c>
      <c r="D975" s="433" t="s">
        <v>4</v>
      </c>
      <c r="E975" s="433" t="s">
        <v>5</v>
      </c>
      <c r="F975" s="433" t="s">
        <v>6</v>
      </c>
      <c r="G975" s="433" t="s">
        <v>7</v>
      </c>
      <c r="H975" s="433" t="s">
        <v>8</v>
      </c>
      <c r="I975" s="433" t="s">
        <v>9</v>
      </c>
      <c r="J975" s="433" t="s">
        <v>10</v>
      </c>
      <c r="K975" s="433" t="s">
        <v>11</v>
      </c>
      <c r="L975" s="433" t="s">
        <v>12</v>
      </c>
      <c r="M975" s="432" t="s">
        <v>13</v>
      </c>
    </row>
    <row r="976" spans="1:13" ht="14.25">
      <c r="B976" s="434" t="s">
        <v>14</v>
      </c>
      <c r="C976" s="320">
        <v>3000</v>
      </c>
      <c r="D976" s="325">
        <v>2250</v>
      </c>
      <c r="E976" s="325">
        <v>1688</v>
      </c>
      <c r="F976" s="325">
        <v>1266</v>
      </c>
      <c r="G976" s="325">
        <v>950</v>
      </c>
      <c r="H976" s="325">
        <v>712</v>
      </c>
      <c r="I976" s="325">
        <v>534</v>
      </c>
      <c r="J976" s="325">
        <v>400</v>
      </c>
      <c r="K976" s="325">
        <v>300</v>
      </c>
      <c r="L976" s="325">
        <v>226</v>
      </c>
      <c r="M976" s="435">
        <v>168</v>
      </c>
    </row>
    <row r="977" spans="1:13" ht="14.25">
      <c r="B977" s="434" t="s">
        <v>15</v>
      </c>
      <c r="C977" s="325">
        <v>2900</v>
      </c>
      <c r="D977" s="325">
        <v>2176</v>
      </c>
      <c r="E977" s="325">
        <v>1632</v>
      </c>
      <c r="F977" s="325">
        <v>1224</v>
      </c>
      <c r="G977" s="325">
        <v>918</v>
      </c>
      <c r="H977" s="325">
        <v>688</v>
      </c>
      <c r="I977" s="325">
        <v>516</v>
      </c>
      <c r="J977" s="325">
        <v>388</v>
      </c>
      <c r="K977" s="325">
        <v>290</v>
      </c>
      <c r="L977" s="435">
        <v>218</v>
      </c>
      <c r="M977" s="435">
        <v>164</v>
      </c>
    </row>
    <row r="978" spans="1:13" ht="14.25">
      <c r="B978" s="434" t="s">
        <v>16</v>
      </c>
      <c r="C978" s="325">
        <v>2800</v>
      </c>
      <c r="D978" s="325">
        <v>2100</v>
      </c>
      <c r="E978" s="325">
        <v>1576</v>
      </c>
      <c r="F978" s="325">
        <v>1182</v>
      </c>
      <c r="G978" s="325">
        <v>886</v>
      </c>
      <c r="H978" s="325">
        <v>664</v>
      </c>
      <c r="I978" s="325">
        <v>498</v>
      </c>
      <c r="J978" s="325">
        <v>374</v>
      </c>
      <c r="K978" s="325">
        <v>280</v>
      </c>
      <c r="L978" s="435">
        <v>210</v>
      </c>
      <c r="M978" s="435">
        <v>158</v>
      </c>
    </row>
    <row r="979" spans="1:13" ht="14.25">
      <c r="B979" s="434" t="s">
        <v>17</v>
      </c>
      <c r="C979" s="476" t="s">
        <v>18</v>
      </c>
      <c r="D979" s="477"/>
      <c r="E979" s="477"/>
      <c r="F979" s="477"/>
      <c r="G979" s="477"/>
      <c r="H979" s="477"/>
      <c r="I979" s="477"/>
      <c r="J979" s="477"/>
      <c r="K979" s="477"/>
      <c r="L979" s="477"/>
      <c r="M979" s="478"/>
    </row>
    <row r="980" spans="1:13" ht="14.25">
      <c r="B980" s="440"/>
      <c r="C980" s="441"/>
      <c r="D980" s="441"/>
      <c r="E980" s="441"/>
      <c r="F980" s="441"/>
      <c r="G980" s="441"/>
      <c r="H980" s="441"/>
      <c r="I980" s="441"/>
      <c r="J980" s="441"/>
      <c r="K980" s="441"/>
      <c r="L980" s="441"/>
      <c r="M980" s="441"/>
    </row>
    <row r="981" spans="1:13" ht="18">
      <c r="B981" s="430" t="s">
        <v>92</v>
      </c>
      <c r="C981" s="430"/>
      <c r="D981" s="430"/>
      <c r="E981" s="430"/>
    </row>
    <row r="982" spans="1:13" ht="30" customHeight="1">
      <c r="A982" s="437"/>
      <c r="B982" s="442" t="s">
        <v>93</v>
      </c>
      <c r="C982" s="431"/>
      <c r="D982" s="431"/>
      <c r="E982" s="431"/>
    </row>
    <row r="983" spans="1:13" ht="14.25">
      <c r="B983" s="432" t="s">
        <v>2</v>
      </c>
      <c r="C983" s="433" t="s">
        <v>3</v>
      </c>
      <c r="D983" s="433" t="s">
        <v>4</v>
      </c>
      <c r="E983" s="433" t="s">
        <v>5</v>
      </c>
      <c r="F983" s="433" t="s">
        <v>6</v>
      </c>
      <c r="G983" s="433" t="s">
        <v>7</v>
      </c>
      <c r="H983" s="433" t="s">
        <v>8</v>
      </c>
      <c r="I983" s="433" t="s">
        <v>9</v>
      </c>
      <c r="J983" s="433" t="s">
        <v>10</v>
      </c>
      <c r="K983" s="433" t="s">
        <v>11</v>
      </c>
      <c r="L983" s="433" t="s">
        <v>12</v>
      </c>
      <c r="M983" s="432" t="s">
        <v>13</v>
      </c>
    </row>
    <row r="984" spans="1:13" ht="14.25">
      <c r="B984" s="434" t="s">
        <v>14</v>
      </c>
      <c r="C984" s="320">
        <v>514</v>
      </c>
      <c r="D984" s="325">
        <v>412</v>
      </c>
      <c r="E984" s="325">
        <v>334</v>
      </c>
      <c r="F984" s="325">
        <v>308</v>
      </c>
      <c r="G984" s="325">
        <v>258</v>
      </c>
      <c r="H984" s="325">
        <v>128</v>
      </c>
      <c r="I984" s="325">
        <v>52</v>
      </c>
      <c r="J984" s="325">
        <v>42</v>
      </c>
      <c r="K984" s="325">
        <v>30</v>
      </c>
      <c r="L984" s="325">
        <v>20</v>
      </c>
      <c r="M984" s="435">
        <v>16</v>
      </c>
    </row>
    <row r="985" spans="1:13" ht="14.25">
      <c r="B985" s="434" t="s">
        <v>15</v>
      </c>
      <c r="C985" s="325">
        <v>360</v>
      </c>
      <c r="D985" s="325">
        <v>288</v>
      </c>
      <c r="E985" s="325">
        <v>234</v>
      </c>
      <c r="F985" s="325">
        <v>216</v>
      </c>
      <c r="G985" s="325">
        <v>180</v>
      </c>
      <c r="H985" s="325">
        <v>90</v>
      </c>
      <c r="I985" s="325">
        <v>36</v>
      </c>
      <c r="J985" s="325">
        <v>28</v>
      </c>
      <c r="K985" s="325">
        <v>22</v>
      </c>
      <c r="L985" s="435">
        <v>14</v>
      </c>
      <c r="M985" s="435">
        <v>12</v>
      </c>
    </row>
    <row r="986" spans="1:13" ht="14.25">
      <c r="B986" s="434" t="s">
        <v>16</v>
      </c>
      <c r="C986" s="476" t="s">
        <v>18</v>
      </c>
      <c r="D986" s="477"/>
      <c r="E986" s="477"/>
      <c r="F986" s="477"/>
      <c r="G986" s="477"/>
      <c r="H986" s="477"/>
      <c r="I986" s="477"/>
      <c r="J986" s="477"/>
      <c r="K986" s="477"/>
      <c r="L986" s="477"/>
      <c r="M986" s="478"/>
    </row>
    <row r="987" spans="1:13" ht="14.25">
      <c r="B987" s="434" t="s">
        <v>17</v>
      </c>
      <c r="C987" s="476" t="s">
        <v>18</v>
      </c>
      <c r="D987" s="477"/>
      <c r="E987" s="477"/>
      <c r="F987" s="477"/>
      <c r="G987" s="477"/>
      <c r="H987" s="477"/>
      <c r="I987" s="477"/>
      <c r="J987" s="477"/>
      <c r="K987" s="477"/>
      <c r="L987" s="477"/>
      <c r="M987" s="478"/>
    </row>
    <row r="988" spans="1:13" ht="14.25">
      <c r="B988" s="440"/>
      <c r="C988" s="441"/>
      <c r="D988" s="441"/>
      <c r="E988" s="441"/>
      <c r="F988" s="441"/>
      <c r="G988" s="441"/>
      <c r="H988" s="441"/>
      <c r="I988" s="441"/>
      <c r="J988" s="441"/>
      <c r="K988" s="441"/>
      <c r="L988" s="441"/>
      <c r="M988" s="441"/>
    </row>
    <row r="989" spans="1:13" ht="18">
      <c r="B989" s="430" t="s">
        <v>94</v>
      </c>
      <c r="C989" s="430"/>
      <c r="D989" s="430"/>
      <c r="E989" s="430"/>
    </row>
    <row r="990" spans="1:13" ht="30" customHeight="1">
      <c r="A990" s="437"/>
      <c r="B990" s="431" t="s">
        <v>39</v>
      </c>
      <c r="C990" s="431"/>
      <c r="D990" s="431"/>
      <c r="E990" s="431"/>
    </row>
    <row r="991" spans="1:13" ht="14.25">
      <c r="B991" s="432" t="s">
        <v>2</v>
      </c>
      <c r="C991" s="433" t="s">
        <v>3</v>
      </c>
      <c r="D991" s="433" t="s">
        <v>4</v>
      </c>
      <c r="E991" s="433" t="s">
        <v>5</v>
      </c>
      <c r="F991" s="433" t="s">
        <v>6</v>
      </c>
      <c r="G991" s="433" t="s">
        <v>7</v>
      </c>
      <c r="H991" s="433" t="s">
        <v>8</v>
      </c>
      <c r="I991" s="433" t="s">
        <v>9</v>
      </c>
      <c r="J991" s="433" t="s">
        <v>10</v>
      </c>
      <c r="K991" s="433" t="s">
        <v>11</v>
      </c>
      <c r="L991" s="433" t="s">
        <v>12</v>
      </c>
      <c r="M991" s="432" t="s">
        <v>13</v>
      </c>
    </row>
    <row r="992" spans="1:13" ht="14.25">
      <c r="B992" s="434" t="s">
        <v>14</v>
      </c>
      <c r="C992" s="320">
        <v>383</v>
      </c>
      <c r="D992" s="325">
        <v>287</v>
      </c>
      <c r="E992" s="325">
        <v>216</v>
      </c>
      <c r="F992" s="325">
        <v>162</v>
      </c>
      <c r="G992" s="325">
        <v>121</v>
      </c>
      <c r="H992" s="325">
        <v>91</v>
      </c>
      <c r="I992" s="325">
        <v>68</v>
      </c>
      <c r="J992" s="325">
        <v>51</v>
      </c>
      <c r="K992" s="325">
        <v>38</v>
      </c>
      <c r="L992" s="325">
        <v>29</v>
      </c>
      <c r="M992" s="435">
        <v>22</v>
      </c>
    </row>
    <row r="993" spans="1:13" ht="14.25">
      <c r="B993" s="434" t="s">
        <v>15</v>
      </c>
      <c r="C993" s="476" t="s">
        <v>18</v>
      </c>
      <c r="D993" s="477"/>
      <c r="E993" s="477"/>
      <c r="F993" s="477"/>
      <c r="G993" s="477"/>
      <c r="H993" s="477"/>
      <c r="I993" s="477"/>
      <c r="J993" s="477"/>
      <c r="K993" s="477"/>
      <c r="L993" s="477"/>
      <c r="M993" s="478"/>
    </row>
    <row r="994" spans="1:13" ht="14.25">
      <c r="B994" s="434" t="s">
        <v>16</v>
      </c>
      <c r="C994" s="476" t="s">
        <v>18</v>
      </c>
      <c r="D994" s="477"/>
      <c r="E994" s="477"/>
      <c r="F994" s="477"/>
      <c r="G994" s="477"/>
      <c r="H994" s="477"/>
      <c r="I994" s="477"/>
      <c r="J994" s="477"/>
      <c r="K994" s="477"/>
      <c r="L994" s="477"/>
      <c r="M994" s="478"/>
    </row>
    <row r="995" spans="1:13" ht="14.25">
      <c r="B995" s="434" t="s">
        <v>17</v>
      </c>
      <c r="C995" s="476" t="s">
        <v>18</v>
      </c>
      <c r="D995" s="477"/>
      <c r="E995" s="477"/>
      <c r="F995" s="477"/>
      <c r="G995" s="477"/>
      <c r="H995" s="477"/>
      <c r="I995" s="477"/>
      <c r="J995" s="477"/>
      <c r="K995" s="477"/>
      <c r="L995" s="477"/>
      <c r="M995" s="478"/>
    </row>
    <row r="996" spans="1:13" ht="14.25">
      <c r="B996" s="436"/>
      <c r="C996" s="436"/>
      <c r="D996" s="436"/>
      <c r="E996" s="436"/>
    </row>
    <row r="997" spans="1:13" ht="14.25">
      <c r="B997" s="431" t="s">
        <v>19</v>
      </c>
      <c r="C997" s="431"/>
      <c r="D997" s="431"/>
      <c r="E997" s="431"/>
    </row>
    <row r="998" spans="1:13" ht="14.25">
      <c r="B998" s="432" t="s">
        <v>2</v>
      </c>
      <c r="C998" s="433" t="s">
        <v>3</v>
      </c>
      <c r="D998" s="433" t="s">
        <v>4</v>
      </c>
      <c r="E998" s="433" t="s">
        <v>5</v>
      </c>
      <c r="F998" s="433" t="s">
        <v>6</v>
      </c>
      <c r="G998" s="433" t="s">
        <v>7</v>
      </c>
      <c r="H998" s="433" t="s">
        <v>8</v>
      </c>
      <c r="I998" s="433" t="s">
        <v>9</v>
      </c>
      <c r="J998" s="433" t="s">
        <v>10</v>
      </c>
      <c r="K998" s="433" t="s">
        <v>11</v>
      </c>
      <c r="L998" s="433" t="s">
        <v>12</v>
      </c>
      <c r="M998" s="432" t="s">
        <v>13</v>
      </c>
    </row>
    <row r="999" spans="1:13" ht="14.25">
      <c r="B999" s="434" t="s">
        <v>14</v>
      </c>
      <c r="C999" s="320">
        <v>968</v>
      </c>
      <c r="D999" s="325">
        <v>726</v>
      </c>
      <c r="E999" s="325">
        <v>546</v>
      </c>
      <c r="F999" s="325">
        <v>408</v>
      </c>
      <c r="G999" s="325">
        <v>306</v>
      </c>
      <c r="H999" s="325">
        <v>230</v>
      </c>
      <c r="I999" s="325">
        <v>172</v>
      </c>
      <c r="J999" s="325">
        <v>130</v>
      </c>
      <c r="K999" s="325">
        <v>96</v>
      </c>
      <c r="L999" s="325">
        <v>72</v>
      </c>
      <c r="M999" s="435">
        <v>54</v>
      </c>
    </row>
    <row r="1000" spans="1:13" ht="14.25">
      <c r="B1000" s="434" t="s">
        <v>15</v>
      </c>
      <c r="C1000" s="476" t="s">
        <v>18</v>
      </c>
      <c r="D1000" s="477"/>
      <c r="E1000" s="477"/>
      <c r="F1000" s="477"/>
      <c r="G1000" s="477"/>
      <c r="H1000" s="477"/>
      <c r="I1000" s="477"/>
      <c r="J1000" s="477"/>
      <c r="K1000" s="477"/>
      <c r="L1000" s="477"/>
      <c r="M1000" s="478"/>
    </row>
    <row r="1001" spans="1:13" ht="14.25">
      <c r="B1001" s="434" t="s">
        <v>16</v>
      </c>
      <c r="C1001" s="476" t="s">
        <v>18</v>
      </c>
      <c r="D1001" s="477"/>
      <c r="E1001" s="477"/>
      <c r="F1001" s="477"/>
      <c r="G1001" s="477"/>
      <c r="H1001" s="477"/>
      <c r="I1001" s="477"/>
      <c r="J1001" s="477"/>
      <c r="K1001" s="477"/>
      <c r="L1001" s="477"/>
      <c r="M1001" s="478"/>
    </row>
    <row r="1002" spans="1:13" ht="14.25">
      <c r="B1002" s="434" t="s">
        <v>17</v>
      </c>
      <c r="C1002" s="476" t="s">
        <v>18</v>
      </c>
      <c r="D1002" s="477"/>
      <c r="E1002" s="477"/>
      <c r="F1002" s="477"/>
      <c r="G1002" s="477"/>
      <c r="H1002" s="477"/>
      <c r="I1002" s="477"/>
      <c r="J1002" s="477"/>
      <c r="K1002" s="477"/>
      <c r="L1002" s="477"/>
      <c r="M1002" s="478"/>
    </row>
    <row r="1003" spans="1:13" ht="14.25">
      <c r="B1003" s="440"/>
      <c r="C1003" s="441"/>
      <c r="D1003" s="441"/>
      <c r="E1003" s="441"/>
      <c r="F1003" s="441"/>
      <c r="G1003" s="441"/>
      <c r="H1003" s="441"/>
      <c r="I1003" s="441"/>
      <c r="J1003" s="441"/>
      <c r="K1003" s="441"/>
      <c r="L1003" s="441"/>
      <c r="M1003" s="441"/>
    </row>
    <row r="1004" spans="1:13" ht="18">
      <c r="B1004" s="430" t="s">
        <v>95</v>
      </c>
      <c r="C1004" s="430"/>
      <c r="D1004" s="430"/>
      <c r="E1004" s="430"/>
    </row>
    <row r="1005" spans="1:13" ht="30" customHeight="1">
      <c r="A1005" s="437"/>
      <c r="B1005" s="431" t="s">
        <v>39</v>
      </c>
      <c r="C1005" s="431"/>
      <c r="D1005" s="431"/>
      <c r="E1005" s="431"/>
    </row>
    <row r="1006" spans="1:13" ht="14.25">
      <c r="B1006" s="432" t="s">
        <v>2</v>
      </c>
      <c r="C1006" s="433" t="s">
        <v>3</v>
      </c>
      <c r="D1006" s="433" t="s">
        <v>4</v>
      </c>
      <c r="E1006" s="433" t="s">
        <v>5</v>
      </c>
      <c r="F1006" s="433" t="s">
        <v>6</v>
      </c>
      <c r="G1006" s="433" t="s">
        <v>7</v>
      </c>
      <c r="H1006" s="433" t="s">
        <v>8</v>
      </c>
      <c r="I1006" s="433" t="s">
        <v>9</v>
      </c>
      <c r="J1006" s="433" t="s">
        <v>10</v>
      </c>
      <c r="K1006" s="433" t="s">
        <v>11</v>
      </c>
      <c r="L1006" s="433" t="s">
        <v>12</v>
      </c>
      <c r="M1006" s="432" t="s">
        <v>13</v>
      </c>
    </row>
    <row r="1007" spans="1:13" ht="14.25">
      <c r="B1007" s="434" t="s">
        <v>14</v>
      </c>
      <c r="C1007" s="320">
        <v>840</v>
      </c>
      <c r="D1007" s="325">
        <v>630</v>
      </c>
      <c r="E1007" s="325">
        <v>472</v>
      </c>
      <c r="F1007" s="325">
        <v>356</v>
      </c>
      <c r="G1007" s="325">
        <v>266</v>
      </c>
      <c r="H1007" s="325">
        <v>200</v>
      </c>
      <c r="I1007" s="325">
        <v>150</v>
      </c>
      <c r="J1007" s="325">
        <v>112</v>
      </c>
      <c r="K1007" s="325">
        <v>84</v>
      </c>
      <c r="L1007" s="325">
        <v>64</v>
      </c>
      <c r="M1007" s="435">
        <v>48</v>
      </c>
    </row>
    <row r="1008" spans="1:13" ht="14.25">
      <c r="B1008" s="434" t="s">
        <v>15</v>
      </c>
      <c r="C1008" s="325">
        <v>546</v>
      </c>
      <c r="D1008" s="325">
        <v>410</v>
      </c>
      <c r="E1008" s="325">
        <v>308</v>
      </c>
      <c r="F1008" s="325">
        <v>232</v>
      </c>
      <c r="G1008" s="325">
        <v>174</v>
      </c>
      <c r="H1008" s="325">
        <v>130</v>
      </c>
      <c r="I1008" s="325">
        <v>98</v>
      </c>
      <c r="J1008" s="325">
        <v>74</v>
      </c>
      <c r="K1008" s="325">
        <v>54</v>
      </c>
      <c r="L1008" s="435">
        <v>40</v>
      </c>
      <c r="M1008" s="435">
        <v>30</v>
      </c>
    </row>
    <row r="1009" spans="1:13" ht="14.25">
      <c r="B1009" s="434" t="s">
        <v>16</v>
      </c>
      <c r="C1009" s="325">
        <v>464</v>
      </c>
      <c r="D1009" s="325">
        <v>348</v>
      </c>
      <c r="E1009" s="325">
        <v>262</v>
      </c>
      <c r="F1009" s="325">
        <v>196</v>
      </c>
      <c r="G1009" s="325">
        <v>148</v>
      </c>
      <c r="H1009" s="325">
        <v>110</v>
      </c>
      <c r="I1009" s="325">
        <v>82</v>
      </c>
      <c r="J1009" s="325">
        <v>62</v>
      </c>
      <c r="K1009" s="325">
        <v>46</v>
      </c>
      <c r="L1009" s="435">
        <v>34</v>
      </c>
      <c r="M1009" s="435">
        <v>26</v>
      </c>
    </row>
    <row r="1010" spans="1:13" ht="14.25">
      <c r="B1010" s="434" t="s">
        <v>17</v>
      </c>
      <c r="C1010" s="476" t="s">
        <v>18</v>
      </c>
      <c r="D1010" s="477"/>
      <c r="E1010" s="477"/>
      <c r="F1010" s="477"/>
      <c r="G1010" s="477"/>
      <c r="H1010" s="477"/>
      <c r="I1010" s="477"/>
      <c r="J1010" s="477"/>
      <c r="K1010" s="477"/>
      <c r="L1010" s="477"/>
      <c r="M1010" s="478"/>
    </row>
    <row r="1011" spans="1:13" ht="14.25">
      <c r="B1011" s="436"/>
      <c r="C1011" s="436"/>
      <c r="D1011" s="436"/>
      <c r="E1011" s="436"/>
    </row>
    <row r="1012" spans="1:13" ht="14.25">
      <c r="B1012" s="431" t="s">
        <v>19</v>
      </c>
      <c r="C1012" s="431"/>
      <c r="D1012" s="431"/>
      <c r="E1012" s="431"/>
    </row>
    <row r="1013" spans="1:13" ht="14.25">
      <c r="B1013" s="432" t="s">
        <v>2</v>
      </c>
      <c r="C1013" s="433" t="s">
        <v>3</v>
      </c>
      <c r="D1013" s="433" t="s">
        <v>4</v>
      </c>
      <c r="E1013" s="433" t="s">
        <v>5</v>
      </c>
      <c r="F1013" s="433" t="s">
        <v>6</v>
      </c>
      <c r="G1013" s="433" t="s">
        <v>7</v>
      </c>
      <c r="H1013" s="433" t="s">
        <v>8</v>
      </c>
      <c r="I1013" s="433" t="s">
        <v>9</v>
      </c>
      <c r="J1013" s="433" t="s">
        <v>10</v>
      </c>
      <c r="K1013" s="433" t="s">
        <v>11</v>
      </c>
      <c r="L1013" s="433" t="s">
        <v>12</v>
      </c>
      <c r="M1013" s="432" t="s">
        <v>13</v>
      </c>
    </row>
    <row r="1014" spans="1:13" ht="14.25">
      <c r="B1014" s="434" t="s">
        <v>14</v>
      </c>
      <c r="C1014" s="320">
        <v>1260</v>
      </c>
      <c r="D1014" s="325">
        <v>946</v>
      </c>
      <c r="E1014" s="325">
        <v>712</v>
      </c>
      <c r="F1014" s="325">
        <v>534</v>
      </c>
      <c r="G1014" s="325">
        <v>402</v>
      </c>
      <c r="H1014" s="325">
        <v>302</v>
      </c>
      <c r="I1014" s="325">
        <v>226</v>
      </c>
      <c r="J1014" s="325">
        <v>170</v>
      </c>
      <c r="K1014" s="325">
        <v>128</v>
      </c>
      <c r="L1014" s="325">
        <v>96</v>
      </c>
      <c r="M1014" s="435">
        <v>72</v>
      </c>
    </row>
    <row r="1015" spans="1:13" ht="14.25">
      <c r="B1015" s="434" t="s">
        <v>15</v>
      </c>
      <c r="C1015" s="325">
        <v>818</v>
      </c>
      <c r="D1015" s="325">
        <v>614</v>
      </c>
      <c r="E1015" s="325">
        <v>462</v>
      </c>
      <c r="F1015" s="325">
        <v>346</v>
      </c>
      <c r="G1015" s="325">
        <v>260</v>
      </c>
      <c r="H1015" s="325">
        <v>196</v>
      </c>
      <c r="I1015" s="325">
        <v>146</v>
      </c>
      <c r="J1015" s="325">
        <v>110</v>
      </c>
      <c r="K1015" s="325">
        <v>82</v>
      </c>
      <c r="L1015" s="435">
        <v>62</v>
      </c>
      <c r="M1015" s="435">
        <v>46</v>
      </c>
    </row>
    <row r="1016" spans="1:13" ht="14.25">
      <c r="B1016" s="434" t="s">
        <v>16</v>
      </c>
      <c r="C1016" s="325">
        <v>696</v>
      </c>
      <c r="D1016" s="325">
        <v>522</v>
      </c>
      <c r="E1016" s="325">
        <v>392</v>
      </c>
      <c r="F1016" s="325">
        <v>294</v>
      </c>
      <c r="G1016" s="325">
        <v>222</v>
      </c>
      <c r="H1016" s="325">
        <v>166</v>
      </c>
      <c r="I1016" s="325">
        <v>124</v>
      </c>
      <c r="J1016" s="325">
        <v>94</v>
      </c>
      <c r="K1016" s="325">
        <v>70</v>
      </c>
      <c r="L1016" s="435">
        <v>52</v>
      </c>
      <c r="M1016" s="435">
        <v>40</v>
      </c>
    </row>
    <row r="1017" spans="1:13" ht="14.25">
      <c r="B1017" s="434" t="s">
        <v>17</v>
      </c>
      <c r="C1017" s="476" t="s">
        <v>18</v>
      </c>
      <c r="D1017" s="477"/>
      <c r="E1017" s="477"/>
      <c r="F1017" s="477"/>
      <c r="G1017" s="477"/>
      <c r="H1017" s="477"/>
      <c r="I1017" s="477"/>
      <c r="J1017" s="477"/>
      <c r="K1017" s="477"/>
      <c r="L1017" s="477"/>
      <c r="M1017" s="478"/>
    </row>
    <row r="1018" spans="1:13" ht="14.25">
      <c r="B1018" s="440"/>
      <c r="C1018" s="441"/>
      <c r="D1018" s="441"/>
      <c r="E1018" s="441"/>
      <c r="F1018" s="441"/>
      <c r="G1018" s="441"/>
      <c r="H1018" s="441"/>
      <c r="I1018" s="441"/>
      <c r="J1018" s="441"/>
      <c r="K1018" s="441"/>
      <c r="L1018" s="441"/>
      <c r="M1018" s="441"/>
    </row>
    <row r="1019" spans="1:13" ht="18">
      <c r="B1019" s="430" t="s">
        <v>96</v>
      </c>
      <c r="C1019" s="430"/>
      <c r="D1019" s="430"/>
      <c r="E1019" s="430"/>
    </row>
    <row r="1020" spans="1:13" ht="30" customHeight="1">
      <c r="A1020" s="437"/>
      <c r="B1020" s="442" t="s">
        <v>46</v>
      </c>
      <c r="C1020" s="431"/>
      <c r="D1020" s="431"/>
      <c r="E1020" s="431"/>
    </row>
    <row r="1021" spans="1:13" ht="14.25">
      <c r="B1021" s="432" t="s">
        <v>2</v>
      </c>
      <c r="C1021" s="433" t="s">
        <v>3</v>
      </c>
      <c r="D1021" s="433" t="s">
        <v>4</v>
      </c>
      <c r="E1021" s="433" t="s">
        <v>5</v>
      </c>
      <c r="F1021" s="433" t="s">
        <v>6</v>
      </c>
      <c r="G1021" s="433" t="s">
        <v>7</v>
      </c>
      <c r="H1021" s="433" t="s">
        <v>8</v>
      </c>
      <c r="I1021" s="433" t="s">
        <v>9</v>
      </c>
      <c r="J1021" s="433" t="s">
        <v>10</v>
      </c>
      <c r="K1021" s="433" t="s">
        <v>11</v>
      </c>
      <c r="L1021" s="433" t="s">
        <v>12</v>
      </c>
      <c r="M1021" s="432" t="s">
        <v>13</v>
      </c>
    </row>
    <row r="1022" spans="1:13" ht="14.25">
      <c r="B1022" s="434" t="s">
        <v>14</v>
      </c>
      <c r="C1022" s="320">
        <v>2400</v>
      </c>
      <c r="D1022" s="325">
        <v>1920</v>
      </c>
      <c r="E1022" s="325">
        <v>1560</v>
      </c>
      <c r="F1022" s="325">
        <v>1440</v>
      </c>
      <c r="G1022" s="325">
        <v>1200</v>
      </c>
      <c r="H1022" s="325">
        <v>600</v>
      </c>
      <c r="I1022" s="325">
        <v>240</v>
      </c>
      <c r="J1022" s="325">
        <v>192</v>
      </c>
      <c r="K1022" s="325">
        <v>144</v>
      </c>
      <c r="L1022" s="325">
        <v>96</v>
      </c>
      <c r="M1022" s="435">
        <v>84</v>
      </c>
    </row>
    <row r="1023" spans="1:13" ht="14.25">
      <c r="B1023" s="434" t="s">
        <v>15</v>
      </c>
      <c r="C1023" s="325">
        <v>1680</v>
      </c>
      <c r="D1023" s="325">
        <v>1344</v>
      </c>
      <c r="E1023" s="325">
        <v>1092</v>
      </c>
      <c r="F1023" s="325">
        <v>1008</v>
      </c>
      <c r="G1023" s="325">
        <v>840</v>
      </c>
      <c r="H1023" s="325">
        <v>420</v>
      </c>
      <c r="I1023" s="325">
        <v>168</v>
      </c>
      <c r="J1023" s="325">
        <v>134</v>
      </c>
      <c r="K1023" s="325">
        <v>100</v>
      </c>
      <c r="L1023" s="435">
        <v>68</v>
      </c>
      <c r="M1023" s="435">
        <v>58</v>
      </c>
    </row>
    <row r="1024" spans="1:13" ht="14.25">
      <c r="B1024" s="434" t="s">
        <v>16</v>
      </c>
      <c r="C1024" s="325">
        <v>1080</v>
      </c>
      <c r="D1024" s="325">
        <v>864</v>
      </c>
      <c r="E1024" s="325">
        <v>702</v>
      </c>
      <c r="F1024" s="325">
        <v>648</v>
      </c>
      <c r="G1024" s="325">
        <v>540</v>
      </c>
      <c r="H1024" s="325">
        <v>270</v>
      </c>
      <c r="I1024" s="325">
        <v>108</v>
      </c>
      <c r="J1024" s="325">
        <v>86</v>
      </c>
      <c r="K1024" s="325">
        <v>64</v>
      </c>
      <c r="L1024" s="435">
        <v>44</v>
      </c>
      <c r="M1024" s="435">
        <v>38</v>
      </c>
    </row>
    <row r="1025" spans="1:13" ht="14.25">
      <c r="B1025" s="434" t="s">
        <v>17</v>
      </c>
      <c r="C1025" s="435">
        <v>600</v>
      </c>
      <c r="D1025" s="435">
        <v>480</v>
      </c>
      <c r="E1025" s="435">
        <v>390</v>
      </c>
      <c r="F1025" s="435">
        <v>360</v>
      </c>
      <c r="G1025" s="435">
        <v>300</v>
      </c>
      <c r="H1025" s="435">
        <v>150</v>
      </c>
      <c r="I1025" s="435">
        <v>60</v>
      </c>
      <c r="J1025" s="435">
        <v>48</v>
      </c>
      <c r="K1025" s="435">
        <v>36</v>
      </c>
      <c r="L1025" s="435">
        <v>24</v>
      </c>
      <c r="M1025" s="435">
        <v>22</v>
      </c>
    </row>
    <row r="1026" spans="1:13" ht="14.25">
      <c r="B1026" s="440"/>
      <c r="C1026" s="441"/>
      <c r="D1026" s="441"/>
      <c r="E1026" s="441"/>
      <c r="F1026" s="441"/>
      <c r="G1026" s="441"/>
      <c r="H1026" s="441"/>
      <c r="I1026" s="441"/>
      <c r="J1026" s="441"/>
      <c r="K1026" s="441"/>
      <c r="L1026" s="441"/>
      <c r="M1026" s="441"/>
    </row>
    <row r="1027" spans="1:13" ht="18">
      <c r="B1027" s="430" t="s">
        <v>97</v>
      </c>
      <c r="C1027" s="430"/>
      <c r="D1027" s="430"/>
      <c r="E1027" s="430"/>
    </row>
    <row r="1028" spans="1:13" ht="14.25">
      <c r="B1028" s="431" t="s">
        <v>39</v>
      </c>
      <c r="C1028" s="431"/>
      <c r="D1028" s="431"/>
      <c r="E1028" s="431"/>
    </row>
    <row r="1029" spans="1:13" ht="30" customHeight="1">
      <c r="A1029" s="437"/>
      <c r="B1029" s="432" t="s">
        <v>2</v>
      </c>
      <c r="C1029" s="433" t="s">
        <v>3</v>
      </c>
      <c r="D1029" s="433" t="s">
        <v>4</v>
      </c>
      <c r="E1029" s="433" t="s">
        <v>5</v>
      </c>
      <c r="F1029" s="433" t="s">
        <v>6</v>
      </c>
      <c r="G1029" s="433" t="s">
        <v>7</v>
      </c>
      <c r="H1029" s="433" t="s">
        <v>8</v>
      </c>
      <c r="I1029" s="433" t="s">
        <v>9</v>
      </c>
      <c r="J1029" s="433" t="s">
        <v>10</v>
      </c>
      <c r="K1029" s="433" t="s">
        <v>11</v>
      </c>
      <c r="L1029" s="433" t="s">
        <v>12</v>
      </c>
      <c r="M1029" s="432" t="s">
        <v>13</v>
      </c>
    </row>
    <row r="1030" spans="1:13" ht="14.25">
      <c r="B1030" s="434" t="s">
        <v>14</v>
      </c>
      <c r="C1030" s="320">
        <v>13052.5</v>
      </c>
      <c r="D1030" s="325">
        <v>9790</v>
      </c>
      <c r="E1030" s="325">
        <v>7342.5</v>
      </c>
      <c r="F1030" s="325">
        <v>5507.5</v>
      </c>
      <c r="G1030" s="325">
        <v>4130</v>
      </c>
      <c r="H1030" s="325">
        <v>3097.5</v>
      </c>
      <c r="I1030" s="325">
        <v>2322.5</v>
      </c>
      <c r="J1030" s="325">
        <v>1742.5</v>
      </c>
      <c r="K1030" s="325">
        <v>1307.5</v>
      </c>
      <c r="L1030" s="325">
        <v>980</v>
      </c>
      <c r="M1030" s="435">
        <v>735</v>
      </c>
    </row>
    <row r="1031" spans="1:13" ht="14.25">
      <c r="B1031" s="434" t="s">
        <v>15</v>
      </c>
      <c r="C1031" s="325">
        <v>8462.5</v>
      </c>
      <c r="D1031" s="325">
        <v>6347.5</v>
      </c>
      <c r="E1031" s="325">
        <v>4760</v>
      </c>
      <c r="F1031" s="325">
        <v>3570</v>
      </c>
      <c r="G1031" s="325">
        <v>2677.5</v>
      </c>
      <c r="H1031" s="325">
        <v>2007.5</v>
      </c>
      <c r="I1031" s="325">
        <v>1505</v>
      </c>
      <c r="J1031" s="325">
        <v>1130</v>
      </c>
      <c r="K1031" s="325">
        <v>847.5</v>
      </c>
      <c r="L1031" s="325">
        <v>635</v>
      </c>
      <c r="M1031" s="435">
        <v>477.5</v>
      </c>
    </row>
    <row r="1032" spans="1:13" ht="14.25">
      <c r="B1032" s="434" t="s">
        <v>16</v>
      </c>
      <c r="C1032" s="325">
        <v>6595</v>
      </c>
      <c r="D1032" s="325">
        <v>4947.5</v>
      </c>
      <c r="E1032" s="325">
        <v>3710</v>
      </c>
      <c r="F1032" s="325">
        <v>2782.5</v>
      </c>
      <c r="G1032" s="325">
        <v>2087.5</v>
      </c>
      <c r="H1032" s="325">
        <v>1565</v>
      </c>
      <c r="I1032" s="325">
        <v>1175</v>
      </c>
      <c r="J1032" s="325">
        <v>880</v>
      </c>
      <c r="K1032" s="325">
        <v>660</v>
      </c>
      <c r="L1032" s="325">
        <v>495</v>
      </c>
      <c r="M1032" s="435">
        <v>372.5</v>
      </c>
    </row>
    <row r="1033" spans="1:13" ht="14.25">
      <c r="B1033" s="434" t="s">
        <v>17</v>
      </c>
      <c r="C1033" s="435">
        <v>5025</v>
      </c>
      <c r="D1033" s="435">
        <v>3770</v>
      </c>
      <c r="E1033" s="435">
        <v>2827.5</v>
      </c>
      <c r="F1033" s="435">
        <v>2120</v>
      </c>
      <c r="G1033" s="435">
        <v>1590</v>
      </c>
      <c r="H1033" s="435">
        <v>1192.5</v>
      </c>
      <c r="I1033" s="435">
        <v>895</v>
      </c>
      <c r="J1033" s="435">
        <v>670</v>
      </c>
      <c r="K1033" s="435">
        <v>502.5</v>
      </c>
      <c r="L1033" s="435">
        <v>377.5</v>
      </c>
      <c r="M1033" s="435">
        <v>282.5</v>
      </c>
    </row>
    <row r="1034" spans="1:13" ht="14.25">
      <c r="B1034" s="436"/>
      <c r="C1034" s="436"/>
      <c r="D1034" s="436"/>
      <c r="E1034" s="436"/>
    </row>
    <row r="1035" spans="1:13" ht="14.25">
      <c r="B1035" s="431" t="s">
        <v>19</v>
      </c>
      <c r="C1035" s="431"/>
      <c r="D1035" s="431"/>
      <c r="E1035" s="431"/>
    </row>
    <row r="1036" spans="1:13" ht="14.25">
      <c r="B1036" s="432" t="s">
        <v>2</v>
      </c>
      <c r="C1036" s="433" t="s">
        <v>3</v>
      </c>
      <c r="D1036" s="433" t="s">
        <v>4</v>
      </c>
      <c r="E1036" s="433" t="s">
        <v>5</v>
      </c>
      <c r="F1036" s="433" t="s">
        <v>6</v>
      </c>
      <c r="G1036" s="433" t="s">
        <v>7</v>
      </c>
      <c r="H1036" s="433" t="s">
        <v>8</v>
      </c>
      <c r="I1036" s="433" t="s">
        <v>9</v>
      </c>
      <c r="J1036" s="433" t="s">
        <v>10</v>
      </c>
      <c r="K1036" s="433" t="s">
        <v>11</v>
      </c>
      <c r="L1036" s="433" t="s">
        <v>12</v>
      </c>
      <c r="M1036" s="432" t="s">
        <v>13</v>
      </c>
    </row>
    <row r="1037" spans="1:13" ht="14.25">
      <c r="B1037" s="434" t="s">
        <v>14</v>
      </c>
      <c r="C1037" s="320">
        <v>19580</v>
      </c>
      <c r="D1037" s="325">
        <v>14685</v>
      </c>
      <c r="E1037" s="325">
        <v>11012.5</v>
      </c>
      <c r="F1037" s="325">
        <v>8260</v>
      </c>
      <c r="G1037" s="325">
        <v>6195</v>
      </c>
      <c r="H1037" s="325">
        <v>4645</v>
      </c>
      <c r="I1037" s="325">
        <v>3485</v>
      </c>
      <c r="J1037" s="325">
        <v>2612.5</v>
      </c>
      <c r="K1037" s="325">
        <v>1960</v>
      </c>
      <c r="L1037" s="325">
        <v>1470</v>
      </c>
      <c r="M1037" s="435">
        <v>1102.5</v>
      </c>
    </row>
    <row r="1038" spans="1:13" ht="14.25">
      <c r="B1038" s="434" t="s">
        <v>15</v>
      </c>
      <c r="C1038" s="325">
        <v>12692.5</v>
      </c>
      <c r="D1038" s="325">
        <v>9520</v>
      </c>
      <c r="E1038" s="325">
        <v>7140</v>
      </c>
      <c r="F1038" s="325">
        <v>5355</v>
      </c>
      <c r="G1038" s="325">
        <v>4017.5</v>
      </c>
      <c r="H1038" s="325">
        <v>3012.5</v>
      </c>
      <c r="I1038" s="325">
        <v>2260</v>
      </c>
      <c r="J1038" s="325">
        <v>1695</v>
      </c>
      <c r="K1038" s="325">
        <v>1270</v>
      </c>
      <c r="L1038" s="325">
        <v>952.5</v>
      </c>
      <c r="M1038" s="435">
        <v>715</v>
      </c>
    </row>
    <row r="1039" spans="1:13" ht="14.25">
      <c r="B1039" s="434" t="s">
        <v>16</v>
      </c>
      <c r="C1039" s="325">
        <v>9892.5</v>
      </c>
      <c r="D1039" s="325">
        <v>7420</v>
      </c>
      <c r="E1039" s="325">
        <v>5565</v>
      </c>
      <c r="F1039" s="325">
        <v>4172.5</v>
      </c>
      <c r="G1039" s="325">
        <v>3130</v>
      </c>
      <c r="H1039" s="325">
        <v>2347.5</v>
      </c>
      <c r="I1039" s="325">
        <v>1760</v>
      </c>
      <c r="J1039" s="325">
        <v>1320</v>
      </c>
      <c r="K1039" s="325">
        <v>990</v>
      </c>
      <c r="L1039" s="325">
        <v>742.5</v>
      </c>
      <c r="M1039" s="435">
        <v>557.5</v>
      </c>
    </row>
    <row r="1040" spans="1:13" ht="14.25">
      <c r="B1040" s="434" t="s">
        <v>17</v>
      </c>
      <c r="C1040" s="435">
        <v>7540</v>
      </c>
      <c r="D1040" s="435">
        <v>5655</v>
      </c>
      <c r="E1040" s="435">
        <v>4240</v>
      </c>
      <c r="F1040" s="435">
        <v>3180</v>
      </c>
      <c r="G1040" s="435">
        <v>2385</v>
      </c>
      <c r="H1040" s="435">
        <v>1790</v>
      </c>
      <c r="I1040" s="435">
        <v>1342.5</v>
      </c>
      <c r="J1040" s="435">
        <v>1007.5</v>
      </c>
      <c r="K1040" s="435">
        <v>755</v>
      </c>
      <c r="L1040" s="435">
        <v>565</v>
      </c>
      <c r="M1040" s="435">
        <v>425</v>
      </c>
    </row>
    <row r="1042" spans="1:13" ht="18">
      <c r="B1042" s="430" t="s">
        <v>98</v>
      </c>
      <c r="C1042" s="430"/>
      <c r="D1042" s="430"/>
      <c r="E1042" s="430"/>
    </row>
    <row r="1043" spans="1:13" ht="30" customHeight="1">
      <c r="A1043" s="437"/>
      <c r="B1043" s="431" t="s">
        <v>39</v>
      </c>
      <c r="C1043" s="431"/>
      <c r="D1043" s="431"/>
      <c r="E1043" s="431"/>
    </row>
    <row r="1044" spans="1:13" ht="14.25">
      <c r="B1044" s="432" t="s">
        <v>2</v>
      </c>
      <c r="C1044" s="433" t="s">
        <v>3</v>
      </c>
      <c r="D1044" s="433" t="s">
        <v>4</v>
      </c>
      <c r="E1044" s="433" t="s">
        <v>5</v>
      </c>
      <c r="F1044" s="433" t="s">
        <v>6</v>
      </c>
      <c r="G1044" s="433" t="s">
        <v>7</v>
      </c>
      <c r="H1044" s="433" t="s">
        <v>8</v>
      </c>
      <c r="I1044" s="433" t="s">
        <v>9</v>
      </c>
      <c r="J1044" s="433" t="s">
        <v>10</v>
      </c>
      <c r="K1044" s="433" t="s">
        <v>11</v>
      </c>
      <c r="L1044" s="433" t="s">
        <v>12</v>
      </c>
      <c r="M1044" s="432" t="s">
        <v>13</v>
      </c>
    </row>
    <row r="1045" spans="1:13" ht="14.25">
      <c r="B1045" s="434" t="s">
        <v>14</v>
      </c>
      <c r="C1045" s="320">
        <v>1400</v>
      </c>
      <c r="D1045" s="325">
        <v>1060</v>
      </c>
      <c r="E1045" s="325">
        <v>802</v>
      </c>
      <c r="F1045" s="325">
        <v>608</v>
      </c>
      <c r="G1045" s="325">
        <v>460</v>
      </c>
      <c r="H1045" s="325">
        <v>348</v>
      </c>
      <c r="I1045" s="325">
        <v>264</v>
      </c>
      <c r="J1045" s="325">
        <v>200</v>
      </c>
      <c r="K1045" s="325">
        <v>152</v>
      </c>
      <c r="L1045" s="325">
        <v>114</v>
      </c>
      <c r="M1045" s="435">
        <v>86</v>
      </c>
    </row>
    <row r="1046" spans="1:13" ht="14.25">
      <c r="B1046" s="434" t="s">
        <v>15</v>
      </c>
      <c r="C1046" s="325">
        <v>1060</v>
      </c>
      <c r="D1046" s="325">
        <v>802</v>
      </c>
      <c r="E1046" s="325">
        <v>608</v>
      </c>
      <c r="F1046" s="325">
        <v>460</v>
      </c>
      <c r="G1046" s="325">
        <v>348</v>
      </c>
      <c r="H1046" s="325">
        <v>264</v>
      </c>
      <c r="I1046" s="325">
        <v>200</v>
      </c>
      <c r="J1046" s="325">
        <v>152</v>
      </c>
      <c r="K1046" s="325">
        <v>114</v>
      </c>
      <c r="L1046" s="435">
        <v>86</v>
      </c>
      <c r="M1046" s="435">
        <v>68</v>
      </c>
    </row>
    <row r="1047" spans="1:13" ht="14.25">
      <c r="B1047" s="434" t="s">
        <v>16</v>
      </c>
      <c r="C1047" s="325">
        <v>802</v>
      </c>
      <c r="D1047" s="325">
        <v>608</v>
      </c>
      <c r="E1047" s="325">
        <v>460</v>
      </c>
      <c r="F1047" s="325">
        <v>348</v>
      </c>
      <c r="G1047" s="325">
        <v>264</v>
      </c>
      <c r="H1047" s="325">
        <v>200</v>
      </c>
      <c r="I1047" s="325">
        <v>152</v>
      </c>
      <c r="J1047" s="325">
        <v>114</v>
      </c>
      <c r="K1047" s="325">
        <v>86</v>
      </c>
      <c r="L1047" s="435">
        <v>68</v>
      </c>
      <c r="M1047" s="435">
        <v>68</v>
      </c>
    </row>
    <row r="1048" spans="1:13" ht="14.25">
      <c r="B1048" s="434" t="s">
        <v>17</v>
      </c>
      <c r="C1048" s="476" t="s">
        <v>18</v>
      </c>
      <c r="D1048" s="477"/>
      <c r="E1048" s="477"/>
      <c r="F1048" s="477"/>
      <c r="G1048" s="477"/>
      <c r="H1048" s="477"/>
      <c r="I1048" s="477"/>
      <c r="J1048" s="477"/>
      <c r="K1048" s="477"/>
      <c r="L1048" s="477"/>
      <c r="M1048" s="478"/>
    </row>
    <row r="1049" spans="1:13" ht="14.25">
      <c r="B1049" s="436"/>
      <c r="C1049" s="436"/>
      <c r="D1049" s="436"/>
      <c r="E1049" s="436"/>
    </row>
    <row r="1050" spans="1:13" ht="14.25">
      <c r="B1050" s="431" t="s">
        <v>19</v>
      </c>
      <c r="C1050" s="431"/>
      <c r="D1050" s="431"/>
      <c r="E1050" s="431"/>
    </row>
    <row r="1051" spans="1:13" ht="14.25">
      <c r="B1051" s="432" t="s">
        <v>2</v>
      </c>
      <c r="C1051" s="433" t="s">
        <v>3</v>
      </c>
      <c r="D1051" s="433" t="s">
        <v>4</v>
      </c>
      <c r="E1051" s="433" t="s">
        <v>5</v>
      </c>
      <c r="F1051" s="433" t="s">
        <v>6</v>
      </c>
      <c r="G1051" s="433" t="s">
        <v>7</v>
      </c>
      <c r="H1051" s="433" t="s">
        <v>8</v>
      </c>
      <c r="I1051" s="433" t="s">
        <v>9</v>
      </c>
      <c r="J1051" s="433" t="s">
        <v>10</v>
      </c>
      <c r="K1051" s="433" t="s">
        <v>11</v>
      </c>
      <c r="L1051" s="433" t="s">
        <v>12</v>
      </c>
      <c r="M1051" s="432" t="s">
        <v>13</v>
      </c>
    </row>
    <row r="1052" spans="1:13" ht="14.25">
      <c r="B1052" s="434" t="s">
        <v>14</v>
      </c>
      <c r="C1052" s="320">
        <v>1800</v>
      </c>
      <c r="D1052" s="325">
        <v>1356</v>
      </c>
      <c r="E1052" s="325">
        <v>1022</v>
      </c>
      <c r="F1052" s="325">
        <v>770</v>
      </c>
      <c r="G1052" s="325">
        <v>580</v>
      </c>
      <c r="H1052" s="325">
        <v>436</v>
      </c>
      <c r="I1052" s="325">
        <v>328</v>
      </c>
      <c r="J1052" s="325">
        <v>248</v>
      </c>
      <c r="K1052" s="325">
        <v>186</v>
      </c>
      <c r="L1052" s="325">
        <v>140</v>
      </c>
      <c r="M1052" s="435">
        <v>106</v>
      </c>
    </row>
    <row r="1053" spans="1:13" ht="14.25">
      <c r="B1053" s="434" t="s">
        <v>15</v>
      </c>
      <c r="C1053" s="325">
        <v>1356</v>
      </c>
      <c r="D1053" s="325">
        <v>1022</v>
      </c>
      <c r="E1053" s="325">
        <v>770</v>
      </c>
      <c r="F1053" s="325">
        <v>580</v>
      </c>
      <c r="G1053" s="325">
        <v>436</v>
      </c>
      <c r="H1053" s="325">
        <v>328</v>
      </c>
      <c r="I1053" s="325">
        <v>248</v>
      </c>
      <c r="J1053" s="325">
        <v>186</v>
      </c>
      <c r="K1053" s="325">
        <v>140</v>
      </c>
      <c r="L1053" s="435">
        <v>106</v>
      </c>
      <c r="M1053" s="435">
        <v>70</v>
      </c>
    </row>
    <row r="1054" spans="1:13" ht="14.25">
      <c r="B1054" s="434" t="s">
        <v>16</v>
      </c>
      <c r="C1054" s="325">
        <v>1022</v>
      </c>
      <c r="D1054" s="325">
        <v>770</v>
      </c>
      <c r="E1054" s="325">
        <v>580</v>
      </c>
      <c r="F1054" s="325">
        <v>436</v>
      </c>
      <c r="G1054" s="325">
        <v>328</v>
      </c>
      <c r="H1054" s="325">
        <v>248</v>
      </c>
      <c r="I1054" s="325">
        <v>186</v>
      </c>
      <c r="J1054" s="325">
        <v>140</v>
      </c>
      <c r="K1054" s="325">
        <v>106</v>
      </c>
      <c r="L1054" s="435">
        <v>70</v>
      </c>
      <c r="M1054" s="435">
        <v>70</v>
      </c>
    </row>
    <row r="1055" spans="1:13" ht="14.25">
      <c r="B1055" s="434" t="s">
        <v>17</v>
      </c>
      <c r="C1055" s="476" t="s">
        <v>18</v>
      </c>
      <c r="D1055" s="477"/>
      <c r="E1055" s="477"/>
      <c r="F1055" s="477"/>
      <c r="G1055" s="477"/>
      <c r="H1055" s="477"/>
      <c r="I1055" s="477"/>
      <c r="J1055" s="477"/>
      <c r="K1055" s="477"/>
      <c r="L1055" s="477"/>
      <c r="M1055" s="478"/>
    </row>
    <row r="1056" spans="1:13" ht="14.25">
      <c r="B1056" s="440"/>
      <c r="C1056" s="441"/>
      <c r="D1056" s="441"/>
      <c r="E1056" s="441"/>
      <c r="F1056" s="441"/>
      <c r="G1056" s="441"/>
      <c r="H1056" s="441"/>
      <c r="I1056" s="441"/>
      <c r="J1056" s="441"/>
      <c r="K1056" s="441"/>
      <c r="L1056" s="441"/>
      <c r="M1056" s="441"/>
    </row>
    <row r="1057" spans="1:13" ht="18">
      <c r="B1057" s="430" t="s">
        <v>99</v>
      </c>
      <c r="C1057" s="430"/>
      <c r="D1057" s="430"/>
      <c r="E1057" s="430"/>
    </row>
    <row r="1058" spans="1:13" ht="30" customHeight="1">
      <c r="A1058" s="437"/>
      <c r="B1058" s="442" t="s">
        <v>93</v>
      </c>
      <c r="C1058" s="431"/>
      <c r="D1058" s="431"/>
      <c r="E1058" s="431"/>
    </row>
    <row r="1059" spans="1:13" ht="14.25">
      <c r="B1059" s="432" t="s">
        <v>2</v>
      </c>
      <c r="C1059" s="433" t="s">
        <v>3</v>
      </c>
      <c r="D1059" s="433" t="s">
        <v>4</v>
      </c>
      <c r="E1059" s="433" t="s">
        <v>5</v>
      </c>
      <c r="F1059" s="433" t="s">
        <v>6</v>
      </c>
      <c r="G1059" s="433" t="s">
        <v>7</v>
      </c>
      <c r="H1059" s="433" t="s">
        <v>8</v>
      </c>
      <c r="I1059" s="433" t="s">
        <v>9</v>
      </c>
      <c r="J1059" s="433" t="s">
        <v>10</v>
      </c>
      <c r="K1059" s="433" t="s">
        <v>11</v>
      </c>
      <c r="L1059" s="433" t="s">
        <v>12</v>
      </c>
      <c r="M1059" s="432" t="s">
        <v>13</v>
      </c>
    </row>
    <row r="1060" spans="1:13" ht="14.25">
      <c r="B1060" s="434" t="s">
        <v>14</v>
      </c>
      <c r="C1060" s="320">
        <v>594</v>
      </c>
      <c r="D1060" s="325">
        <v>476</v>
      </c>
      <c r="E1060" s="325">
        <v>386</v>
      </c>
      <c r="F1060" s="325">
        <v>356</v>
      </c>
      <c r="G1060" s="325">
        <v>298</v>
      </c>
      <c r="H1060" s="325">
        <v>148</v>
      </c>
      <c r="I1060" s="325">
        <v>60</v>
      </c>
      <c r="J1060" s="325">
        <v>48</v>
      </c>
      <c r="K1060" s="325">
        <v>34</v>
      </c>
      <c r="L1060" s="325">
        <v>24</v>
      </c>
      <c r="M1060" s="325">
        <v>20</v>
      </c>
    </row>
    <row r="1061" spans="1:13" ht="14.25">
      <c r="B1061" s="434" t="s">
        <v>15</v>
      </c>
      <c r="C1061" s="325">
        <v>416</v>
      </c>
      <c r="D1061" s="325">
        <v>332</v>
      </c>
      <c r="E1061" s="325">
        <v>270</v>
      </c>
      <c r="F1061" s="325">
        <v>250</v>
      </c>
      <c r="G1061" s="325">
        <v>208</v>
      </c>
      <c r="H1061" s="325">
        <v>104</v>
      </c>
      <c r="I1061" s="325">
        <v>42</v>
      </c>
      <c r="J1061" s="325">
        <v>34</v>
      </c>
      <c r="K1061" s="325">
        <v>26</v>
      </c>
      <c r="L1061" s="435">
        <v>16</v>
      </c>
      <c r="M1061" s="435">
        <v>14</v>
      </c>
    </row>
    <row r="1062" spans="1:13" ht="14.25">
      <c r="B1062" s="434" t="s">
        <v>16</v>
      </c>
      <c r="C1062" s="476" t="s">
        <v>18</v>
      </c>
      <c r="D1062" s="477"/>
      <c r="E1062" s="477"/>
      <c r="F1062" s="477"/>
      <c r="G1062" s="477"/>
      <c r="H1062" s="477"/>
      <c r="I1062" s="477"/>
      <c r="J1062" s="477"/>
      <c r="K1062" s="477"/>
      <c r="L1062" s="477"/>
      <c r="M1062" s="478"/>
    </row>
    <row r="1063" spans="1:13" ht="14.25">
      <c r="B1063" s="434" t="s">
        <v>17</v>
      </c>
      <c r="C1063" s="476" t="s">
        <v>18</v>
      </c>
      <c r="D1063" s="477"/>
      <c r="E1063" s="477"/>
      <c r="F1063" s="477"/>
      <c r="G1063" s="477"/>
      <c r="H1063" s="477"/>
      <c r="I1063" s="477"/>
      <c r="J1063" s="477"/>
      <c r="K1063" s="477"/>
      <c r="L1063" s="477"/>
      <c r="M1063" s="478"/>
    </row>
    <row r="1065" spans="1:13" ht="18">
      <c r="B1065" s="430" t="s">
        <v>100</v>
      </c>
      <c r="C1065" s="430"/>
      <c r="D1065" s="430"/>
      <c r="E1065" s="430"/>
    </row>
    <row r="1066" spans="1:13" ht="30" customHeight="1">
      <c r="A1066" s="437"/>
      <c r="B1066" s="431" t="s">
        <v>39</v>
      </c>
      <c r="C1066" s="431"/>
      <c r="D1066" s="431"/>
      <c r="E1066" s="431"/>
    </row>
    <row r="1067" spans="1:13" ht="14.25">
      <c r="B1067" s="432" t="s">
        <v>2</v>
      </c>
      <c r="C1067" s="433" t="s">
        <v>3</v>
      </c>
      <c r="D1067" s="433" t="s">
        <v>4</v>
      </c>
      <c r="E1067" s="433" t="s">
        <v>5</v>
      </c>
      <c r="F1067" s="433" t="s">
        <v>6</v>
      </c>
      <c r="G1067" s="433" t="s">
        <v>7</v>
      </c>
      <c r="H1067" s="433" t="s">
        <v>8</v>
      </c>
      <c r="I1067" s="433" t="s">
        <v>9</v>
      </c>
      <c r="J1067" s="433" t="s">
        <v>10</v>
      </c>
      <c r="K1067" s="433" t="s">
        <v>11</v>
      </c>
      <c r="L1067" s="433" t="s">
        <v>12</v>
      </c>
      <c r="M1067" s="432" t="s">
        <v>13</v>
      </c>
    </row>
    <row r="1068" spans="1:13" ht="14.25">
      <c r="B1068" s="434" t="s">
        <v>14</v>
      </c>
      <c r="C1068" s="320">
        <v>926</v>
      </c>
      <c r="D1068" s="325">
        <v>696</v>
      </c>
      <c r="E1068" s="325">
        <v>522</v>
      </c>
      <c r="F1068" s="325">
        <v>390</v>
      </c>
      <c r="G1068" s="325">
        <v>294</v>
      </c>
      <c r="H1068" s="325">
        <v>220</v>
      </c>
      <c r="I1068" s="325">
        <v>164</v>
      </c>
      <c r="J1068" s="325">
        <v>124</v>
      </c>
      <c r="K1068" s="325">
        <v>92</v>
      </c>
      <c r="L1068" s="325">
        <v>70</v>
      </c>
      <c r="M1068" s="435">
        <v>52</v>
      </c>
    </row>
    <row r="1069" spans="1:13" ht="14.25">
      <c r="B1069" s="434" t="s">
        <v>15</v>
      </c>
      <c r="C1069" s="325">
        <v>606</v>
      </c>
      <c r="D1069" s="325">
        <v>456</v>
      </c>
      <c r="E1069" s="325">
        <v>342</v>
      </c>
      <c r="F1069" s="325">
        <v>256</v>
      </c>
      <c r="G1069" s="325">
        <v>192</v>
      </c>
      <c r="H1069" s="325">
        <v>144</v>
      </c>
      <c r="I1069" s="325">
        <v>108</v>
      </c>
      <c r="J1069" s="325">
        <v>82</v>
      </c>
      <c r="K1069" s="325">
        <v>60</v>
      </c>
      <c r="L1069" s="435">
        <v>46</v>
      </c>
      <c r="M1069" s="435">
        <v>34</v>
      </c>
    </row>
    <row r="1070" spans="1:13" ht="14.25">
      <c r="B1070" s="434" t="s">
        <v>16</v>
      </c>
      <c r="C1070" s="476" t="s">
        <v>18</v>
      </c>
      <c r="D1070" s="477"/>
      <c r="E1070" s="477"/>
      <c r="F1070" s="477"/>
      <c r="G1070" s="477"/>
      <c r="H1070" s="477"/>
      <c r="I1070" s="477"/>
      <c r="J1070" s="477"/>
      <c r="K1070" s="477"/>
      <c r="L1070" s="477"/>
      <c r="M1070" s="478"/>
    </row>
    <row r="1071" spans="1:13" ht="14.25">
      <c r="B1071" s="434" t="s">
        <v>17</v>
      </c>
      <c r="C1071" s="476" t="s">
        <v>18</v>
      </c>
      <c r="D1071" s="477"/>
      <c r="E1071" s="477"/>
      <c r="F1071" s="477"/>
      <c r="G1071" s="477"/>
      <c r="H1071" s="477"/>
      <c r="I1071" s="477"/>
      <c r="J1071" s="477"/>
      <c r="K1071" s="477"/>
      <c r="L1071" s="477"/>
      <c r="M1071" s="478"/>
    </row>
    <row r="1072" spans="1:13" ht="14.25">
      <c r="B1072" s="436"/>
      <c r="C1072" s="436"/>
      <c r="D1072" s="436"/>
      <c r="E1072" s="436"/>
    </row>
    <row r="1073" spans="1:13" ht="14.25">
      <c r="B1073" s="431" t="s">
        <v>19</v>
      </c>
      <c r="C1073" s="431"/>
      <c r="D1073" s="431"/>
      <c r="E1073" s="431"/>
    </row>
    <row r="1074" spans="1:13" ht="14.25">
      <c r="B1074" s="432" t="s">
        <v>2</v>
      </c>
      <c r="C1074" s="433" t="s">
        <v>3</v>
      </c>
      <c r="D1074" s="433" t="s">
        <v>4</v>
      </c>
      <c r="E1074" s="433" t="s">
        <v>5</v>
      </c>
      <c r="F1074" s="433" t="s">
        <v>6</v>
      </c>
      <c r="G1074" s="433" t="s">
        <v>7</v>
      </c>
      <c r="H1074" s="433" t="s">
        <v>8</v>
      </c>
      <c r="I1074" s="433" t="s">
        <v>9</v>
      </c>
      <c r="J1074" s="433" t="s">
        <v>10</v>
      </c>
      <c r="K1074" s="433" t="s">
        <v>11</v>
      </c>
      <c r="L1074" s="433" t="s">
        <v>12</v>
      </c>
      <c r="M1074" s="432" t="s">
        <v>13</v>
      </c>
    </row>
    <row r="1075" spans="1:13" ht="14.25">
      <c r="B1075" s="434" t="s">
        <v>14</v>
      </c>
      <c r="C1075" s="320">
        <v>1390</v>
      </c>
      <c r="D1075" s="325">
        <v>1042</v>
      </c>
      <c r="E1075" s="325">
        <v>782</v>
      </c>
      <c r="F1075" s="325">
        <v>586</v>
      </c>
      <c r="G1075" s="325">
        <v>440</v>
      </c>
      <c r="H1075" s="325">
        <v>330</v>
      </c>
      <c r="I1075" s="325">
        <v>248</v>
      </c>
      <c r="J1075" s="325">
        <v>186</v>
      </c>
      <c r="K1075" s="325">
        <v>140</v>
      </c>
      <c r="L1075" s="325">
        <v>104</v>
      </c>
      <c r="M1075" s="435">
        <v>78</v>
      </c>
    </row>
    <row r="1076" spans="1:13" ht="14.25">
      <c r="B1076" s="434" t="s">
        <v>15</v>
      </c>
      <c r="C1076" s="325">
        <v>910</v>
      </c>
      <c r="D1076" s="325">
        <v>682</v>
      </c>
      <c r="E1076" s="325">
        <v>512</v>
      </c>
      <c r="F1076" s="325">
        <v>384</v>
      </c>
      <c r="G1076" s="325">
        <v>288</v>
      </c>
      <c r="H1076" s="325">
        <v>216</v>
      </c>
      <c r="I1076" s="325">
        <v>162</v>
      </c>
      <c r="J1076" s="325">
        <v>122</v>
      </c>
      <c r="K1076" s="325">
        <v>92</v>
      </c>
      <c r="L1076" s="435">
        <v>68</v>
      </c>
      <c r="M1076" s="435">
        <v>52</v>
      </c>
    </row>
    <row r="1077" spans="1:13" ht="14.25">
      <c r="B1077" s="434" t="s">
        <v>16</v>
      </c>
      <c r="C1077" s="476" t="s">
        <v>18</v>
      </c>
      <c r="D1077" s="477"/>
      <c r="E1077" s="477"/>
      <c r="F1077" s="477"/>
      <c r="G1077" s="477"/>
      <c r="H1077" s="477"/>
      <c r="I1077" s="477"/>
      <c r="J1077" s="477"/>
      <c r="K1077" s="477"/>
      <c r="L1077" s="477"/>
      <c r="M1077" s="478"/>
    </row>
    <row r="1078" spans="1:13" ht="14.25">
      <c r="B1078" s="434" t="s">
        <v>17</v>
      </c>
      <c r="C1078" s="476" t="s">
        <v>18</v>
      </c>
      <c r="D1078" s="477"/>
      <c r="E1078" s="477"/>
      <c r="F1078" s="477"/>
      <c r="G1078" s="477"/>
      <c r="H1078" s="477"/>
      <c r="I1078" s="477"/>
      <c r="J1078" s="477"/>
      <c r="K1078" s="477"/>
      <c r="L1078" s="477"/>
      <c r="M1078" s="478"/>
    </row>
    <row r="1079" spans="1:13" ht="14.25">
      <c r="B1079" s="440"/>
      <c r="C1079" s="441"/>
      <c r="D1079" s="441"/>
      <c r="E1079" s="441"/>
      <c r="F1079" s="441"/>
      <c r="G1079" s="441"/>
      <c r="H1079" s="441"/>
      <c r="I1079" s="441"/>
      <c r="J1079" s="441"/>
      <c r="K1079" s="441"/>
      <c r="L1079" s="441"/>
      <c r="M1079" s="441"/>
    </row>
    <row r="1080" spans="1:13" ht="18">
      <c r="B1080" s="430" t="s">
        <v>101</v>
      </c>
      <c r="C1080" s="430"/>
      <c r="D1080" s="430"/>
      <c r="E1080" s="430"/>
    </row>
    <row r="1081" spans="1:13" ht="30" customHeight="1">
      <c r="A1081" s="437"/>
      <c r="B1081" s="442" t="s">
        <v>102</v>
      </c>
      <c r="C1081" s="431"/>
      <c r="D1081" s="431"/>
      <c r="E1081" s="431"/>
    </row>
    <row r="1082" spans="1:13" ht="14.25">
      <c r="B1082" s="432" t="s">
        <v>2</v>
      </c>
      <c r="C1082" s="433" t="s">
        <v>3</v>
      </c>
      <c r="D1082" s="433" t="s">
        <v>4</v>
      </c>
      <c r="E1082" s="433" t="s">
        <v>5</v>
      </c>
      <c r="F1082" s="433" t="s">
        <v>6</v>
      </c>
      <c r="G1082" s="433" t="s">
        <v>7</v>
      </c>
      <c r="H1082" s="433" t="s">
        <v>8</v>
      </c>
      <c r="I1082" s="433" t="s">
        <v>9</v>
      </c>
      <c r="J1082" s="433" t="s">
        <v>10</v>
      </c>
      <c r="K1082" s="433" t="s">
        <v>11</v>
      </c>
      <c r="L1082" s="433" t="s">
        <v>12</v>
      </c>
      <c r="M1082" s="432" t="s">
        <v>13</v>
      </c>
    </row>
    <row r="1083" spans="1:13" ht="14.25">
      <c r="B1083" s="434" t="s">
        <v>14</v>
      </c>
      <c r="C1083" s="320">
        <v>442</v>
      </c>
      <c r="D1083" s="325">
        <v>352</v>
      </c>
      <c r="E1083" s="325">
        <v>290</v>
      </c>
      <c r="F1083" s="325">
        <v>264</v>
      </c>
      <c r="G1083" s="325">
        <v>220</v>
      </c>
      <c r="H1083" s="325">
        <v>110</v>
      </c>
      <c r="I1083" s="325">
        <v>44</v>
      </c>
      <c r="J1083" s="325">
        <v>36</v>
      </c>
      <c r="K1083" s="325">
        <v>26</v>
      </c>
      <c r="L1083" s="325">
        <v>18</v>
      </c>
      <c r="M1083" s="435">
        <v>16</v>
      </c>
    </row>
    <row r="1084" spans="1:13" ht="14.25">
      <c r="B1084" s="434" t="s">
        <v>15</v>
      </c>
      <c r="C1084" s="325">
        <v>310</v>
      </c>
      <c r="D1084" s="325">
        <v>248</v>
      </c>
      <c r="E1084" s="325">
        <v>202</v>
      </c>
      <c r="F1084" s="325">
        <v>186</v>
      </c>
      <c r="G1084" s="325">
        <v>154</v>
      </c>
      <c r="H1084" s="325">
        <v>78</v>
      </c>
      <c r="I1084" s="325">
        <v>32</v>
      </c>
      <c r="J1084" s="325">
        <v>24</v>
      </c>
      <c r="K1084" s="325">
        <v>18</v>
      </c>
      <c r="L1084" s="435">
        <v>12</v>
      </c>
      <c r="M1084" s="435">
        <v>10</v>
      </c>
    </row>
    <row r="1085" spans="1:13" ht="14.25">
      <c r="B1085" s="434" t="s">
        <v>16</v>
      </c>
      <c r="C1085" s="476" t="s">
        <v>18</v>
      </c>
      <c r="D1085" s="477"/>
      <c r="E1085" s="477"/>
      <c r="F1085" s="477"/>
      <c r="G1085" s="477"/>
      <c r="H1085" s="477"/>
      <c r="I1085" s="477"/>
      <c r="J1085" s="477"/>
      <c r="K1085" s="477"/>
      <c r="L1085" s="477"/>
      <c r="M1085" s="478"/>
    </row>
    <row r="1086" spans="1:13" ht="14.25">
      <c r="B1086" s="434" t="s">
        <v>17</v>
      </c>
      <c r="C1086" s="476" t="s">
        <v>18</v>
      </c>
      <c r="D1086" s="477"/>
      <c r="E1086" s="477"/>
      <c r="F1086" s="477"/>
      <c r="G1086" s="477"/>
      <c r="H1086" s="477"/>
      <c r="I1086" s="477"/>
      <c r="J1086" s="477"/>
      <c r="K1086" s="477"/>
      <c r="L1086" s="477"/>
      <c r="M1086" s="478"/>
    </row>
    <row r="1087" spans="1:13" ht="14.25">
      <c r="B1087" s="440"/>
      <c r="C1087" s="441"/>
      <c r="D1087" s="441"/>
      <c r="E1087" s="441"/>
      <c r="F1087" s="441"/>
      <c r="G1087" s="441"/>
      <c r="H1087" s="441"/>
      <c r="I1087" s="441"/>
      <c r="J1087" s="441"/>
      <c r="K1087" s="441"/>
      <c r="L1087" s="441"/>
      <c r="M1087" s="441"/>
    </row>
    <row r="1088" spans="1:13" ht="18">
      <c r="B1088" s="430" t="s">
        <v>103</v>
      </c>
      <c r="C1088" s="430"/>
      <c r="D1088" s="430"/>
      <c r="E1088" s="430"/>
    </row>
    <row r="1089" spans="1:13" ht="30" customHeight="1">
      <c r="A1089" s="437"/>
      <c r="B1089" s="431" t="s">
        <v>39</v>
      </c>
      <c r="C1089" s="431"/>
      <c r="D1089" s="431"/>
      <c r="E1089" s="431"/>
    </row>
    <row r="1090" spans="1:13" ht="14.25">
      <c r="B1090" s="432" t="s">
        <v>2</v>
      </c>
      <c r="C1090" s="433" t="s">
        <v>3</v>
      </c>
      <c r="D1090" s="433" t="s">
        <v>4</v>
      </c>
      <c r="E1090" s="433" t="s">
        <v>5</v>
      </c>
      <c r="F1090" s="433" t="s">
        <v>6</v>
      </c>
      <c r="G1090" s="433" t="s">
        <v>7</v>
      </c>
      <c r="H1090" s="433" t="s">
        <v>8</v>
      </c>
      <c r="I1090" s="433" t="s">
        <v>9</v>
      </c>
      <c r="J1090" s="433" t="s">
        <v>10</v>
      </c>
      <c r="K1090" s="433" t="s">
        <v>11</v>
      </c>
      <c r="L1090" s="433" t="s">
        <v>12</v>
      </c>
      <c r="M1090" s="432" t="s">
        <v>13</v>
      </c>
    </row>
    <row r="1091" spans="1:13" ht="14.25">
      <c r="B1091" s="434" t="s">
        <v>14</v>
      </c>
      <c r="C1091" s="320">
        <v>2800</v>
      </c>
      <c r="D1091" s="325">
        <v>2100</v>
      </c>
      <c r="E1091" s="325">
        <v>1576</v>
      </c>
      <c r="F1091" s="325">
        <v>1182</v>
      </c>
      <c r="G1091" s="325">
        <v>898</v>
      </c>
      <c r="H1091" s="325">
        <v>674</v>
      </c>
      <c r="I1091" s="325">
        <v>504</v>
      </c>
      <c r="J1091" s="325">
        <v>394</v>
      </c>
      <c r="K1091" s="325">
        <v>280</v>
      </c>
      <c r="L1091" s="325">
        <v>196</v>
      </c>
      <c r="M1091" s="435">
        <v>140</v>
      </c>
    </row>
    <row r="1092" spans="1:13" ht="14.25">
      <c r="B1092" s="434" t="s">
        <v>15</v>
      </c>
      <c r="C1092" s="325">
        <v>2380</v>
      </c>
      <c r="D1092" s="325">
        <v>1786</v>
      </c>
      <c r="E1092" s="325">
        <v>1338</v>
      </c>
      <c r="F1092" s="325">
        <v>1004</v>
      </c>
      <c r="G1092" s="325">
        <v>764</v>
      </c>
      <c r="H1092" s="325">
        <v>572</v>
      </c>
      <c r="I1092" s="325">
        <v>430</v>
      </c>
      <c r="J1092" s="325">
        <v>334</v>
      </c>
      <c r="K1092" s="325">
        <v>238</v>
      </c>
      <c r="L1092" s="325">
        <v>166</v>
      </c>
      <c r="M1092" s="435">
        <v>118</v>
      </c>
    </row>
    <row r="1093" spans="1:13" ht="14.25">
      <c r="B1093" s="434" t="s">
        <v>16</v>
      </c>
      <c r="C1093" s="325">
        <v>1320</v>
      </c>
      <c r="D1093" s="325">
        <v>990</v>
      </c>
      <c r="E1093" s="325">
        <v>742</v>
      </c>
      <c r="F1093" s="325">
        <v>556</v>
      </c>
      <c r="G1093" s="325">
        <v>424</v>
      </c>
      <c r="H1093" s="325">
        <v>318</v>
      </c>
      <c r="I1093" s="325">
        <v>238</v>
      </c>
      <c r="J1093" s="325">
        <v>186</v>
      </c>
      <c r="K1093" s="325">
        <v>132</v>
      </c>
      <c r="L1093" s="325">
        <v>92</v>
      </c>
      <c r="M1093" s="435">
        <v>66</v>
      </c>
    </row>
    <row r="1094" spans="1:13" ht="14.25">
      <c r="B1094" s="434" t="s">
        <v>17</v>
      </c>
      <c r="C1094" s="476" t="s">
        <v>18</v>
      </c>
      <c r="D1094" s="477"/>
      <c r="E1094" s="477"/>
      <c r="F1094" s="477"/>
      <c r="G1094" s="477"/>
      <c r="H1094" s="477"/>
      <c r="I1094" s="477"/>
      <c r="J1094" s="477"/>
      <c r="K1094" s="477"/>
      <c r="L1094" s="477"/>
      <c r="M1094" s="478"/>
    </row>
    <row r="1095" spans="1:13" ht="14.25">
      <c r="B1095" s="436"/>
      <c r="C1095" s="436"/>
      <c r="D1095" s="436"/>
      <c r="E1095" s="436"/>
    </row>
    <row r="1096" spans="1:13" ht="14.25">
      <c r="B1096" s="431" t="s">
        <v>19</v>
      </c>
      <c r="C1096" s="431"/>
      <c r="D1096" s="431"/>
      <c r="E1096" s="431"/>
    </row>
    <row r="1097" spans="1:13" ht="14.25">
      <c r="B1097" s="432" t="s">
        <v>2</v>
      </c>
      <c r="C1097" s="433" t="s">
        <v>3</v>
      </c>
      <c r="D1097" s="433" t="s">
        <v>4</v>
      </c>
      <c r="E1097" s="433" t="s">
        <v>5</v>
      </c>
      <c r="F1097" s="433" t="s">
        <v>6</v>
      </c>
      <c r="G1097" s="433" t="s">
        <v>7</v>
      </c>
      <c r="H1097" s="433" t="s">
        <v>8</v>
      </c>
      <c r="I1097" s="433" t="s">
        <v>9</v>
      </c>
      <c r="J1097" s="433" t="s">
        <v>10</v>
      </c>
      <c r="K1097" s="433" t="s">
        <v>11</v>
      </c>
      <c r="L1097" s="433" t="s">
        <v>12</v>
      </c>
      <c r="M1097" s="432" t="s">
        <v>13</v>
      </c>
    </row>
    <row r="1098" spans="1:13" ht="14.25">
      <c r="B1098" s="434" t="s">
        <v>14</v>
      </c>
      <c r="C1098" s="320">
        <v>6600</v>
      </c>
      <c r="D1098" s="325">
        <v>4950</v>
      </c>
      <c r="E1098" s="325">
        <v>3712</v>
      </c>
      <c r="F1098" s="325">
        <v>2784</v>
      </c>
      <c r="G1098" s="325">
        <v>2116</v>
      </c>
      <c r="H1098" s="325">
        <v>1588</v>
      </c>
      <c r="I1098" s="325">
        <v>1190</v>
      </c>
      <c r="J1098" s="325">
        <v>928</v>
      </c>
      <c r="K1098" s="325">
        <v>660</v>
      </c>
      <c r="L1098" s="325">
        <v>462</v>
      </c>
      <c r="M1098" s="435">
        <v>328</v>
      </c>
    </row>
    <row r="1099" spans="1:13" ht="14.25">
      <c r="B1099" s="434" t="s">
        <v>15</v>
      </c>
      <c r="C1099" s="325">
        <v>5280</v>
      </c>
      <c r="D1099" s="325">
        <v>3960</v>
      </c>
      <c r="E1099" s="325">
        <v>2970</v>
      </c>
      <c r="F1099" s="325">
        <v>2228</v>
      </c>
      <c r="G1099" s="325">
        <v>1692</v>
      </c>
      <c r="H1099" s="325">
        <v>1270</v>
      </c>
      <c r="I1099" s="325">
        <v>952</v>
      </c>
      <c r="J1099" s="325">
        <v>742</v>
      </c>
      <c r="K1099" s="325">
        <v>528</v>
      </c>
      <c r="L1099" s="325">
        <v>370</v>
      </c>
      <c r="M1099" s="435">
        <v>262</v>
      </c>
    </row>
    <row r="1100" spans="1:13" ht="14.25">
      <c r="B1100" s="434" t="s">
        <v>16</v>
      </c>
      <c r="C1100" s="325">
        <v>2904</v>
      </c>
      <c r="D1100" s="325">
        <v>2178</v>
      </c>
      <c r="E1100" s="325">
        <v>1634</v>
      </c>
      <c r="F1100" s="325">
        <v>1226</v>
      </c>
      <c r="G1100" s="325">
        <v>932</v>
      </c>
      <c r="H1100" s="325">
        <v>698</v>
      </c>
      <c r="I1100" s="325">
        <v>524</v>
      </c>
      <c r="J1100" s="325">
        <v>408</v>
      </c>
      <c r="K1100" s="325">
        <v>290</v>
      </c>
      <c r="L1100" s="325">
        <v>204</v>
      </c>
      <c r="M1100" s="435">
        <v>144</v>
      </c>
    </row>
    <row r="1101" spans="1:13" ht="14.25">
      <c r="B1101" s="434" t="s">
        <v>17</v>
      </c>
      <c r="C1101" s="476" t="s">
        <v>18</v>
      </c>
      <c r="D1101" s="477"/>
      <c r="E1101" s="477"/>
      <c r="F1101" s="477"/>
      <c r="G1101" s="477"/>
      <c r="H1101" s="477"/>
      <c r="I1101" s="477"/>
      <c r="J1101" s="477"/>
      <c r="K1101" s="477"/>
      <c r="L1101" s="477"/>
      <c r="M1101" s="478"/>
    </row>
    <row r="1103" spans="1:13" ht="18">
      <c r="B1103" s="438" t="s">
        <v>104</v>
      </c>
      <c r="C1103" s="438"/>
      <c r="D1103" s="438"/>
      <c r="E1103" s="438"/>
    </row>
    <row r="1104" spans="1:13" ht="30" customHeight="1">
      <c r="A1104" s="437"/>
      <c r="B1104" s="431" t="s">
        <v>39</v>
      </c>
      <c r="C1104" s="431"/>
      <c r="D1104" s="431"/>
      <c r="E1104" s="431"/>
    </row>
    <row r="1105" spans="1:13" ht="14.25">
      <c r="B1105" s="432" t="s">
        <v>2</v>
      </c>
      <c r="C1105" s="433" t="s">
        <v>3</v>
      </c>
      <c r="D1105" s="433" t="s">
        <v>4</v>
      </c>
      <c r="E1105" s="433" t="s">
        <v>5</v>
      </c>
      <c r="F1105" s="433" t="s">
        <v>6</v>
      </c>
      <c r="G1105" s="433" t="s">
        <v>7</v>
      </c>
      <c r="H1105" s="433" t="s">
        <v>8</v>
      </c>
      <c r="I1105" s="433" t="s">
        <v>9</v>
      </c>
      <c r="J1105" s="433" t="s">
        <v>10</v>
      </c>
      <c r="K1105" s="433" t="s">
        <v>11</v>
      </c>
      <c r="L1105" s="433" t="s">
        <v>12</v>
      </c>
      <c r="M1105" s="432" t="s">
        <v>13</v>
      </c>
    </row>
    <row r="1106" spans="1:13" ht="14.25">
      <c r="B1106" s="434" t="s">
        <v>14</v>
      </c>
      <c r="C1106" s="320">
        <v>21750</v>
      </c>
      <c r="D1106" s="325">
        <v>19575</v>
      </c>
      <c r="E1106" s="325">
        <v>17610</v>
      </c>
      <c r="F1106" s="325">
        <v>13210</v>
      </c>
      <c r="G1106" s="325">
        <v>11890</v>
      </c>
      <c r="H1106" s="325">
        <v>8910</v>
      </c>
      <c r="I1106" s="325">
        <v>6685</v>
      </c>
      <c r="J1106" s="325">
        <v>5010</v>
      </c>
      <c r="K1106" s="325">
        <v>3755</v>
      </c>
      <c r="L1106" s="325">
        <v>1870</v>
      </c>
      <c r="M1106" s="435">
        <v>467.5</v>
      </c>
    </row>
    <row r="1107" spans="1:13" ht="14.25">
      <c r="B1107" s="434" t="s">
        <v>15</v>
      </c>
      <c r="C1107" s="325">
        <v>14500</v>
      </c>
      <c r="D1107" s="325">
        <v>13050</v>
      </c>
      <c r="E1107" s="325">
        <v>11740</v>
      </c>
      <c r="F1107" s="325">
        <v>8807.5</v>
      </c>
      <c r="G1107" s="325">
        <v>7927.5</v>
      </c>
      <c r="H1107" s="325">
        <v>5940</v>
      </c>
      <c r="I1107" s="325">
        <v>4457.5</v>
      </c>
      <c r="J1107" s="325">
        <v>3340</v>
      </c>
      <c r="K1107" s="325">
        <v>2502.5</v>
      </c>
      <c r="L1107" s="325">
        <v>1245</v>
      </c>
      <c r="M1107" s="435">
        <v>312.5</v>
      </c>
    </row>
    <row r="1108" spans="1:13" ht="14.25">
      <c r="B1108" s="434" t="s">
        <v>16</v>
      </c>
      <c r="C1108" s="325">
        <v>11600</v>
      </c>
      <c r="D1108" s="325">
        <v>10440</v>
      </c>
      <c r="E1108" s="325">
        <v>9392.5</v>
      </c>
      <c r="F1108" s="325">
        <v>7045</v>
      </c>
      <c r="G1108" s="325">
        <v>6342.5</v>
      </c>
      <c r="H1108" s="325">
        <v>4752.5</v>
      </c>
      <c r="I1108" s="325">
        <v>3565</v>
      </c>
      <c r="J1108" s="325">
        <v>2672.5</v>
      </c>
      <c r="K1108" s="325">
        <v>2002.5</v>
      </c>
      <c r="L1108" s="325">
        <v>997.5</v>
      </c>
      <c r="M1108" s="435">
        <v>250</v>
      </c>
    </row>
    <row r="1109" spans="1:13" ht="14.25">
      <c r="B1109" s="434" t="s">
        <v>17</v>
      </c>
      <c r="C1109" s="435">
        <v>8700</v>
      </c>
      <c r="D1109" s="435">
        <v>7830</v>
      </c>
      <c r="E1109" s="435">
        <v>7045</v>
      </c>
      <c r="F1109" s="435">
        <v>5285</v>
      </c>
      <c r="G1109" s="435">
        <v>4755</v>
      </c>
      <c r="H1109" s="435">
        <v>3565</v>
      </c>
      <c r="I1109" s="435">
        <v>2675</v>
      </c>
      <c r="J1109" s="435">
        <v>2005</v>
      </c>
      <c r="K1109" s="435">
        <v>1502.5</v>
      </c>
      <c r="L1109" s="435">
        <v>747.5</v>
      </c>
      <c r="M1109" s="435">
        <v>187.5</v>
      </c>
    </row>
    <row r="1110" spans="1:13" ht="14.25">
      <c r="B1110" s="436"/>
      <c r="C1110" s="436"/>
      <c r="D1110" s="436"/>
      <c r="E1110" s="436"/>
    </row>
    <row r="1111" spans="1:13" ht="14.25">
      <c r="B1111" s="431" t="s">
        <v>19</v>
      </c>
      <c r="C1111" s="431"/>
      <c r="D1111" s="431"/>
      <c r="E1111" s="431"/>
    </row>
    <row r="1112" spans="1:13" ht="14.25">
      <c r="B1112" s="432" t="s">
        <v>2</v>
      </c>
      <c r="C1112" s="433" t="s">
        <v>3</v>
      </c>
      <c r="D1112" s="433" t="s">
        <v>4</v>
      </c>
      <c r="E1112" s="433" t="s">
        <v>5</v>
      </c>
      <c r="F1112" s="433" t="s">
        <v>6</v>
      </c>
      <c r="G1112" s="433" t="s">
        <v>7</v>
      </c>
      <c r="H1112" s="433" t="s">
        <v>8</v>
      </c>
      <c r="I1112" s="433" t="s">
        <v>9</v>
      </c>
      <c r="J1112" s="433" t="s">
        <v>10</v>
      </c>
      <c r="K1112" s="433" t="s">
        <v>11</v>
      </c>
      <c r="L1112" s="433" t="s">
        <v>12</v>
      </c>
      <c r="M1112" s="432" t="s">
        <v>13</v>
      </c>
    </row>
    <row r="1113" spans="1:13" ht="14.25">
      <c r="B1113" s="434" t="s">
        <v>14</v>
      </c>
      <c r="C1113" s="320">
        <v>36975</v>
      </c>
      <c r="D1113" s="325">
        <v>33277.5</v>
      </c>
      <c r="E1113" s="325">
        <v>29935</v>
      </c>
      <c r="F1113" s="325">
        <v>22460</v>
      </c>
      <c r="G1113" s="325">
        <v>20212.5</v>
      </c>
      <c r="H1113" s="325">
        <v>15145</v>
      </c>
      <c r="I1113" s="325">
        <v>11367.5</v>
      </c>
      <c r="J1113" s="325">
        <v>8517.5</v>
      </c>
      <c r="K1113" s="325">
        <v>6382.5</v>
      </c>
      <c r="L1113" s="325">
        <v>3177.5</v>
      </c>
      <c r="M1113" s="435">
        <v>795</v>
      </c>
    </row>
    <row r="1114" spans="1:13" ht="14.25">
      <c r="B1114" s="434" t="s">
        <v>15</v>
      </c>
      <c r="C1114" s="325">
        <v>24650</v>
      </c>
      <c r="D1114" s="325">
        <v>22185</v>
      </c>
      <c r="E1114" s="325">
        <v>19957.5</v>
      </c>
      <c r="F1114" s="325">
        <v>14972.5</v>
      </c>
      <c r="G1114" s="325">
        <v>13475</v>
      </c>
      <c r="H1114" s="325">
        <v>10097.5</v>
      </c>
      <c r="I1114" s="325">
        <v>7577.5</v>
      </c>
      <c r="J1114" s="325">
        <v>5677.5</v>
      </c>
      <c r="K1114" s="325">
        <v>4255</v>
      </c>
      <c r="L1114" s="325">
        <v>2117.5</v>
      </c>
      <c r="M1114" s="435">
        <v>530</v>
      </c>
    </row>
    <row r="1115" spans="1:13" ht="14.25">
      <c r="B1115" s="434" t="s">
        <v>16</v>
      </c>
      <c r="C1115" s="325">
        <v>19720</v>
      </c>
      <c r="D1115" s="325">
        <v>17747.5</v>
      </c>
      <c r="E1115" s="325">
        <v>15965</v>
      </c>
      <c r="F1115" s="325">
        <v>11977.5</v>
      </c>
      <c r="G1115" s="325">
        <v>10780</v>
      </c>
      <c r="H1115" s="325">
        <v>8077.5</v>
      </c>
      <c r="I1115" s="325">
        <v>6062.5</v>
      </c>
      <c r="J1115" s="325">
        <v>4542.5</v>
      </c>
      <c r="K1115" s="325">
        <v>3402.5</v>
      </c>
      <c r="L1115" s="325">
        <v>1695</v>
      </c>
      <c r="M1115" s="435">
        <v>422.5</v>
      </c>
    </row>
    <row r="1116" spans="1:13" ht="14.25">
      <c r="B1116" s="434" t="s">
        <v>17</v>
      </c>
      <c r="C1116" s="435">
        <v>14790</v>
      </c>
      <c r="D1116" s="435">
        <v>13310</v>
      </c>
      <c r="E1116" s="435">
        <v>11975</v>
      </c>
      <c r="F1116" s="435">
        <v>8982.5</v>
      </c>
      <c r="G1116" s="435">
        <v>8085</v>
      </c>
      <c r="H1116" s="435">
        <v>6057.5</v>
      </c>
      <c r="I1116" s="435">
        <v>4547.5</v>
      </c>
      <c r="J1116" s="435">
        <v>3407.5</v>
      </c>
      <c r="K1116" s="435">
        <v>2552.5</v>
      </c>
      <c r="L1116" s="435">
        <v>1270</v>
      </c>
      <c r="M1116" s="435">
        <v>317.5</v>
      </c>
    </row>
    <row r="1118" spans="1:13" ht="18">
      <c r="B1118" s="430" t="s">
        <v>105</v>
      </c>
      <c r="C1118" s="430"/>
      <c r="D1118" s="430"/>
      <c r="E1118" s="430"/>
    </row>
    <row r="1119" spans="1:13" ht="30" customHeight="1">
      <c r="A1119" s="437"/>
      <c r="B1119" s="431" t="s">
        <v>39</v>
      </c>
      <c r="C1119" s="431"/>
      <c r="D1119" s="431"/>
      <c r="E1119" s="431"/>
    </row>
    <row r="1120" spans="1:13" ht="14.25">
      <c r="B1120" s="432" t="s">
        <v>2</v>
      </c>
      <c r="C1120" s="433" t="s">
        <v>3</v>
      </c>
      <c r="D1120" s="433" t="s">
        <v>4</v>
      </c>
      <c r="E1120" s="433" t="s">
        <v>5</v>
      </c>
      <c r="F1120" s="433" t="s">
        <v>6</v>
      </c>
      <c r="G1120" s="433" t="s">
        <v>7</v>
      </c>
      <c r="H1120" s="433" t="s">
        <v>8</v>
      </c>
      <c r="I1120" s="433" t="s">
        <v>9</v>
      </c>
      <c r="J1120" s="433" t="s">
        <v>10</v>
      </c>
      <c r="K1120" s="433" t="s">
        <v>11</v>
      </c>
      <c r="L1120" s="433" t="s">
        <v>12</v>
      </c>
      <c r="M1120" s="432" t="s">
        <v>13</v>
      </c>
    </row>
    <row r="1121" spans="1:13" ht="14.25">
      <c r="B1121" s="434" t="s">
        <v>14</v>
      </c>
      <c r="C1121" s="320">
        <v>3786</v>
      </c>
      <c r="D1121" s="325">
        <v>2840</v>
      </c>
      <c r="E1121" s="325">
        <v>2130</v>
      </c>
      <c r="F1121" s="325">
        <v>1598</v>
      </c>
      <c r="G1121" s="325">
        <v>1198</v>
      </c>
      <c r="H1121" s="325">
        <v>898</v>
      </c>
      <c r="I1121" s="325">
        <v>674</v>
      </c>
      <c r="J1121" s="325">
        <v>504</v>
      </c>
      <c r="K1121" s="325">
        <v>380</v>
      </c>
      <c r="L1121" s="325">
        <v>284</v>
      </c>
      <c r="M1121" s="435">
        <v>214</v>
      </c>
    </row>
    <row r="1122" spans="1:13" ht="14.25">
      <c r="B1122" s="434" t="s">
        <v>15</v>
      </c>
      <c r="C1122" s="476" t="s">
        <v>18</v>
      </c>
      <c r="D1122" s="477"/>
      <c r="E1122" s="477"/>
      <c r="F1122" s="477"/>
      <c r="G1122" s="477"/>
      <c r="H1122" s="477"/>
      <c r="I1122" s="477"/>
      <c r="J1122" s="477"/>
      <c r="K1122" s="477"/>
      <c r="L1122" s="477"/>
      <c r="M1122" s="478"/>
    </row>
    <row r="1123" spans="1:13" ht="14.25">
      <c r="B1123" s="434" t="s">
        <v>16</v>
      </c>
      <c r="C1123" s="476" t="s">
        <v>18</v>
      </c>
      <c r="D1123" s="477"/>
      <c r="E1123" s="477"/>
      <c r="F1123" s="477"/>
      <c r="G1123" s="477"/>
      <c r="H1123" s="477"/>
      <c r="I1123" s="477"/>
      <c r="J1123" s="477"/>
      <c r="K1123" s="477"/>
      <c r="L1123" s="477"/>
      <c r="M1123" s="478"/>
    </row>
    <row r="1124" spans="1:13" ht="14.25">
      <c r="B1124" s="434" t="s">
        <v>17</v>
      </c>
      <c r="C1124" s="476" t="s">
        <v>18</v>
      </c>
      <c r="D1124" s="477"/>
      <c r="E1124" s="477"/>
      <c r="F1124" s="477"/>
      <c r="G1124" s="477"/>
      <c r="H1124" s="477"/>
      <c r="I1124" s="477"/>
      <c r="J1124" s="477"/>
      <c r="K1124" s="477"/>
      <c r="L1124" s="477"/>
      <c r="M1124" s="478"/>
    </row>
    <row r="1125" spans="1:13" ht="14.25">
      <c r="B1125" s="436"/>
      <c r="C1125" s="436"/>
      <c r="D1125" s="436"/>
      <c r="E1125" s="436"/>
    </row>
    <row r="1126" spans="1:13" ht="14.25">
      <c r="B1126" s="431" t="s">
        <v>19</v>
      </c>
      <c r="C1126" s="431"/>
      <c r="D1126" s="431"/>
      <c r="E1126" s="431"/>
    </row>
    <row r="1127" spans="1:13" ht="14.25">
      <c r="B1127" s="432" t="s">
        <v>2</v>
      </c>
      <c r="C1127" s="433" t="s">
        <v>3</v>
      </c>
      <c r="D1127" s="433" t="s">
        <v>4</v>
      </c>
      <c r="E1127" s="433" t="s">
        <v>5</v>
      </c>
      <c r="F1127" s="433" t="s">
        <v>6</v>
      </c>
      <c r="G1127" s="433" t="s">
        <v>7</v>
      </c>
      <c r="H1127" s="433" t="s">
        <v>8</v>
      </c>
      <c r="I1127" s="433" t="s">
        <v>9</v>
      </c>
      <c r="J1127" s="433" t="s">
        <v>10</v>
      </c>
      <c r="K1127" s="433" t="s">
        <v>11</v>
      </c>
      <c r="L1127" s="433" t="s">
        <v>12</v>
      </c>
      <c r="M1127" s="432" t="s">
        <v>13</v>
      </c>
    </row>
    <row r="1128" spans="1:13" ht="14.25">
      <c r="B1128" s="434" t="s">
        <v>14</v>
      </c>
      <c r="C1128" s="320">
        <v>4844</v>
      </c>
      <c r="D1128" s="325">
        <v>3632</v>
      </c>
      <c r="E1128" s="325">
        <v>2724</v>
      </c>
      <c r="F1128" s="325">
        <v>2044</v>
      </c>
      <c r="G1128" s="325">
        <v>1534</v>
      </c>
      <c r="H1128" s="325">
        <v>1150</v>
      </c>
      <c r="I1128" s="325">
        <v>862</v>
      </c>
      <c r="J1128" s="325">
        <v>648</v>
      </c>
      <c r="K1128" s="325">
        <v>484</v>
      </c>
      <c r="L1128" s="325">
        <v>364</v>
      </c>
      <c r="M1128" s="435">
        <v>272</v>
      </c>
    </row>
    <row r="1129" spans="1:13" ht="14.25">
      <c r="B1129" s="434" t="s">
        <v>15</v>
      </c>
      <c r="C1129" s="476" t="s">
        <v>18</v>
      </c>
      <c r="D1129" s="477"/>
      <c r="E1129" s="477"/>
      <c r="F1129" s="477"/>
      <c r="G1129" s="477"/>
      <c r="H1129" s="477"/>
      <c r="I1129" s="477"/>
      <c r="J1129" s="477"/>
      <c r="K1129" s="477"/>
      <c r="L1129" s="477"/>
      <c r="M1129" s="478"/>
    </row>
    <row r="1130" spans="1:13" ht="14.25">
      <c r="B1130" s="434" t="s">
        <v>16</v>
      </c>
      <c r="C1130" s="476" t="s">
        <v>18</v>
      </c>
      <c r="D1130" s="477"/>
      <c r="E1130" s="477"/>
      <c r="F1130" s="477"/>
      <c r="G1130" s="477"/>
      <c r="H1130" s="477"/>
      <c r="I1130" s="477"/>
      <c r="J1130" s="477"/>
      <c r="K1130" s="477"/>
      <c r="L1130" s="477"/>
      <c r="M1130" s="478"/>
    </row>
    <row r="1131" spans="1:13" ht="14.25">
      <c r="B1131" s="434" t="s">
        <v>17</v>
      </c>
      <c r="C1131" s="476" t="s">
        <v>18</v>
      </c>
      <c r="D1131" s="477"/>
      <c r="E1131" s="477"/>
      <c r="F1131" s="477"/>
      <c r="G1131" s="477"/>
      <c r="H1131" s="477"/>
      <c r="I1131" s="477"/>
      <c r="J1131" s="477"/>
      <c r="K1131" s="477"/>
      <c r="L1131" s="477"/>
      <c r="M1131" s="478"/>
    </row>
    <row r="1132" spans="1:13" ht="14.25">
      <c r="B1132" s="440"/>
      <c r="C1132" s="441"/>
      <c r="D1132" s="441"/>
      <c r="E1132" s="441"/>
      <c r="F1132" s="441"/>
      <c r="G1132" s="441"/>
      <c r="H1132" s="441"/>
      <c r="I1132" s="441"/>
      <c r="J1132" s="441"/>
      <c r="K1132" s="441"/>
      <c r="L1132" s="441"/>
      <c r="M1132" s="441"/>
    </row>
    <row r="1133" spans="1:13" ht="18">
      <c r="B1133" s="430" t="s">
        <v>106</v>
      </c>
      <c r="C1133" s="430"/>
      <c r="D1133" s="430"/>
      <c r="E1133" s="430"/>
    </row>
    <row r="1134" spans="1:13" ht="30" customHeight="1">
      <c r="A1134" s="437"/>
      <c r="B1134" s="431" t="s">
        <v>39</v>
      </c>
      <c r="C1134" s="431"/>
      <c r="D1134" s="431"/>
      <c r="E1134" s="431"/>
    </row>
    <row r="1135" spans="1:13" ht="14.25">
      <c r="B1135" s="432" t="s">
        <v>2</v>
      </c>
      <c r="C1135" s="433" t="s">
        <v>3</v>
      </c>
      <c r="D1135" s="433" t="s">
        <v>4</v>
      </c>
      <c r="E1135" s="433" t="s">
        <v>5</v>
      </c>
      <c r="F1135" s="433" t="s">
        <v>6</v>
      </c>
      <c r="G1135" s="433" t="s">
        <v>7</v>
      </c>
      <c r="H1135" s="433" t="s">
        <v>8</v>
      </c>
      <c r="I1135" s="433" t="s">
        <v>9</v>
      </c>
      <c r="J1135" s="433" t="s">
        <v>10</v>
      </c>
      <c r="K1135" s="433" t="s">
        <v>11</v>
      </c>
      <c r="L1135" s="433" t="s">
        <v>12</v>
      </c>
      <c r="M1135" s="432" t="s">
        <v>13</v>
      </c>
    </row>
    <row r="1136" spans="1:13" ht="14.25">
      <c r="B1136" s="434" t="s">
        <v>14</v>
      </c>
      <c r="C1136" s="320">
        <v>456</v>
      </c>
      <c r="D1136" s="325">
        <v>342</v>
      </c>
      <c r="E1136" s="325">
        <v>256</v>
      </c>
      <c r="F1136" s="325">
        <v>192</v>
      </c>
      <c r="G1136" s="325">
        <v>144</v>
      </c>
      <c r="H1136" s="325">
        <v>108</v>
      </c>
      <c r="I1136" s="325">
        <v>82</v>
      </c>
      <c r="J1136" s="325">
        <v>60</v>
      </c>
      <c r="K1136" s="325">
        <v>46</v>
      </c>
      <c r="L1136" s="325">
        <v>34</v>
      </c>
      <c r="M1136" s="435">
        <v>26</v>
      </c>
    </row>
    <row r="1137" spans="1:13" ht="14.25">
      <c r="B1137" s="434" t="s">
        <v>15</v>
      </c>
      <c r="C1137" s="476" t="s">
        <v>18</v>
      </c>
      <c r="D1137" s="477"/>
      <c r="E1137" s="477"/>
      <c r="F1137" s="477"/>
      <c r="G1137" s="477"/>
      <c r="H1137" s="477"/>
      <c r="I1137" s="477"/>
      <c r="J1137" s="477"/>
      <c r="K1137" s="477"/>
      <c r="L1137" s="477"/>
      <c r="M1137" s="478"/>
    </row>
    <row r="1138" spans="1:13" ht="14.25">
      <c r="B1138" s="434" t="s">
        <v>16</v>
      </c>
      <c r="C1138" s="476" t="s">
        <v>18</v>
      </c>
      <c r="D1138" s="477"/>
      <c r="E1138" s="477"/>
      <c r="F1138" s="477"/>
      <c r="G1138" s="477"/>
      <c r="H1138" s="477"/>
      <c r="I1138" s="477"/>
      <c r="J1138" s="477"/>
      <c r="K1138" s="477"/>
      <c r="L1138" s="477"/>
      <c r="M1138" s="478"/>
    </row>
    <row r="1139" spans="1:13" ht="14.25">
      <c r="B1139" s="434" t="s">
        <v>17</v>
      </c>
      <c r="C1139" s="476" t="s">
        <v>18</v>
      </c>
      <c r="D1139" s="477"/>
      <c r="E1139" s="477"/>
      <c r="F1139" s="477"/>
      <c r="G1139" s="477"/>
      <c r="H1139" s="477"/>
      <c r="I1139" s="477"/>
      <c r="J1139" s="477"/>
      <c r="K1139" s="477"/>
      <c r="L1139" s="477"/>
      <c r="M1139" s="478"/>
    </row>
    <row r="1140" spans="1:13" ht="14.25">
      <c r="B1140" s="436"/>
      <c r="C1140" s="436"/>
      <c r="D1140" s="436"/>
      <c r="E1140" s="436"/>
    </row>
    <row r="1141" spans="1:13" ht="14.25">
      <c r="B1141" s="431" t="s">
        <v>19</v>
      </c>
      <c r="C1141" s="431"/>
      <c r="D1141" s="431"/>
      <c r="E1141" s="431"/>
    </row>
    <row r="1142" spans="1:13" ht="14.25">
      <c r="B1142" s="432" t="s">
        <v>2</v>
      </c>
      <c r="C1142" s="433" t="s">
        <v>3</v>
      </c>
      <c r="D1142" s="433" t="s">
        <v>4</v>
      </c>
      <c r="E1142" s="433" t="s">
        <v>5</v>
      </c>
      <c r="F1142" s="433" t="s">
        <v>6</v>
      </c>
      <c r="G1142" s="433" t="s">
        <v>7</v>
      </c>
      <c r="H1142" s="433" t="s">
        <v>8</v>
      </c>
      <c r="I1142" s="433" t="s">
        <v>9</v>
      </c>
      <c r="J1142" s="433" t="s">
        <v>10</v>
      </c>
      <c r="K1142" s="433" t="s">
        <v>11</v>
      </c>
      <c r="L1142" s="433" t="s">
        <v>12</v>
      </c>
      <c r="M1142" s="432" t="s">
        <v>13</v>
      </c>
    </row>
    <row r="1143" spans="1:13" ht="14.25">
      <c r="B1143" s="434" t="s">
        <v>14</v>
      </c>
      <c r="C1143" s="320">
        <v>498</v>
      </c>
      <c r="D1143" s="325">
        <v>374</v>
      </c>
      <c r="E1143" s="325">
        <v>280</v>
      </c>
      <c r="F1143" s="325">
        <v>210</v>
      </c>
      <c r="G1143" s="325">
        <v>158</v>
      </c>
      <c r="H1143" s="325">
        <v>118</v>
      </c>
      <c r="I1143" s="325">
        <v>88</v>
      </c>
      <c r="J1143" s="325">
        <v>66</v>
      </c>
      <c r="K1143" s="325">
        <v>50</v>
      </c>
      <c r="L1143" s="325">
        <v>38</v>
      </c>
      <c r="M1143" s="435">
        <v>28</v>
      </c>
    </row>
    <row r="1144" spans="1:13" ht="14.25">
      <c r="B1144" s="434" t="s">
        <v>15</v>
      </c>
      <c r="C1144" s="476" t="s">
        <v>18</v>
      </c>
      <c r="D1144" s="477"/>
      <c r="E1144" s="477"/>
      <c r="F1144" s="477"/>
      <c r="G1144" s="477"/>
      <c r="H1144" s="477"/>
      <c r="I1144" s="477"/>
      <c r="J1144" s="477"/>
      <c r="K1144" s="477"/>
      <c r="L1144" s="477"/>
      <c r="M1144" s="478"/>
    </row>
    <row r="1145" spans="1:13" ht="14.25">
      <c r="B1145" s="434" t="s">
        <v>16</v>
      </c>
      <c r="C1145" s="476" t="s">
        <v>18</v>
      </c>
      <c r="D1145" s="477"/>
      <c r="E1145" s="477"/>
      <c r="F1145" s="477"/>
      <c r="G1145" s="477"/>
      <c r="H1145" s="477"/>
      <c r="I1145" s="477"/>
      <c r="J1145" s="477"/>
      <c r="K1145" s="477"/>
      <c r="L1145" s="477"/>
      <c r="M1145" s="478"/>
    </row>
    <row r="1146" spans="1:13" ht="14.25">
      <c r="B1146" s="434" t="s">
        <v>17</v>
      </c>
      <c r="C1146" s="476" t="s">
        <v>18</v>
      </c>
      <c r="D1146" s="477"/>
      <c r="E1146" s="477"/>
      <c r="F1146" s="477"/>
      <c r="G1146" s="477"/>
      <c r="H1146" s="477"/>
      <c r="I1146" s="477"/>
      <c r="J1146" s="477"/>
      <c r="K1146" s="477"/>
      <c r="L1146" s="477"/>
      <c r="M1146" s="478"/>
    </row>
    <row r="1147" spans="1:13" ht="14.25">
      <c r="B1147" s="440"/>
      <c r="C1147" s="441"/>
      <c r="D1147" s="441"/>
      <c r="E1147" s="441"/>
      <c r="F1147" s="441"/>
      <c r="G1147" s="441"/>
      <c r="H1147" s="441"/>
      <c r="I1147" s="441"/>
      <c r="J1147" s="441"/>
      <c r="K1147" s="441"/>
      <c r="L1147" s="441"/>
      <c r="M1147" s="441"/>
    </row>
    <row r="1148" spans="1:13" ht="18">
      <c r="B1148" s="430" t="s">
        <v>107</v>
      </c>
      <c r="C1148" s="430"/>
      <c r="D1148" s="430"/>
      <c r="E1148" s="430"/>
    </row>
    <row r="1149" spans="1:13" ht="30" customHeight="1">
      <c r="A1149" s="437"/>
      <c r="B1149" s="431" t="s">
        <v>39</v>
      </c>
      <c r="C1149" s="431"/>
      <c r="D1149" s="431"/>
      <c r="E1149" s="431"/>
    </row>
    <row r="1150" spans="1:13" ht="14.25">
      <c r="B1150" s="432" t="s">
        <v>2</v>
      </c>
      <c r="C1150" s="433" t="s">
        <v>3</v>
      </c>
      <c r="D1150" s="433" t="s">
        <v>4</v>
      </c>
      <c r="E1150" s="433" t="s">
        <v>5</v>
      </c>
      <c r="F1150" s="433" t="s">
        <v>6</v>
      </c>
      <c r="G1150" s="433" t="s">
        <v>7</v>
      </c>
      <c r="H1150" s="433" t="s">
        <v>8</v>
      </c>
      <c r="I1150" s="433" t="s">
        <v>9</v>
      </c>
      <c r="J1150" s="433" t="s">
        <v>10</v>
      </c>
      <c r="K1150" s="433" t="s">
        <v>11</v>
      </c>
      <c r="L1150" s="433" t="s">
        <v>12</v>
      </c>
      <c r="M1150" s="432" t="s">
        <v>13</v>
      </c>
    </row>
    <row r="1151" spans="1:13" ht="14.25">
      <c r="B1151" s="434" t="s">
        <v>14</v>
      </c>
      <c r="C1151" s="320">
        <v>8126</v>
      </c>
      <c r="D1151" s="325">
        <v>6126</v>
      </c>
      <c r="E1151" s="325">
        <v>3526</v>
      </c>
      <c r="F1151" s="325">
        <v>2000</v>
      </c>
      <c r="G1151" s="325">
        <v>1400</v>
      </c>
      <c r="H1151" s="325">
        <v>800</v>
      </c>
      <c r="I1151" s="325">
        <v>600</v>
      </c>
      <c r="J1151" s="325">
        <v>400</v>
      </c>
      <c r="K1151" s="325">
        <v>200</v>
      </c>
      <c r="L1151" s="325">
        <v>100</v>
      </c>
      <c r="M1151" s="435">
        <v>60</v>
      </c>
    </row>
    <row r="1152" spans="1:13" ht="14.25">
      <c r="B1152" s="434" t="s">
        <v>15</v>
      </c>
      <c r="C1152" s="325">
        <v>6126</v>
      </c>
      <c r="D1152" s="325">
        <v>3526</v>
      </c>
      <c r="E1152" s="325">
        <v>2000</v>
      </c>
      <c r="F1152" s="325">
        <v>1400</v>
      </c>
      <c r="G1152" s="325">
        <v>800</v>
      </c>
      <c r="H1152" s="325">
        <v>600</v>
      </c>
      <c r="I1152" s="325">
        <v>400</v>
      </c>
      <c r="J1152" s="325">
        <v>200</v>
      </c>
      <c r="K1152" s="325">
        <v>100</v>
      </c>
      <c r="L1152" s="435">
        <v>60</v>
      </c>
      <c r="M1152" s="435">
        <v>40</v>
      </c>
    </row>
    <row r="1153" spans="1:13" ht="14.25">
      <c r="B1153" s="434" t="s">
        <v>16</v>
      </c>
      <c r="C1153" s="476" t="s">
        <v>18</v>
      </c>
      <c r="D1153" s="477"/>
      <c r="E1153" s="477"/>
      <c r="F1153" s="477"/>
      <c r="G1153" s="477"/>
      <c r="H1153" s="477"/>
      <c r="I1153" s="477"/>
      <c r="J1153" s="477"/>
      <c r="K1153" s="477"/>
      <c r="L1153" s="477"/>
      <c r="M1153" s="478"/>
    </row>
    <row r="1154" spans="1:13" ht="14.25">
      <c r="B1154" s="434" t="s">
        <v>17</v>
      </c>
      <c r="C1154" s="476" t="s">
        <v>18</v>
      </c>
      <c r="D1154" s="477"/>
      <c r="E1154" s="477"/>
      <c r="F1154" s="477"/>
      <c r="G1154" s="477"/>
      <c r="H1154" s="477"/>
      <c r="I1154" s="477"/>
      <c r="J1154" s="477"/>
      <c r="K1154" s="477"/>
      <c r="L1154" s="477"/>
      <c r="M1154" s="478"/>
    </row>
    <row r="1155" spans="1:13" ht="14.25">
      <c r="B1155" s="436"/>
      <c r="C1155" s="436"/>
      <c r="D1155" s="436"/>
      <c r="E1155" s="436"/>
    </row>
    <row r="1156" spans="1:13" ht="14.25">
      <c r="B1156" s="431" t="s">
        <v>19</v>
      </c>
      <c r="C1156" s="431"/>
      <c r="D1156" s="431"/>
      <c r="E1156" s="431"/>
    </row>
    <row r="1157" spans="1:13" ht="14.25">
      <c r="B1157" s="432" t="s">
        <v>2</v>
      </c>
      <c r="C1157" s="433" t="s">
        <v>3</v>
      </c>
      <c r="D1157" s="433" t="s">
        <v>4</v>
      </c>
      <c r="E1157" s="433" t="s">
        <v>5</v>
      </c>
      <c r="F1157" s="433" t="s">
        <v>6</v>
      </c>
      <c r="G1157" s="433" t="s">
        <v>7</v>
      </c>
      <c r="H1157" s="433" t="s">
        <v>8</v>
      </c>
      <c r="I1157" s="433" t="s">
        <v>9</v>
      </c>
      <c r="J1157" s="433" t="s">
        <v>10</v>
      </c>
      <c r="K1157" s="433" t="s">
        <v>11</v>
      </c>
      <c r="L1157" s="433" t="s">
        <v>12</v>
      </c>
      <c r="M1157" s="432" t="s">
        <v>13</v>
      </c>
    </row>
    <row r="1158" spans="1:13" ht="14.25">
      <c r="B1158" s="434" t="s">
        <v>14</v>
      </c>
      <c r="C1158" s="320">
        <v>10562</v>
      </c>
      <c r="D1158" s="325">
        <v>8562</v>
      </c>
      <c r="E1158" s="325">
        <v>8562</v>
      </c>
      <c r="F1158" s="325">
        <v>3836</v>
      </c>
      <c r="G1158" s="325">
        <v>2636</v>
      </c>
      <c r="H1158" s="325">
        <v>1800</v>
      </c>
      <c r="I1158" s="325">
        <v>800</v>
      </c>
      <c r="J1158" s="325">
        <v>400</v>
      </c>
      <c r="K1158" s="325">
        <v>400</v>
      </c>
      <c r="L1158" s="325">
        <v>400</v>
      </c>
      <c r="M1158" s="435">
        <v>60</v>
      </c>
    </row>
    <row r="1159" spans="1:13" ht="14.25">
      <c r="B1159" s="434" t="s">
        <v>15</v>
      </c>
      <c r="C1159" s="325">
        <v>8562</v>
      </c>
      <c r="D1159" s="325">
        <v>8562</v>
      </c>
      <c r="E1159" s="325">
        <v>3836</v>
      </c>
      <c r="F1159" s="325">
        <v>2636</v>
      </c>
      <c r="G1159" s="325">
        <v>1800</v>
      </c>
      <c r="H1159" s="325">
        <v>800</v>
      </c>
      <c r="I1159" s="325">
        <v>400</v>
      </c>
      <c r="J1159" s="325">
        <v>400</v>
      </c>
      <c r="K1159" s="325">
        <v>400</v>
      </c>
      <c r="L1159" s="435">
        <v>60</v>
      </c>
      <c r="M1159" s="435">
        <v>40</v>
      </c>
    </row>
    <row r="1160" spans="1:13" ht="14.25">
      <c r="B1160" s="434" t="s">
        <v>16</v>
      </c>
      <c r="C1160" s="476" t="s">
        <v>18</v>
      </c>
      <c r="D1160" s="477"/>
      <c r="E1160" s="477"/>
      <c r="F1160" s="477"/>
      <c r="G1160" s="477"/>
      <c r="H1160" s="477"/>
      <c r="I1160" s="477"/>
      <c r="J1160" s="477"/>
      <c r="K1160" s="477"/>
      <c r="L1160" s="477"/>
      <c r="M1160" s="478"/>
    </row>
    <row r="1161" spans="1:13" ht="14.25">
      <c r="B1161" s="434" t="s">
        <v>17</v>
      </c>
      <c r="C1161" s="476" t="s">
        <v>18</v>
      </c>
      <c r="D1161" s="477"/>
      <c r="E1161" s="477"/>
      <c r="F1161" s="477"/>
      <c r="G1161" s="477"/>
      <c r="H1161" s="477"/>
      <c r="I1161" s="477"/>
      <c r="J1161" s="477"/>
      <c r="K1161" s="477"/>
      <c r="L1161" s="477"/>
      <c r="M1161" s="478"/>
    </row>
    <row r="1162" spans="1:13" ht="14.25">
      <c r="B1162" s="440"/>
      <c r="C1162" s="441"/>
      <c r="D1162" s="441"/>
      <c r="E1162" s="441"/>
      <c r="F1162" s="441"/>
      <c r="G1162" s="441"/>
      <c r="H1162" s="441"/>
      <c r="I1162" s="441"/>
      <c r="J1162" s="441"/>
      <c r="K1162" s="441"/>
      <c r="L1162" s="441"/>
      <c r="M1162" s="441"/>
    </row>
    <row r="1163" spans="1:13" ht="18">
      <c r="B1163" s="430" t="s">
        <v>108</v>
      </c>
      <c r="C1163" s="430"/>
      <c r="D1163" s="430"/>
      <c r="E1163" s="430"/>
    </row>
    <row r="1164" spans="1:13" ht="30" customHeight="1">
      <c r="A1164" s="437"/>
      <c r="B1164" s="431" t="s">
        <v>39</v>
      </c>
      <c r="C1164" s="431"/>
      <c r="D1164" s="431"/>
      <c r="E1164" s="431"/>
    </row>
    <row r="1165" spans="1:13" ht="14.25">
      <c r="B1165" s="432" t="s">
        <v>2</v>
      </c>
      <c r="C1165" s="433" t="s">
        <v>3</v>
      </c>
      <c r="D1165" s="433" t="s">
        <v>4</v>
      </c>
      <c r="E1165" s="433" t="s">
        <v>5</v>
      </c>
      <c r="F1165" s="433" t="s">
        <v>6</v>
      </c>
      <c r="G1165" s="433" t="s">
        <v>7</v>
      </c>
      <c r="H1165" s="433" t="s">
        <v>8</v>
      </c>
      <c r="I1165" s="433" t="s">
        <v>9</v>
      </c>
      <c r="J1165" s="433" t="s">
        <v>10</v>
      </c>
      <c r="K1165" s="433" t="s">
        <v>11</v>
      </c>
      <c r="L1165" s="433" t="s">
        <v>12</v>
      </c>
      <c r="M1165" s="432" t="s">
        <v>13</v>
      </c>
    </row>
    <row r="1166" spans="1:13" ht="14.25">
      <c r="B1166" s="434" t="s">
        <v>14</v>
      </c>
      <c r="C1166" s="320">
        <v>4900</v>
      </c>
      <c r="D1166" s="325">
        <v>3676</v>
      </c>
      <c r="E1166" s="325">
        <v>2756</v>
      </c>
      <c r="F1166" s="325">
        <v>2068</v>
      </c>
      <c r="G1166" s="325">
        <v>1550</v>
      </c>
      <c r="H1166" s="325">
        <v>1162</v>
      </c>
      <c r="I1166" s="325">
        <v>872</v>
      </c>
      <c r="J1166" s="325">
        <v>654</v>
      </c>
      <c r="K1166" s="325">
        <v>490</v>
      </c>
      <c r="L1166" s="325">
        <v>368</v>
      </c>
      <c r="M1166" s="435">
        <v>276</v>
      </c>
    </row>
    <row r="1167" spans="1:13" ht="14.25">
      <c r="B1167" s="434" t="s">
        <v>15</v>
      </c>
      <c r="C1167" s="325">
        <v>3500</v>
      </c>
      <c r="D1167" s="325">
        <v>2626</v>
      </c>
      <c r="E1167" s="325">
        <v>1968</v>
      </c>
      <c r="F1167" s="325">
        <v>1476</v>
      </c>
      <c r="G1167" s="325">
        <v>1108</v>
      </c>
      <c r="H1167" s="325">
        <v>830</v>
      </c>
      <c r="I1167" s="325">
        <v>622</v>
      </c>
      <c r="J1167" s="325">
        <v>468</v>
      </c>
      <c r="K1167" s="325">
        <v>350</v>
      </c>
      <c r="L1167" s="435">
        <v>262</v>
      </c>
      <c r="M1167" s="435">
        <v>198</v>
      </c>
    </row>
    <row r="1168" spans="1:13" ht="14.25">
      <c r="B1168" s="434" t="s">
        <v>16</v>
      </c>
      <c r="C1168" s="325">
        <v>2200</v>
      </c>
      <c r="D1168" s="325">
        <v>1650</v>
      </c>
      <c r="E1168" s="325">
        <v>1238</v>
      </c>
      <c r="F1168" s="325">
        <v>928</v>
      </c>
      <c r="G1168" s="325">
        <v>698</v>
      </c>
      <c r="H1168" s="325">
        <v>522</v>
      </c>
      <c r="I1168" s="325">
        <v>392</v>
      </c>
      <c r="J1168" s="325">
        <v>294</v>
      </c>
      <c r="K1168" s="325">
        <v>220</v>
      </c>
      <c r="L1168" s="435">
        <v>166</v>
      </c>
      <c r="M1168" s="435">
        <v>124</v>
      </c>
    </row>
    <row r="1169" spans="1:13" ht="14.25">
      <c r="B1169" s="434" t="s">
        <v>17</v>
      </c>
      <c r="C1169" s="435">
        <v>1240</v>
      </c>
      <c r="D1169" s="435">
        <v>930</v>
      </c>
      <c r="E1169" s="435">
        <v>698</v>
      </c>
      <c r="F1169" s="435">
        <v>524</v>
      </c>
      <c r="G1169" s="435">
        <v>392</v>
      </c>
      <c r="H1169" s="435">
        <v>294</v>
      </c>
      <c r="I1169" s="435">
        <v>220</v>
      </c>
      <c r="J1169" s="435">
        <v>166</v>
      </c>
      <c r="K1169" s="435">
        <v>124</v>
      </c>
      <c r="L1169" s="435">
        <v>94</v>
      </c>
      <c r="M1169" s="435">
        <v>70</v>
      </c>
    </row>
    <row r="1170" spans="1:13" ht="14.25">
      <c r="B1170" s="436"/>
      <c r="C1170" s="436"/>
      <c r="D1170" s="436"/>
      <c r="E1170" s="436"/>
    </row>
    <row r="1171" spans="1:13" ht="14.25">
      <c r="B1171" s="431" t="s">
        <v>19</v>
      </c>
      <c r="C1171" s="431"/>
      <c r="D1171" s="431"/>
      <c r="E1171" s="431"/>
    </row>
    <row r="1172" spans="1:13" ht="14.25">
      <c r="B1172" s="432" t="s">
        <v>2</v>
      </c>
      <c r="C1172" s="433" t="s">
        <v>3</v>
      </c>
      <c r="D1172" s="433" t="s">
        <v>4</v>
      </c>
      <c r="E1172" s="433" t="s">
        <v>5</v>
      </c>
      <c r="F1172" s="433" t="s">
        <v>6</v>
      </c>
      <c r="G1172" s="433" t="s">
        <v>7</v>
      </c>
      <c r="H1172" s="433" t="s">
        <v>8</v>
      </c>
      <c r="I1172" s="433" t="s">
        <v>9</v>
      </c>
      <c r="J1172" s="433" t="s">
        <v>10</v>
      </c>
      <c r="K1172" s="433" t="s">
        <v>11</v>
      </c>
      <c r="L1172" s="433" t="s">
        <v>12</v>
      </c>
      <c r="M1172" s="432" t="s">
        <v>13</v>
      </c>
    </row>
    <row r="1173" spans="1:13" ht="14.25">
      <c r="B1173" s="434" t="s">
        <v>14</v>
      </c>
      <c r="C1173" s="320">
        <v>9800</v>
      </c>
      <c r="D1173" s="325">
        <v>7350</v>
      </c>
      <c r="E1173" s="325">
        <v>5512</v>
      </c>
      <c r="F1173" s="325">
        <v>4134</v>
      </c>
      <c r="G1173" s="325">
        <v>3100</v>
      </c>
      <c r="H1173" s="325">
        <v>2326</v>
      </c>
      <c r="I1173" s="325">
        <v>1744</v>
      </c>
      <c r="J1173" s="325">
        <v>1308</v>
      </c>
      <c r="K1173" s="325">
        <v>982</v>
      </c>
      <c r="L1173" s="325">
        <v>736</v>
      </c>
      <c r="M1173" s="435">
        <v>552</v>
      </c>
    </row>
    <row r="1174" spans="1:13" ht="14.25">
      <c r="B1174" s="434" t="s">
        <v>15</v>
      </c>
      <c r="C1174" s="325">
        <v>7600</v>
      </c>
      <c r="D1174" s="325">
        <v>5700</v>
      </c>
      <c r="E1174" s="325">
        <v>4276</v>
      </c>
      <c r="F1174" s="325">
        <v>3206</v>
      </c>
      <c r="G1174" s="325">
        <v>2404</v>
      </c>
      <c r="H1174" s="325">
        <v>1804</v>
      </c>
      <c r="I1174" s="325">
        <v>1352</v>
      </c>
      <c r="J1174" s="325">
        <v>1014</v>
      </c>
      <c r="K1174" s="325">
        <v>760</v>
      </c>
      <c r="L1174" s="435">
        <v>570</v>
      </c>
      <c r="M1174" s="435">
        <v>428</v>
      </c>
    </row>
    <row r="1175" spans="1:13" ht="14.25">
      <c r="B1175" s="434" t="s">
        <v>16</v>
      </c>
      <c r="C1175" s="325">
        <v>4600</v>
      </c>
      <c r="D1175" s="325">
        <v>3450</v>
      </c>
      <c r="E1175" s="325">
        <v>2588</v>
      </c>
      <c r="F1175" s="325">
        <v>1940</v>
      </c>
      <c r="G1175" s="325">
        <v>1456</v>
      </c>
      <c r="H1175" s="325">
        <v>1092</v>
      </c>
      <c r="I1175" s="325">
        <v>818</v>
      </c>
      <c r="J1175" s="325">
        <v>614</v>
      </c>
      <c r="K1175" s="325">
        <v>460</v>
      </c>
      <c r="L1175" s="435">
        <v>346</v>
      </c>
      <c r="M1175" s="435">
        <v>260</v>
      </c>
    </row>
    <row r="1176" spans="1:13" ht="14.25">
      <c r="B1176" s="434" t="s">
        <v>17</v>
      </c>
      <c r="C1176" s="435">
        <v>2840</v>
      </c>
      <c r="D1176" s="435">
        <v>2130</v>
      </c>
      <c r="E1176" s="435">
        <v>1598</v>
      </c>
      <c r="F1176" s="435">
        <v>1198</v>
      </c>
      <c r="G1176" s="435">
        <v>898</v>
      </c>
      <c r="H1176" s="435">
        <v>674</v>
      </c>
      <c r="I1176" s="435">
        <v>506</v>
      </c>
      <c r="J1176" s="435">
        <v>380</v>
      </c>
      <c r="K1176" s="435">
        <v>284</v>
      </c>
      <c r="L1176" s="435">
        <v>214</v>
      </c>
      <c r="M1176" s="435">
        <v>160</v>
      </c>
    </row>
    <row r="1177" spans="1:13" ht="14.25">
      <c r="B1177" s="440"/>
      <c r="C1177" s="441"/>
      <c r="D1177" s="441"/>
      <c r="E1177" s="441"/>
      <c r="F1177" s="441"/>
      <c r="G1177" s="441"/>
      <c r="H1177" s="441"/>
      <c r="I1177" s="441"/>
      <c r="J1177" s="441"/>
      <c r="K1177" s="441"/>
      <c r="L1177" s="441"/>
      <c r="M1177" s="441"/>
    </row>
    <row r="1178" spans="1:13" ht="18">
      <c r="B1178" s="430" t="s">
        <v>109</v>
      </c>
      <c r="C1178" s="430"/>
      <c r="D1178" s="430"/>
      <c r="E1178" s="430"/>
    </row>
    <row r="1179" spans="1:13" ht="30" customHeight="1">
      <c r="A1179" s="437"/>
      <c r="B1179" s="431" t="s">
        <v>39</v>
      </c>
      <c r="C1179" s="431"/>
      <c r="D1179" s="431"/>
      <c r="E1179" s="431"/>
    </row>
    <row r="1180" spans="1:13" ht="14.25">
      <c r="B1180" s="432" t="s">
        <v>2</v>
      </c>
      <c r="C1180" s="433" t="s">
        <v>3</v>
      </c>
      <c r="D1180" s="433" t="s">
        <v>4</v>
      </c>
      <c r="E1180" s="433" t="s">
        <v>5</v>
      </c>
      <c r="F1180" s="433" t="s">
        <v>6</v>
      </c>
      <c r="G1180" s="433" t="s">
        <v>7</v>
      </c>
      <c r="H1180" s="433" t="s">
        <v>8</v>
      </c>
      <c r="I1180" s="433" t="s">
        <v>9</v>
      </c>
      <c r="J1180" s="433" t="s">
        <v>10</v>
      </c>
      <c r="K1180" s="433" t="s">
        <v>11</v>
      </c>
      <c r="L1180" s="433" t="s">
        <v>12</v>
      </c>
      <c r="M1180" s="432" t="s">
        <v>13</v>
      </c>
    </row>
    <row r="1181" spans="1:13" ht="14.25">
      <c r="B1181" s="434" t="s">
        <v>14</v>
      </c>
      <c r="C1181" s="320">
        <v>4932</v>
      </c>
      <c r="D1181" s="325">
        <v>3698</v>
      </c>
      <c r="E1181" s="325">
        <v>2774</v>
      </c>
      <c r="F1181" s="325">
        <v>2080</v>
      </c>
      <c r="G1181" s="325">
        <v>1560</v>
      </c>
      <c r="H1181" s="325">
        <v>1170</v>
      </c>
      <c r="I1181" s="325">
        <v>878</v>
      </c>
      <c r="J1181" s="325">
        <v>658</v>
      </c>
      <c r="K1181" s="325">
        <v>494</v>
      </c>
      <c r="L1181" s="325">
        <v>370</v>
      </c>
      <c r="M1181" s="435">
        <v>278</v>
      </c>
    </row>
    <row r="1182" spans="1:13" ht="14.25">
      <c r="B1182" s="434" t="s">
        <v>15</v>
      </c>
      <c r="C1182" s="325">
        <v>1926</v>
      </c>
      <c r="D1182" s="325">
        <v>1446</v>
      </c>
      <c r="E1182" s="325">
        <v>1084</v>
      </c>
      <c r="F1182" s="325">
        <v>812</v>
      </c>
      <c r="G1182" s="325">
        <v>610</v>
      </c>
      <c r="H1182" s="325">
        <v>458</v>
      </c>
      <c r="I1182" s="325">
        <v>342</v>
      </c>
      <c r="J1182" s="325">
        <v>258</v>
      </c>
      <c r="K1182" s="325">
        <v>192</v>
      </c>
      <c r="L1182" s="435">
        <v>144</v>
      </c>
      <c r="M1182" s="435">
        <v>108</v>
      </c>
    </row>
    <row r="1183" spans="1:13" ht="14.25">
      <c r="B1183" s="434" t="s">
        <v>16</v>
      </c>
      <c r="C1183" s="476" t="s">
        <v>18</v>
      </c>
      <c r="D1183" s="477"/>
      <c r="E1183" s="477"/>
      <c r="F1183" s="477"/>
      <c r="G1183" s="477"/>
      <c r="H1183" s="477"/>
      <c r="I1183" s="477"/>
      <c r="J1183" s="477"/>
      <c r="K1183" s="477"/>
      <c r="L1183" s="477"/>
      <c r="M1183" s="478"/>
    </row>
    <row r="1184" spans="1:13" ht="14.25">
      <c r="B1184" s="434" t="s">
        <v>17</v>
      </c>
      <c r="C1184" s="476" t="s">
        <v>18</v>
      </c>
      <c r="D1184" s="477"/>
      <c r="E1184" s="477"/>
      <c r="F1184" s="477"/>
      <c r="G1184" s="477"/>
      <c r="H1184" s="477"/>
      <c r="I1184" s="477"/>
      <c r="J1184" s="477"/>
      <c r="K1184" s="477"/>
      <c r="L1184" s="477"/>
      <c r="M1184" s="478"/>
    </row>
    <row r="1185" spans="1:13" ht="14.25">
      <c r="B1185" s="436"/>
      <c r="C1185" s="436"/>
      <c r="D1185" s="436"/>
      <c r="E1185" s="436"/>
    </row>
    <row r="1186" spans="1:13" ht="14.25">
      <c r="B1186" s="431" t="s">
        <v>19</v>
      </c>
      <c r="C1186" s="431"/>
      <c r="D1186" s="431"/>
      <c r="E1186" s="431"/>
    </row>
    <row r="1187" spans="1:13" ht="14.25">
      <c r="B1187" s="432" t="s">
        <v>2</v>
      </c>
      <c r="C1187" s="433" t="s">
        <v>3</v>
      </c>
      <c r="D1187" s="433" t="s">
        <v>4</v>
      </c>
      <c r="E1187" s="433" t="s">
        <v>5</v>
      </c>
      <c r="F1187" s="433" t="s">
        <v>6</v>
      </c>
      <c r="G1187" s="433" t="s">
        <v>7</v>
      </c>
      <c r="H1187" s="433" t="s">
        <v>8</v>
      </c>
      <c r="I1187" s="433" t="s">
        <v>9</v>
      </c>
      <c r="J1187" s="433" t="s">
        <v>10</v>
      </c>
      <c r="K1187" s="433" t="s">
        <v>11</v>
      </c>
      <c r="L1187" s="433" t="s">
        <v>12</v>
      </c>
      <c r="M1187" s="432" t="s">
        <v>13</v>
      </c>
    </row>
    <row r="1188" spans="1:13" ht="14.25">
      <c r="B1188" s="434" t="s">
        <v>14</v>
      </c>
      <c r="C1188" s="320">
        <v>9432</v>
      </c>
      <c r="D1188" s="325">
        <v>7074</v>
      </c>
      <c r="E1188" s="325">
        <v>5306</v>
      </c>
      <c r="F1188" s="325">
        <v>3980</v>
      </c>
      <c r="G1188" s="325">
        <v>2984</v>
      </c>
      <c r="H1188" s="325">
        <v>222</v>
      </c>
      <c r="I1188" s="325">
        <v>1678</v>
      </c>
      <c r="J1188" s="325">
        <v>1260</v>
      </c>
      <c r="K1188" s="325">
        <v>944</v>
      </c>
      <c r="L1188" s="325">
        <v>708</v>
      </c>
      <c r="M1188" s="435">
        <v>532</v>
      </c>
    </row>
    <row r="1189" spans="1:13" ht="14.25">
      <c r="B1189" s="434" t="s">
        <v>15</v>
      </c>
      <c r="C1189" s="325">
        <v>2840</v>
      </c>
      <c r="D1189" s="325">
        <v>2130</v>
      </c>
      <c r="E1189" s="325">
        <v>1598</v>
      </c>
      <c r="F1189" s="325">
        <v>1198</v>
      </c>
      <c r="G1189" s="325">
        <v>898</v>
      </c>
      <c r="H1189" s="325">
        <v>674</v>
      </c>
      <c r="I1189" s="325">
        <v>506</v>
      </c>
      <c r="J1189" s="325">
        <v>380</v>
      </c>
      <c r="K1189" s="325">
        <v>284</v>
      </c>
      <c r="L1189" s="325">
        <v>214</v>
      </c>
      <c r="M1189" s="435">
        <v>160</v>
      </c>
    </row>
    <row r="1190" spans="1:13" ht="14.25">
      <c r="B1190" s="434" t="s">
        <v>16</v>
      </c>
      <c r="C1190" s="476" t="s">
        <v>18</v>
      </c>
      <c r="D1190" s="477"/>
      <c r="E1190" s="477"/>
      <c r="F1190" s="477"/>
      <c r="G1190" s="477"/>
      <c r="H1190" s="477"/>
      <c r="I1190" s="477"/>
      <c r="J1190" s="477"/>
      <c r="K1190" s="477"/>
      <c r="L1190" s="477"/>
      <c r="M1190" s="478"/>
    </row>
    <row r="1191" spans="1:13" ht="14.25">
      <c r="B1191" s="434" t="s">
        <v>17</v>
      </c>
      <c r="C1191" s="476" t="s">
        <v>18</v>
      </c>
      <c r="D1191" s="477"/>
      <c r="E1191" s="477"/>
      <c r="F1191" s="477"/>
      <c r="G1191" s="477"/>
      <c r="H1191" s="477"/>
      <c r="I1191" s="477"/>
      <c r="J1191" s="477"/>
      <c r="K1191" s="477"/>
      <c r="L1191" s="477"/>
      <c r="M1191" s="478"/>
    </row>
    <row r="1192" spans="1:13" ht="14.25">
      <c r="B1192" s="440"/>
      <c r="C1192" s="436"/>
      <c r="D1192" s="436"/>
      <c r="E1192" s="436"/>
      <c r="F1192" s="436"/>
      <c r="G1192" s="436"/>
      <c r="H1192" s="436"/>
      <c r="I1192" s="436"/>
      <c r="J1192" s="436"/>
      <c r="K1192" s="436"/>
      <c r="L1192" s="436"/>
      <c r="M1192" s="436"/>
    </row>
    <row r="1193" spans="1:13" ht="18">
      <c r="B1193" s="430" t="s">
        <v>110</v>
      </c>
      <c r="C1193" s="430"/>
      <c r="D1193" s="430"/>
      <c r="E1193" s="430"/>
    </row>
    <row r="1194" spans="1:13" ht="30" customHeight="1">
      <c r="A1194" s="437"/>
      <c r="B1194" s="431" t="s">
        <v>39</v>
      </c>
      <c r="C1194" s="431"/>
      <c r="D1194" s="431"/>
      <c r="E1194" s="431"/>
    </row>
    <row r="1195" spans="1:13" ht="14.25">
      <c r="B1195" s="432" t="s">
        <v>2</v>
      </c>
      <c r="C1195" s="433" t="s">
        <v>3</v>
      </c>
      <c r="D1195" s="433" t="s">
        <v>4</v>
      </c>
      <c r="E1195" s="433" t="s">
        <v>5</v>
      </c>
      <c r="F1195" s="433" t="s">
        <v>6</v>
      </c>
      <c r="G1195" s="433" t="s">
        <v>7</v>
      </c>
      <c r="H1195" s="433" t="s">
        <v>8</v>
      </c>
      <c r="I1195" s="433" t="s">
        <v>9</v>
      </c>
      <c r="J1195" s="433" t="s">
        <v>10</v>
      </c>
      <c r="K1195" s="433" t="s">
        <v>11</v>
      </c>
      <c r="L1195" s="433" t="s">
        <v>12</v>
      </c>
      <c r="M1195" s="432" t="s">
        <v>13</v>
      </c>
    </row>
    <row r="1196" spans="1:13" ht="14.25">
      <c r="B1196" s="434" t="s">
        <v>14</v>
      </c>
      <c r="C1196" s="320">
        <v>2720</v>
      </c>
      <c r="D1196" s="325">
        <v>2040</v>
      </c>
      <c r="E1196" s="325">
        <v>1530</v>
      </c>
      <c r="F1196" s="325">
        <v>1148</v>
      </c>
      <c r="G1196" s="325">
        <v>872</v>
      </c>
      <c r="H1196" s="325">
        <v>654</v>
      </c>
      <c r="I1196" s="325">
        <v>490</v>
      </c>
      <c r="J1196" s="325">
        <v>382</v>
      </c>
      <c r="K1196" s="325">
        <v>272</v>
      </c>
      <c r="L1196" s="325">
        <v>190</v>
      </c>
      <c r="M1196" s="435">
        <v>136</v>
      </c>
    </row>
    <row r="1197" spans="1:13" ht="14.25">
      <c r="B1197" s="434" t="s">
        <v>15</v>
      </c>
      <c r="C1197" s="325">
        <v>2176</v>
      </c>
      <c r="D1197" s="325">
        <v>1632</v>
      </c>
      <c r="E1197" s="325">
        <v>1224</v>
      </c>
      <c r="F1197" s="325">
        <v>918</v>
      </c>
      <c r="G1197" s="325">
        <v>698</v>
      </c>
      <c r="H1197" s="325">
        <v>524</v>
      </c>
      <c r="I1197" s="325">
        <v>392</v>
      </c>
      <c r="J1197" s="325">
        <v>306</v>
      </c>
      <c r="K1197" s="325">
        <v>218</v>
      </c>
      <c r="L1197" s="325">
        <v>152</v>
      </c>
      <c r="M1197" s="435">
        <v>108</v>
      </c>
    </row>
    <row r="1198" spans="1:13" ht="14.25">
      <c r="B1198" s="434" t="s">
        <v>16</v>
      </c>
      <c r="C1198" s="325">
        <v>1850</v>
      </c>
      <c r="D1198" s="325">
        <v>1388</v>
      </c>
      <c r="E1198" s="325">
        <v>1040</v>
      </c>
      <c r="F1198" s="325">
        <v>780</v>
      </c>
      <c r="G1198" s="325">
        <v>594</v>
      </c>
      <c r="H1198" s="325">
        <v>444</v>
      </c>
      <c r="I1198" s="325">
        <v>334</v>
      </c>
      <c r="J1198" s="325">
        <v>260</v>
      </c>
      <c r="K1198" s="325">
        <v>184</v>
      </c>
      <c r="L1198" s="325">
        <v>130</v>
      </c>
      <c r="M1198" s="435">
        <v>92</v>
      </c>
    </row>
    <row r="1199" spans="1:13" ht="14.25">
      <c r="B1199" s="434" t="s">
        <v>17</v>
      </c>
      <c r="C1199" s="476" t="s">
        <v>18</v>
      </c>
      <c r="D1199" s="477"/>
      <c r="E1199" s="477"/>
      <c r="F1199" s="477"/>
      <c r="G1199" s="477"/>
      <c r="H1199" s="477"/>
      <c r="I1199" s="477"/>
      <c r="J1199" s="477"/>
      <c r="K1199" s="477"/>
      <c r="L1199" s="477"/>
      <c r="M1199" s="478"/>
    </row>
    <row r="1200" spans="1:13" ht="14.25">
      <c r="B1200" s="436"/>
      <c r="C1200" s="436"/>
      <c r="D1200" s="436"/>
      <c r="E1200" s="436"/>
    </row>
    <row r="1201" spans="1:13" ht="14.25">
      <c r="B1201" s="431" t="s">
        <v>19</v>
      </c>
      <c r="C1201" s="431"/>
      <c r="D1201" s="431"/>
      <c r="E1201" s="431"/>
    </row>
    <row r="1202" spans="1:13" ht="14.25">
      <c r="B1202" s="432" t="s">
        <v>2</v>
      </c>
      <c r="C1202" s="433" t="s">
        <v>3</v>
      </c>
      <c r="D1202" s="433" t="s">
        <v>4</v>
      </c>
      <c r="E1202" s="433" t="s">
        <v>5</v>
      </c>
      <c r="F1202" s="433" t="s">
        <v>6</v>
      </c>
      <c r="G1202" s="433" t="s">
        <v>7</v>
      </c>
      <c r="H1202" s="433" t="s">
        <v>8</v>
      </c>
      <c r="I1202" s="433" t="s">
        <v>9</v>
      </c>
      <c r="J1202" s="433" t="s">
        <v>10</v>
      </c>
      <c r="K1202" s="433" t="s">
        <v>11</v>
      </c>
      <c r="L1202" s="433" t="s">
        <v>12</v>
      </c>
      <c r="M1202" s="432" t="s">
        <v>13</v>
      </c>
    </row>
    <row r="1203" spans="1:13" ht="14.25">
      <c r="B1203" s="434" t="s">
        <v>14</v>
      </c>
      <c r="C1203" s="320">
        <v>5600</v>
      </c>
      <c r="D1203" s="325">
        <v>4200</v>
      </c>
      <c r="E1203" s="325">
        <v>3150</v>
      </c>
      <c r="F1203" s="325">
        <v>2362</v>
      </c>
      <c r="G1203" s="325">
        <v>1796</v>
      </c>
      <c r="H1203" s="325">
        <v>1346</v>
      </c>
      <c r="I1203" s="325">
        <v>1010</v>
      </c>
      <c r="J1203" s="325">
        <v>788</v>
      </c>
      <c r="K1203" s="325">
        <v>560</v>
      </c>
      <c r="L1203" s="325">
        <v>392</v>
      </c>
      <c r="M1203" s="435">
        <v>278</v>
      </c>
    </row>
    <row r="1204" spans="1:13" ht="14.25">
      <c r="B1204" s="434" t="s">
        <v>15</v>
      </c>
      <c r="C1204" s="325">
        <v>3920</v>
      </c>
      <c r="D1204" s="325">
        <v>2940</v>
      </c>
      <c r="E1204" s="325">
        <v>2206</v>
      </c>
      <c r="F1204" s="325">
        <v>1654</v>
      </c>
      <c r="G1204" s="325">
        <v>1256</v>
      </c>
      <c r="H1204" s="325">
        <v>942</v>
      </c>
      <c r="I1204" s="325">
        <v>706</v>
      </c>
      <c r="J1204" s="325">
        <v>552</v>
      </c>
      <c r="K1204" s="325">
        <v>392</v>
      </c>
      <c r="L1204" s="325">
        <v>274</v>
      </c>
      <c r="M1204" s="435">
        <v>194</v>
      </c>
    </row>
    <row r="1205" spans="1:13" ht="14.25">
      <c r="B1205" s="434" t="s">
        <v>16</v>
      </c>
      <c r="C1205" s="325">
        <v>3136</v>
      </c>
      <c r="D1205" s="325">
        <v>2352</v>
      </c>
      <c r="E1205" s="325">
        <v>1764</v>
      </c>
      <c r="F1205" s="325">
        <v>1324</v>
      </c>
      <c r="G1205" s="325">
        <v>1006</v>
      </c>
      <c r="H1205" s="325">
        <v>754</v>
      </c>
      <c r="I1205" s="325">
        <v>566</v>
      </c>
      <c r="J1205" s="325">
        <v>442</v>
      </c>
      <c r="K1205" s="325">
        <v>314</v>
      </c>
      <c r="L1205" s="325">
        <v>220</v>
      </c>
      <c r="M1205" s="435">
        <v>156</v>
      </c>
    </row>
    <row r="1206" spans="1:13" ht="14.25">
      <c r="B1206" s="434" t="s">
        <v>17</v>
      </c>
      <c r="C1206" s="476" t="s">
        <v>18</v>
      </c>
      <c r="D1206" s="477"/>
      <c r="E1206" s="477"/>
      <c r="F1206" s="477"/>
      <c r="G1206" s="477"/>
      <c r="H1206" s="477"/>
      <c r="I1206" s="477"/>
      <c r="J1206" s="477"/>
      <c r="K1206" s="477"/>
      <c r="L1206" s="477"/>
      <c r="M1206" s="478"/>
    </row>
    <row r="1208" spans="1:13" ht="18">
      <c r="B1208" s="430" t="s">
        <v>111</v>
      </c>
      <c r="C1208" s="430"/>
      <c r="D1208" s="430"/>
      <c r="E1208" s="430"/>
    </row>
    <row r="1209" spans="1:13" ht="14.25">
      <c r="B1209" s="431" t="s">
        <v>39</v>
      </c>
      <c r="C1209" s="431"/>
      <c r="D1209" s="431"/>
      <c r="E1209" s="431"/>
    </row>
    <row r="1210" spans="1:13" ht="30" customHeight="1">
      <c r="A1210" s="437"/>
      <c r="B1210" s="432" t="s">
        <v>2</v>
      </c>
      <c r="C1210" s="433" t="s">
        <v>3</v>
      </c>
      <c r="D1210" s="433" t="s">
        <v>4</v>
      </c>
      <c r="E1210" s="433" t="s">
        <v>5</v>
      </c>
      <c r="F1210" s="433" t="s">
        <v>6</v>
      </c>
      <c r="G1210" s="433" t="s">
        <v>7</v>
      </c>
      <c r="H1210" s="433" t="s">
        <v>8</v>
      </c>
      <c r="I1210" s="433" t="s">
        <v>9</v>
      </c>
      <c r="J1210" s="433" t="s">
        <v>10</v>
      </c>
      <c r="K1210" s="433" t="s">
        <v>11</v>
      </c>
      <c r="L1210" s="433" t="s">
        <v>12</v>
      </c>
      <c r="M1210" s="432" t="s">
        <v>13</v>
      </c>
    </row>
    <row r="1211" spans="1:13" ht="14.25">
      <c r="B1211" s="434" t="s">
        <v>14</v>
      </c>
      <c r="C1211" s="320">
        <v>9500</v>
      </c>
      <c r="D1211" s="325">
        <v>7125</v>
      </c>
      <c r="E1211" s="325">
        <v>5345</v>
      </c>
      <c r="F1211" s="325">
        <v>4007.5</v>
      </c>
      <c r="G1211" s="325">
        <v>3005</v>
      </c>
      <c r="H1211" s="325">
        <v>2255</v>
      </c>
      <c r="I1211" s="325">
        <v>1690</v>
      </c>
      <c r="J1211" s="325">
        <v>1267.5</v>
      </c>
      <c r="K1211" s="325">
        <v>950</v>
      </c>
      <c r="L1211" s="325">
        <v>712.5</v>
      </c>
      <c r="M1211" s="435">
        <v>535</v>
      </c>
    </row>
    <row r="1212" spans="1:13" ht="14.25">
      <c r="B1212" s="434" t="s">
        <v>15</v>
      </c>
      <c r="C1212" s="325">
        <v>7125</v>
      </c>
      <c r="D1212" s="325">
        <v>5345</v>
      </c>
      <c r="E1212" s="325">
        <v>4007.5</v>
      </c>
      <c r="F1212" s="325">
        <v>3005</v>
      </c>
      <c r="G1212" s="325">
        <v>2255</v>
      </c>
      <c r="H1212" s="325">
        <v>1690</v>
      </c>
      <c r="I1212" s="325">
        <v>1267.5</v>
      </c>
      <c r="J1212" s="325">
        <v>950</v>
      </c>
      <c r="K1212" s="325">
        <v>712.5</v>
      </c>
      <c r="L1212" s="325">
        <v>535</v>
      </c>
      <c r="M1212" s="435">
        <v>380</v>
      </c>
    </row>
    <row r="1213" spans="1:13" ht="14.25">
      <c r="B1213" s="434" t="s">
        <v>16</v>
      </c>
      <c r="C1213" s="325">
        <v>5345</v>
      </c>
      <c r="D1213" s="325">
        <v>4007.5</v>
      </c>
      <c r="E1213" s="325">
        <v>3005</v>
      </c>
      <c r="F1213" s="325">
        <v>2255</v>
      </c>
      <c r="G1213" s="325">
        <v>1690</v>
      </c>
      <c r="H1213" s="325">
        <v>1267.5</v>
      </c>
      <c r="I1213" s="325">
        <v>950</v>
      </c>
      <c r="J1213" s="325">
        <v>712.5</v>
      </c>
      <c r="K1213" s="325">
        <v>532.5</v>
      </c>
      <c r="L1213" s="325">
        <v>380</v>
      </c>
      <c r="M1213" s="435">
        <v>285</v>
      </c>
    </row>
    <row r="1214" spans="1:13" ht="14.25">
      <c r="B1214" s="434" t="s">
        <v>17</v>
      </c>
      <c r="C1214" s="435"/>
      <c r="D1214" s="435"/>
      <c r="E1214" s="435"/>
      <c r="F1214" s="435"/>
      <c r="G1214" s="435"/>
      <c r="H1214" s="435"/>
      <c r="I1214" s="435"/>
      <c r="J1214" s="435"/>
      <c r="K1214" s="435"/>
      <c r="L1214" s="435"/>
      <c r="M1214" s="435"/>
    </row>
    <row r="1215" spans="1:13" ht="14.25">
      <c r="B1215" s="436"/>
      <c r="C1215" s="436"/>
      <c r="D1215" s="436"/>
      <c r="E1215" s="436"/>
    </row>
    <row r="1216" spans="1:13" ht="14.25">
      <c r="B1216" s="431" t="s">
        <v>19</v>
      </c>
      <c r="C1216" s="431"/>
      <c r="D1216" s="431"/>
      <c r="E1216" s="431"/>
    </row>
    <row r="1217" spans="1:13" ht="14.25">
      <c r="B1217" s="432" t="s">
        <v>2</v>
      </c>
      <c r="C1217" s="433" t="s">
        <v>3</v>
      </c>
      <c r="D1217" s="433" t="s">
        <v>4</v>
      </c>
      <c r="E1217" s="433" t="s">
        <v>5</v>
      </c>
      <c r="F1217" s="433" t="s">
        <v>6</v>
      </c>
      <c r="G1217" s="433" t="s">
        <v>7</v>
      </c>
      <c r="H1217" s="433" t="s">
        <v>8</v>
      </c>
      <c r="I1217" s="433" t="s">
        <v>9</v>
      </c>
      <c r="J1217" s="433" t="s">
        <v>10</v>
      </c>
      <c r="K1217" s="433" t="s">
        <v>11</v>
      </c>
      <c r="L1217" s="433" t="s">
        <v>12</v>
      </c>
      <c r="M1217" s="432" t="s">
        <v>13</v>
      </c>
    </row>
    <row r="1218" spans="1:13" ht="14.25">
      <c r="B1218" s="434" t="s">
        <v>14</v>
      </c>
      <c r="C1218" s="320">
        <v>12750</v>
      </c>
      <c r="D1218" s="325">
        <v>9562.5</v>
      </c>
      <c r="E1218" s="325">
        <v>7172.5</v>
      </c>
      <c r="F1218" s="325">
        <v>5380</v>
      </c>
      <c r="G1218" s="325">
        <v>4035</v>
      </c>
      <c r="H1218" s="325">
        <v>3025</v>
      </c>
      <c r="I1218" s="325">
        <v>2270</v>
      </c>
      <c r="J1218" s="325">
        <v>1702.5</v>
      </c>
      <c r="K1218" s="325">
        <v>1277.5</v>
      </c>
      <c r="L1218" s="325">
        <v>957.5</v>
      </c>
      <c r="M1218" s="435">
        <v>717.5</v>
      </c>
    </row>
    <row r="1219" spans="1:13" ht="14.25">
      <c r="B1219" s="434" t="s">
        <v>15</v>
      </c>
      <c r="C1219" s="325">
        <v>9562.5</v>
      </c>
      <c r="D1219" s="325">
        <v>7172.5</v>
      </c>
      <c r="E1219" s="325">
        <v>5380</v>
      </c>
      <c r="F1219" s="325">
        <v>4035</v>
      </c>
      <c r="G1219" s="325">
        <v>3025</v>
      </c>
      <c r="H1219" s="325">
        <v>2270</v>
      </c>
      <c r="I1219" s="325">
        <v>1702.5</v>
      </c>
      <c r="J1219" s="325">
        <v>1277.5</v>
      </c>
      <c r="K1219" s="325">
        <v>957.5</v>
      </c>
      <c r="L1219" s="325">
        <v>717.5</v>
      </c>
      <c r="M1219" s="435">
        <v>537.5</v>
      </c>
    </row>
    <row r="1220" spans="1:13" ht="14.25">
      <c r="B1220" s="434" t="s">
        <v>16</v>
      </c>
      <c r="C1220" s="325">
        <v>5737.5</v>
      </c>
      <c r="D1220" s="325">
        <v>5380</v>
      </c>
      <c r="E1220" s="325">
        <v>4035</v>
      </c>
      <c r="F1220" s="325">
        <v>3025</v>
      </c>
      <c r="G1220" s="325">
        <v>2270</v>
      </c>
      <c r="H1220" s="325">
        <v>1702.5</v>
      </c>
      <c r="I1220" s="325">
        <v>1277.5</v>
      </c>
      <c r="J1220" s="325">
        <v>957.5</v>
      </c>
      <c r="K1220" s="325">
        <v>717.5</v>
      </c>
      <c r="L1220" s="325">
        <v>537.5</v>
      </c>
      <c r="M1220" s="435">
        <v>525</v>
      </c>
    </row>
    <row r="1221" spans="1:13" ht="14.25">
      <c r="B1221" s="434" t="s">
        <v>17</v>
      </c>
      <c r="C1221" s="476" t="s">
        <v>18</v>
      </c>
      <c r="D1221" s="477"/>
      <c r="E1221" s="477"/>
      <c r="F1221" s="477"/>
      <c r="G1221" s="477"/>
      <c r="H1221" s="477"/>
      <c r="I1221" s="477"/>
      <c r="J1221" s="477"/>
      <c r="K1221" s="477"/>
      <c r="L1221" s="477"/>
      <c r="M1221" s="478"/>
    </row>
    <row r="1223" spans="1:13" ht="18">
      <c r="B1223" s="430" t="s">
        <v>112</v>
      </c>
      <c r="C1223" s="430"/>
      <c r="D1223" s="430"/>
      <c r="E1223" s="430"/>
    </row>
    <row r="1224" spans="1:13" ht="30" customHeight="1">
      <c r="A1224" s="437"/>
      <c r="B1224" s="431" t="s">
        <v>39</v>
      </c>
      <c r="C1224" s="431"/>
      <c r="D1224" s="431"/>
      <c r="E1224" s="431"/>
    </row>
    <row r="1225" spans="1:13" ht="14.25">
      <c r="B1225" s="432" t="s">
        <v>2</v>
      </c>
      <c r="C1225" s="433" t="s">
        <v>3</v>
      </c>
      <c r="D1225" s="433" t="s">
        <v>4</v>
      </c>
      <c r="E1225" s="433" t="s">
        <v>5</v>
      </c>
      <c r="F1225" s="433" t="s">
        <v>6</v>
      </c>
      <c r="G1225" s="433" t="s">
        <v>7</v>
      </c>
      <c r="H1225" s="433" t="s">
        <v>8</v>
      </c>
      <c r="I1225" s="433" t="s">
        <v>9</v>
      </c>
      <c r="J1225" s="433" t="s">
        <v>10</v>
      </c>
      <c r="K1225" s="433" t="s">
        <v>11</v>
      </c>
      <c r="L1225" s="433" t="s">
        <v>12</v>
      </c>
      <c r="M1225" s="432" t="s">
        <v>13</v>
      </c>
    </row>
    <row r="1226" spans="1:13" ht="14.25">
      <c r="B1226" s="434" t="s">
        <v>14</v>
      </c>
      <c r="C1226" s="320">
        <v>3204</v>
      </c>
      <c r="D1226" s="325">
        <v>2404</v>
      </c>
      <c r="E1226" s="325">
        <v>1802</v>
      </c>
      <c r="F1226" s="325">
        <v>1352</v>
      </c>
      <c r="G1226" s="325">
        <v>1014</v>
      </c>
      <c r="H1226" s="325">
        <v>760</v>
      </c>
      <c r="I1226" s="325">
        <v>570</v>
      </c>
      <c r="J1226" s="325">
        <v>428</v>
      </c>
      <c r="K1226" s="325">
        <v>320</v>
      </c>
      <c r="L1226" s="325">
        <v>240</v>
      </c>
      <c r="M1226" s="435">
        <v>180</v>
      </c>
    </row>
    <row r="1227" spans="1:13" ht="14.25">
      <c r="B1227" s="434" t="s">
        <v>15</v>
      </c>
      <c r="C1227" s="325">
        <v>1664</v>
      </c>
      <c r="D1227" s="325">
        <v>1248</v>
      </c>
      <c r="E1227" s="325">
        <v>936</v>
      </c>
      <c r="F1227" s="325">
        <v>702</v>
      </c>
      <c r="G1227" s="325">
        <v>526</v>
      </c>
      <c r="H1227" s="325">
        <v>394</v>
      </c>
      <c r="I1227" s="325">
        <v>296</v>
      </c>
      <c r="J1227" s="325">
        <v>222</v>
      </c>
      <c r="K1227" s="325">
        <v>166</v>
      </c>
      <c r="L1227" s="435">
        <v>124</v>
      </c>
      <c r="M1227" s="435">
        <v>94</v>
      </c>
    </row>
    <row r="1228" spans="1:13" ht="14.25">
      <c r="B1228" s="434" t="s">
        <v>16</v>
      </c>
      <c r="C1228" s="476" t="s">
        <v>18</v>
      </c>
      <c r="D1228" s="477"/>
      <c r="E1228" s="477"/>
      <c r="F1228" s="477"/>
      <c r="G1228" s="477"/>
      <c r="H1228" s="477"/>
      <c r="I1228" s="477"/>
      <c r="J1228" s="477"/>
      <c r="K1228" s="477"/>
      <c r="L1228" s="477"/>
      <c r="M1228" s="478"/>
    </row>
    <row r="1229" spans="1:13" ht="14.25">
      <c r="B1229" s="434" t="s">
        <v>17</v>
      </c>
      <c r="C1229" s="473" t="s">
        <v>18</v>
      </c>
      <c r="D1229" s="474"/>
      <c r="E1229" s="474"/>
      <c r="F1229" s="474"/>
      <c r="G1229" s="474"/>
      <c r="H1229" s="474"/>
      <c r="I1229" s="474"/>
      <c r="J1229" s="474"/>
      <c r="K1229" s="474"/>
      <c r="L1229" s="474"/>
      <c r="M1229" s="475"/>
    </row>
    <row r="1230" spans="1:13" ht="14.25">
      <c r="B1230" s="436"/>
      <c r="C1230" s="436"/>
      <c r="D1230" s="436"/>
      <c r="E1230" s="436"/>
    </row>
    <row r="1231" spans="1:13" ht="14.25">
      <c r="B1231" s="431" t="s">
        <v>19</v>
      </c>
      <c r="C1231" s="431"/>
      <c r="D1231" s="431"/>
      <c r="E1231" s="431"/>
    </row>
    <row r="1232" spans="1:13" ht="14.25">
      <c r="B1232" s="432" t="s">
        <v>2</v>
      </c>
      <c r="C1232" s="433" t="s">
        <v>3</v>
      </c>
      <c r="D1232" s="433" t="s">
        <v>4</v>
      </c>
      <c r="E1232" s="433" t="s">
        <v>5</v>
      </c>
      <c r="F1232" s="433" t="s">
        <v>6</v>
      </c>
      <c r="G1232" s="433" t="s">
        <v>7</v>
      </c>
      <c r="H1232" s="433" t="s">
        <v>8</v>
      </c>
      <c r="I1232" s="433" t="s">
        <v>9</v>
      </c>
      <c r="J1232" s="433" t="s">
        <v>10</v>
      </c>
      <c r="K1232" s="433" t="s">
        <v>11</v>
      </c>
      <c r="L1232" s="433" t="s">
        <v>12</v>
      </c>
      <c r="M1232" s="432" t="s">
        <v>13</v>
      </c>
    </row>
    <row r="1233" spans="1:13" ht="14.25">
      <c r="B1233" s="434" t="s">
        <v>14</v>
      </c>
      <c r="C1233" s="320">
        <v>4808</v>
      </c>
      <c r="D1233" s="325">
        <v>3606</v>
      </c>
      <c r="E1233" s="325">
        <v>2704</v>
      </c>
      <c r="F1233" s="325">
        <v>2028</v>
      </c>
      <c r="G1233" s="325">
        <v>1522</v>
      </c>
      <c r="H1233" s="325">
        <v>1140</v>
      </c>
      <c r="I1233" s="325">
        <v>856</v>
      </c>
      <c r="J1233" s="325">
        <v>642</v>
      </c>
      <c r="K1233" s="325">
        <v>482</v>
      </c>
      <c r="L1233" s="325">
        <v>360</v>
      </c>
      <c r="M1233" s="435">
        <v>270</v>
      </c>
    </row>
    <row r="1234" spans="1:13" ht="14.25">
      <c r="B1234" s="434" t="s">
        <v>15</v>
      </c>
      <c r="C1234" s="325">
        <v>2496</v>
      </c>
      <c r="D1234" s="325">
        <v>1872</v>
      </c>
      <c r="E1234" s="325">
        <v>1404</v>
      </c>
      <c r="F1234" s="325">
        <v>1052</v>
      </c>
      <c r="G1234" s="325">
        <v>790</v>
      </c>
      <c r="H1234" s="325">
        <v>592</v>
      </c>
      <c r="I1234" s="325">
        <v>444</v>
      </c>
      <c r="J1234" s="325">
        <v>334</v>
      </c>
      <c r="K1234" s="325">
        <v>250</v>
      </c>
      <c r="L1234" s="325">
        <v>188</v>
      </c>
      <c r="M1234" s="435">
        <v>140</v>
      </c>
    </row>
    <row r="1235" spans="1:13" ht="14.25">
      <c r="B1235" s="434" t="s">
        <v>16</v>
      </c>
      <c r="C1235" s="473" t="s">
        <v>18</v>
      </c>
      <c r="D1235" s="474"/>
      <c r="E1235" s="474"/>
      <c r="F1235" s="474"/>
      <c r="G1235" s="474"/>
      <c r="H1235" s="474"/>
      <c r="I1235" s="474"/>
      <c r="J1235" s="474"/>
      <c r="K1235" s="474"/>
      <c r="L1235" s="474"/>
      <c r="M1235" s="475"/>
    </row>
    <row r="1236" spans="1:13" ht="14.25">
      <c r="B1236" s="434" t="s">
        <v>17</v>
      </c>
      <c r="C1236" s="473" t="s">
        <v>18</v>
      </c>
      <c r="D1236" s="474"/>
      <c r="E1236" s="474"/>
      <c r="F1236" s="474"/>
      <c r="G1236" s="474"/>
      <c r="H1236" s="474"/>
      <c r="I1236" s="474"/>
      <c r="J1236" s="474"/>
      <c r="K1236" s="474"/>
      <c r="L1236" s="474"/>
      <c r="M1236" s="475"/>
    </row>
    <row r="1238" spans="1:13" ht="18">
      <c r="B1238" s="430" t="s">
        <v>113</v>
      </c>
      <c r="C1238" s="430"/>
      <c r="D1238" s="430"/>
      <c r="E1238" s="430"/>
    </row>
    <row r="1239" spans="1:13" ht="14.25">
      <c r="B1239" s="431" t="s">
        <v>39</v>
      </c>
      <c r="C1239" s="431"/>
      <c r="D1239" s="431"/>
      <c r="E1239" s="431"/>
    </row>
    <row r="1240" spans="1:13" ht="30" customHeight="1">
      <c r="A1240" s="437"/>
      <c r="B1240" s="432" t="s">
        <v>2</v>
      </c>
      <c r="C1240" s="433" t="s">
        <v>3</v>
      </c>
      <c r="D1240" s="433" t="s">
        <v>4</v>
      </c>
      <c r="E1240" s="433" t="s">
        <v>5</v>
      </c>
      <c r="F1240" s="433" t="s">
        <v>6</v>
      </c>
      <c r="G1240" s="433" t="s">
        <v>7</v>
      </c>
      <c r="H1240" s="433" t="s">
        <v>8</v>
      </c>
      <c r="I1240" s="433" t="s">
        <v>9</v>
      </c>
      <c r="J1240" s="433" t="s">
        <v>10</v>
      </c>
      <c r="K1240" s="433" t="s">
        <v>11</v>
      </c>
      <c r="L1240" s="433" t="s">
        <v>12</v>
      </c>
      <c r="M1240" s="432" t="s">
        <v>13</v>
      </c>
    </row>
    <row r="1241" spans="1:13" ht="14.25">
      <c r="B1241" s="434" t="s">
        <v>14</v>
      </c>
      <c r="C1241" s="320">
        <v>1215</v>
      </c>
      <c r="D1241" s="325">
        <v>910</v>
      </c>
      <c r="E1241" s="325">
        <v>680</v>
      </c>
      <c r="F1241" s="325">
        <v>510</v>
      </c>
      <c r="G1241" s="325">
        <v>390</v>
      </c>
      <c r="H1241" s="325">
        <v>290</v>
      </c>
      <c r="I1241" s="325">
        <v>220</v>
      </c>
      <c r="J1241" s="325">
        <v>170</v>
      </c>
      <c r="K1241" s="325">
        <v>120</v>
      </c>
      <c r="L1241" s="325">
        <v>85</v>
      </c>
      <c r="M1241" s="435">
        <v>60</v>
      </c>
    </row>
    <row r="1242" spans="1:13" ht="14.25">
      <c r="B1242" s="434" t="s">
        <v>15</v>
      </c>
      <c r="C1242" s="325">
        <v>850</v>
      </c>
      <c r="D1242" s="325">
        <v>640</v>
      </c>
      <c r="E1242" s="325">
        <v>475</v>
      </c>
      <c r="F1242" s="325">
        <v>355</v>
      </c>
      <c r="G1242" s="325">
        <v>270</v>
      </c>
      <c r="H1242" s="325">
        <v>205</v>
      </c>
      <c r="I1242" s="325">
        <v>155</v>
      </c>
      <c r="J1242" s="325">
        <v>120</v>
      </c>
      <c r="K1242" s="325">
        <v>85</v>
      </c>
      <c r="L1242" s="325">
        <v>60</v>
      </c>
      <c r="M1242" s="435">
        <v>45</v>
      </c>
    </row>
    <row r="1243" spans="1:13" ht="14.25">
      <c r="B1243" s="434" t="s">
        <v>16</v>
      </c>
      <c r="C1243" s="325">
        <v>485</v>
      </c>
      <c r="D1243" s="325">
        <v>365</v>
      </c>
      <c r="E1243" s="325">
        <v>270</v>
      </c>
      <c r="F1243" s="325">
        <v>205</v>
      </c>
      <c r="G1243" s="325">
        <v>155</v>
      </c>
      <c r="H1243" s="325">
        <v>115</v>
      </c>
      <c r="I1243" s="325">
        <v>85</v>
      </c>
      <c r="J1243" s="325">
        <v>70</v>
      </c>
      <c r="K1243" s="325">
        <v>50</v>
      </c>
      <c r="L1243" s="325">
        <v>35</v>
      </c>
      <c r="M1243" s="435">
        <v>25</v>
      </c>
    </row>
    <row r="1244" spans="1:13" ht="14.25">
      <c r="B1244" s="434" t="s">
        <v>17</v>
      </c>
      <c r="C1244" s="435">
        <v>245</v>
      </c>
      <c r="D1244" s="435">
        <v>185</v>
      </c>
      <c r="E1244" s="435">
        <v>135</v>
      </c>
      <c r="F1244" s="435">
        <v>105</v>
      </c>
      <c r="G1244" s="435">
        <v>80</v>
      </c>
      <c r="H1244" s="435">
        <v>60</v>
      </c>
      <c r="I1244" s="435">
        <v>45</v>
      </c>
      <c r="J1244" s="435">
        <v>35</v>
      </c>
      <c r="K1244" s="435">
        <v>25</v>
      </c>
      <c r="L1244" s="435">
        <v>15</v>
      </c>
      <c r="M1244" s="435">
        <v>10</v>
      </c>
    </row>
    <row r="1245" spans="1:13" ht="14.25">
      <c r="B1245" s="436"/>
      <c r="C1245" s="436"/>
      <c r="D1245" s="436"/>
      <c r="E1245" s="436"/>
    </row>
    <row r="1246" spans="1:13" ht="14.25">
      <c r="B1246" s="431" t="s">
        <v>19</v>
      </c>
      <c r="C1246" s="431"/>
      <c r="D1246" s="431"/>
      <c r="E1246" s="431"/>
    </row>
    <row r="1247" spans="1:13" ht="14.25">
      <c r="B1247" s="432" t="s">
        <v>2</v>
      </c>
      <c r="C1247" s="433" t="s">
        <v>3</v>
      </c>
      <c r="D1247" s="433" t="s">
        <v>4</v>
      </c>
      <c r="E1247" s="433" t="s">
        <v>5</v>
      </c>
      <c r="F1247" s="433" t="s">
        <v>6</v>
      </c>
      <c r="G1247" s="433" t="s">
        <v>7</v>
      </c>
      <c r="H1247" s="433" t="s">
        <v>8</v>
      </c>
      <c r="I1247" s="433" t="s">
        <v>9</v>
      </c>
      <c r="J1247" s="433" t="s">
        <v>10</v>
      </c>
      <c r="K1247" s="433" t="s">
        <v>11</v>
      </c>
      <c r="L1247" s="433" t="s">
        <v>12</v>
      </c>
      <c r="M1247" s="432" t="s">
        <v>13</v>
      </c>
    </row>
    <row r="1248" spans="1:13" ht="14.25">
      <c r="B1248" s="434" t="s">
        <v>14</v>
      </c>
      <c r="C1248" s="320">
        <v>2025</v>
      </c>
      <c r="D1248" s="325">
        <v>1522.5</v>
      </c>
      <c r="E1248" s="325">
        <v>1132.5</v>
      </c>
      <c r="F1248" s="325">
        <v>847.5</v>
      </c>
      <c r="G1248" s="325">
        <v>645</v>
      </c>
      <c r="H1248" s="325">
        <v>487.5</v>
      </c>
      <c r="I1248" s="325">
        <v>367.5</v>
      </c>
      <c r="J1248" s="325">
        <v>285</v>
      </c>
      <c r="K1248" s="325">
        <v>202.5</v>
      </c>
      <c r="L1248" s="325">
        <v>142.5</v>
      </c>
      <c r="M1248" s="435">
        <v>105</v>
      </c>
    </row>
    <row r="1249" spans="1:13" ht="14.25">
      <c r="B1249" s="434" t="s">
        <v>15</v>
      </c>
      <c r="C1249" s="325">
        <v>1417.5</v>
      </c>
      <c r="D1249" s="325">
        <v>1065</v>
      </c>
      <c r="E1249" s="325">
        <v>795</v>
      </c>
      <c r="F1249" s="325">
        <v>592.5</v>
      </c>
      <c r="G1249" s="325">
        <v>450</v>
      </c>
      <c r="H1249" s="325">
        <v>337.5</v>
      </c>
      <c r="I1249" s="325">
        <v>255</v>
      </c>
      <c r="J1249" s="325">
        <v>195</v>
      </c>
      <c r="K1249" s="325">
        <v>142.5</v>
      </c>
      <c r="L1249" s="325">
        <v>97.5</v>
      </c>
      <c r="M1249" s="435">
        <v>67.5</v>
      </c>
    </row>
    <row r="1250" spans="1:13" ht="14.25">
      <c r="B1250" s="434" t="s">
        <v>16</v>
      </c>
      <c r="C1250" s="325">
        <v>810</v>
      </c>
      <c r="D1250" s="325">
        <v>607.5</v>
      </c>
      <c r="E1250" s="325">
        <v>450</v>
      </c>
      <c r="F1250" s="325">
        <v>337.5</v>
      </c>
      <c r="G1250" s="325">
        <v>262.5</v>
      </c>
      <c r="H1250" s="325">
        <v>195</v>
      </c>
      <c r="I1250" s="325">
        <v>142.5</v>
      </c>
      <c r="J1250" s="325">
        <v>112.5</v>
      </c>
      <c r="K1250" s="325">
        <v>82.5</v>
      </c>
      <c r="L1250" s="325">
        <v>60</v>
      </c>
      <c r="M1250" s="435">
        <v>37.5</v>
      </c>
    </row>
    <row r="1251" spans="1:13" ht="14.25">
      <c r="B1251" s="434" t="s">
        <v>17</v>
      </c>
      <c r="C1251" s="435">
        <v>405</v>
      </c>
      <c r="D1251" s="435">
        <v>307.5</v>
      </c>
      <c r="E1251" s="435">
        <v>225</v>
      </c>
      <c r="F1251" s="435">
        <v>172.5</v>
      </c>
      <c r="G1251" s="435">
        <v>127.5</v>
      </c>
      <c r="H1251" s="435">
        <v>97.5</v>
      </c>
      <c r="I1251" s="435">
        <v>75</v>
      </c>
      <c r="J1251" s="435">
        <v>60</v>
      </c>
      <c r="K1251" s="435">
        <v>37.5</v>
      </c>
      <c r="L1251" s="435">
        <v>30</v>
      </c>
      <c r="M1251" s="435">
        <v>22.5</v>
      </c>
    </row>
    <row r="1253" spans="1:13" ht="18">
      <c r="B1253" s="430" t="s">
        <v>114</v>
      </c>
      <c r="C1253" s="430"/>
      <c r="D1253" s="430"/>
      <c r="E1253" s="430"/>
    </row>
    <row r="1254" spans="1:13" ht="14.25">
      <c r="B1254" s="431" t="s">
        <v>39</v>
      </c>
      <c r="C1254" s="431"/>
      <c r="D1254" s="431"/>
      <c r="E1254" s="431"/>
    </row>
    <row r="1255" spans="1:13" ht="30" customHeight="1">
      <c r="A1255" s="437"/>
      <c r="B1255" s="432" t="s">
        <v>2</v>
      </c>
      <c r="C1255" s="433" t="s">
        <v>3</v>
      </c>
      <c r="D1255" s="433" t="s">
        <v>4</v>
      </c>
      <c r="E1255" s="433" t="s">
        <v>5</v>
      </c>
      <c r="F1255" s="433" t="s">
        <v>6</v>
      </c>
      <c r="G1255" s="433" t="s">
        <v>7</v>
      </c>
      <c r="H1255" s="433" t="s">
        <v>8</v>
      </c>
      <c r="I1255" s="433" t="s">
        <v>9</v>
      </c>
      <c r="J1255" s="433" t="s">
        <v>10</v>
      </c>
      <c r="K1255" s="433" t="s">
        <v>11</v>
      </c>
      <c r="L1255" s="433" t="s">
        <v>12</v>
      </c>
      <c r="M1255" s="432" t="s">
        <v>13</v>
      </c>
    </row>
    <row r="1256" spans="1:13" ht="14.25">
      <c r="B1256" s="434" t="s">
        <v>14</v>
      </c>
      <c r="C1256" s="320">
        <f t="shared" ref="C1256:M1256" si="0">C1241*10</f>
        <v>12150</v>
      </c>
      <c r="D1256" s="320">
        <f t="shared" si="0"/>
        <v>9100</v>
      </c>
      <c r="E1256" s="320">
        <f t="shared" si="0"/>
        <v>6800</v>
      </c>
      <c r="F1256" s="320">
        <f t="shared" si="0"/>
        <v>5100</v>
      </c>
      <c r="G1256" s="320">
        <f t="shared" si="0"/>
        <v>3900</v>
      </c>
      <c r="H1256" s="320">
        <f t="shared" si="0"/>
        <v>2900</v>
      </c>
      <c r="I1256" s="320">
        <f t="shared" si="0"/>
        <v>2200</v>
      </c>
      <c r="J1256" s="320">
        <f t="shared" si="0"/>
        <v>1700</v>
      </c>
      <c r="K1256" s="320">
        <f t="shared" si="0"/>
        <v>1200</v>
      </c>
      <c r="L1256" s="320">
        <f t="shared" si="0"/>
        <v>850</v>
      </c>
      <c r="M1256" s="320">
        <f t="shared" si="0"/>
        <v>600</v>
      </c>
    </row>
    <row r="1257" spans="1:13" ht="14.25">
      <c r="B1257" s="434" t="s">
        <v>15</v>
      </c>
      <c r="C1257" s="320">
        <f t="shared" ref="C1257:M1257" si="1">C1242*10</f>
        <v>8500</v>
      </c>
      <c r="D1257" s="320">
        <f t="shared" si="1"/>
        <v>6400</v>
      </c>
      <c r="E1257" s="320">
        <f t="shared" si="1"/>
        <v>4750</v>
      </c>
      <c r="F1257" s="320">
        <f t="shared" si="1"/>
        <v>3550</v>
      </c>
      <c r="G1257" s="320">
        <f t="shared" si="1"/>
        <v>2700</v>
      </c>
      <c r="H1257" s="320">
        <f t="shared" si="1"/>
        <v>2050</v>
      </c>
      <c r="I1257" s="320">
        <f t="shared" si="1"/>
        <v>1550</v>
      </c>
      <c r="J1257" s="320">
        <f t="shared" si="1"/>
        <v>1200</v>
      </c>
      <c r="K1257" s="320">
        <f t="shared" si="1"/>
        <v>850</v>
      </c>
      <c r="L1257" s="320">
        <f t="shared" si="1"/>
        <v>600</v>
      </c>
      <c r="M1257" s="320">
        <f t="shared" si="1"/>
        <v>450</v>
      </c>
    </row>
    <row r="1258" spans="1:13" ht="14.25">
      <c r="B1258" s="434" t="s">
        <v>16</v>
      </c>
      <c r="C1258" s="320">
        <f t="shared" ref="C1258:M1258" si="2">C1243*10</f>
        <v>4850</v>
      </c>
      <c r="D1258" s="320">
        <f t="shared" si="2"/>
        <v>3650</v>
      </c>
      <c r="E1258" s="320">
        <f t="shared" si="2"/>
        <v>2700</v>
      </c>
      <c r="F1258" s="320">
        <f t="shared" si="2"/>
        <v>2050</v>
      </c>
      <c r="G1258" s="320">
        <f t="shared" si="2"/>
        <v>1550</v>
      </c>
      <c r="H1258" s="320">
        <f t="shared" si="2"/>
        <v>1150</v>
      </c>
      <c r="I1258" s="320">
        <f t="shared" si="2"/>
        <v>850</v>
      </c>
      <c r="J1258" s="320">
        <f t="shared" si="2"/>
        <v>700</v>
      </c>
      <c r="K1258" s="320">
        <f t="shared" si="2"/>
        <v>500</v>
      </c>
      <c r="L1258" s="320">
        <f t="shared" si="2"/>
        <v>350</v>
      </c>
      <c r="M1258" s="320">
        <f t="shared" si="2"/>
        <v>250</v>
      </c>
    </row>
    <row r="1259" spans="1:13" ht="14.25">
      <c r="B1259" s="434" t="s">
        <v>17</v>
      </c>
      <c r="C1259" s="320">
        <f t="shared" ref="C1259:M1259" si="3">C1244*10</f>
        <v>2450</v>
      </c>
      <c r="D1259" s="320">
        <f t="shared" si="3"/>
        <v>1850</v>
      </c>
      <c r="E1259" s="320">
        <f t="shared" si="3"/>
        <v>1350</v>
      </c>
      <c r="F1259" s="320">
        <f t="shared" si="3"/>
        <v>1050</v>
      </c>
      <c r="G1259" s="320">
        <f t="shared" si="3"/>
        <v>800</v>
      </c>
      <c r="H1259" s="320">
        <f t="shared" si="3"/>
        <v>600</v>
      </c>
      <c r="I1259" s="320">
        <f t="shared" si="3"/>
        <v>450</v>
      </c>
      <c r="J1259" s="320">
        <f t="shared" si="3"/>
        <v>350</v>
      </c>
      <c r="K1259" s="320">
        <f t="shared" si="3"/>
        <v>250</v>
      </c>
      <c r="L1259" s="320">
        <f t="shared" si="3"/>
        <v>150</v>
      </c>
      <c r="M1259" s="320">
        <f t="shared" si="3"/>
        <v>100</v>
      </c>
    </row>
    <row r="1260" spans="1:13" ht="14.25">
      <c r="B1260" s="436"/>
      <c r="C1260" s="436"/>
      <c r="D1260" s="436"/>
      <c r="E1260" s="436"/>
    </row>
    <row r="1261" spans="1:13" ht="14.25">
      <c r="B1261" s="431" t="s">
        <v>19</v>
      </c>
      <c r="C1261" s="431"/>
      <c r="D1261" s="431"/>
      <c r="E1261" s="431"/>
    </row>
    <row r="1262" spans="1:13" ht="14.25">
      <c r="B1262" s="432" t="s">
        <v>2</v>
      </c>
      <c r="C1262" s="433" t="s">
        <v>3</v>
      </c>
      <c r="D1262" s="433" t="s">
        <v>4</v>
      </c>
      <c r="E1262" s="433" t="s">
        <v>5</v>
      </c>
      <c r="F1262" s="433" t="s">
        <v>6</v>
      </c>
      <c r="G1262" s="433" t="s">
        <v>7</v>
      </c>
      <c r="H1262" s="433" t="s">
        <v>8</v>
      </c>
      <c r="I1262" s="433" t="s">
        <v>9</v>
      </c>
      <c r="J1262" s="433" t="s">
        <v>10</v>
      </c>
      <c r="K1262" s="433" t="s">
        <v>11</v>
      </c>
      <c r="L1262" s="433" t="s">
        <v>12</v>
      </c>
      <c r="M1262" s="432" t="s">
        <v>13</v>
      </c>
    </row>
    <row r="1263" spans="1:13" ht="14.25">
      <c r="B1263" s="434" t="s">
        <v>14</v>
      </c>
      <c r="C1263" s="320">
        <f t="shared" ref="C1263:M1263" si="4">C1248*7</f>
        <v>14175</v>
      </c>
      <c r="D1263" s="320">
        <f t="shared" si="4"/>
        <v>10657.5</v>
      </c>
      <c r="E1263" s="320">
        <f t="shared" si="4"/>
        <v>7927.5</v>
      </c>
      <c r="F1263" s="320">
        <f t="shared" si="4"/>
        <v>5932.5</v>
      </c>
      <c r="G1263" s="320">
        <f t="shared" si="4"/>
        <v>4515</v>
      </c>
      <c r="H1263" s="320">
        <f t="shared" si="4"/>
        <v>3412.5</v>
      </c>
      <c r="I1263" s="320">
        <f t="shared" si="4"/>
        <v>2572.5</v>
      </c>
      <c r="J1263" s="320">
        <f t="shared" si="4"/>
        <v>1995</v>
      </c>
      <c r="K1263" s="320">
        <f t="shared" si="4"/>
        <v>1417.5</v>
      </c>
      <c r="L1263" s="320">
        <f t="shared" si="4"/>
        <v>997.5</v>
      </c>
      <c r="M1263" s="320">
        <f t="shared" si="4"/>
        <v>735</v>
      </c>
    </row>
    <row r="1264" spans="1:13" ht="14.25">
      <c r="B1264" s="434" t="s">
        <v>15</v>
      </c>
      <c r="C1264" s="320">
        <f t="shared" ref="C1264:M1264" si="5">C1249*7</f>
        <v>9922.5</v>
      </c>
      <c r="D1264" s="320">
        <f t="shared" si="5"/>
        <v>7455</v>
      </c>
      <c r="E1264" s="320">
        <f t="shared" si="5"/>
        <v>5565</v>
      </c>
      <c r="F1264" s="320">
        <f t="shared" si="5"/>
        <v>4147.5</v>
      </c>
      <c r="G1264" s="320">
        <f t="shared" si="5"/>
        <v>3150</v>
      </c>
      <c r="H1264" s="320">
        <f t="shared" si="5"/>
        <v>2362.5</v>
      </c>
      <c r="I1264" s="320">
        <f t="shared" si="5"/>
        <v>1785</v>
      </c>
      <c r="J1264" s="320">
        <f t="shared" si="5"/>
        <v>1365</v>
      </c>
      <c r="K1264" s="320">
        <f t="shared" si="5"/>
        <v>997.5</v>
      </c>
      <c r="L1264" s="320">
        <f t="shared" si="5"/>
        <v>682.5</v>
      </c>
      <c r="M1264" s="320">
        <f t="shared" si="5"/>
        <v>472.5</v>
      </c>
    </row>
    <row r="1265" spans="1:13" ht="14.25">
      <c r="B1265" s="434" t="s">
        <v>16</v>
      </c>
      <c r="C1265" s="320">
        <f t="shared" ref="C1265:M1265" si="6">C1250*7</f>
        <v>5670</v>
      </c>
      <c r="D1265" s="320">
        <f t="shared" si="6"/>
        <v>4252.5</v>
      </c>
      <c r="E1265" s="320">
        <f t="shared" si="6"/>
        <v>3150</v>
      </c>
      <c r="F1265" s="320">
        <f t="shared" si="6"/>
        <v>2362.5</v>
      </c>
      <c r="G1265" s="320">
        <f t="shared" si="6"/>
        <v>1837.5</v>
      </c>
      <c r="H1265" s="320">
        <f t="shared" si="6"/>
        <v>1365</v>
      </c>
      <c r="I1265" s="320">
        <f t="shared" si="6"/>
        <v>997.5</v>
      </c>
      <c r="J1265" s="320">
        <f t="shared" si="6"/>
        <v>787.5</v>
      </c>
      <c r="K1265" s="320">
        <f t="shared" si="6"/>
        <v>577.5</v>
      </c>
      <c r="L1265" s="320">
        <f t="shared" si="6"/>
        <v>420</v>
      </c>
      <c r="M1265" s="320">
        <f t="shared" si="6"/>
        <v>262.5</v>
      </c>
    </row>
    <row r="1266" spans="1:13" ht="14.25">
      <c r="B1266" s="434" t="s">
        <v>17</v>
      </c>
      <c r="C1266" s="320">
        <f t="shared" ref="C1266:M1266" si="7">C1251*7</f>
        <v>2835</v>
      </c>
      <c r="D1266" s="320">
        <f t="shared" si="7"/>
        <v>2152.5</v>
      </c>
      <c r="E1266" s="320">
        <f t="shared" si="7"/>
        <v>1575</v>
      </c>
      <c r="F1266" s="320">
        <f t="shared" si="7"/>
        <v>1207.5</v>
      </c>
      <c r="G1266" s="320">
        <f t="shared" si="7"/>
        <v>892.5</v>
      </c>
      <c r="H1266" s="320">
        <f t="shared" si="7"/>
        <v>682.5</v>
      </c>
      <c r="I1266" s="320">
        <f t="shared" si="7"/>
        <v>525</v>
      </c>
      <c r="J1266" s="320">
        <f t="shared" si="7"/>
        <v>420</v>
      </c>
      <c r="K1266" s="320">
        <f t="shared" si="7"/>
        <v>262.5</v>
      </c>
      <c r="L1266" s="320">
        <f t="shared" si="7"/>
        <v>210</v>
      </c>
      <c r="M1266" s="320">
        <f t="shared" si="7"/>
        <v>157.5</v>
      </c>
    </row>
    <row r="1267" spans="1:13" ht="14.25">
      <c r="B1267" s="440"/>
      <c r="C1267" s="436"/>
      <c r="D1267" s="436"/>
      <c r="E1267" s="436"/>
      <c r="F1267" s="436"/>
      <c r="G1267" s="436"/>
      <c r="H1267" s="436"/>
      <c r="I1267" s="436"/>
      <c r="J1267" s="436"/>
      <c r="K1267" s="436"/>
      <c r="L1267" s="436"/>
      <c r="M1267" s="436"/>
    </row>
    <row r="1268" spans="1:13" ht="18">
      <c r="B1268" s="430" t="s">
        <v>115</v>
      </c>
      <c r="C1268" s="430"/>
      <c r="D1268" s="430"/>
      <c r="E1268" s="430"/>
    </row>
    <row r="1269" spans="1:13" ht="30" customHeight="1">
      <c r="A1269" s="437"/>
      <c r="B1269" s="431" t="s">
        <v>39</v>
      </c>
      <c r="C1269" s="431"/>
      <c r="D1269" s="431"/>
      <c r="E1269" s="431"/>
    </row>
    <row r="1270" spans="1:13" ht="14.25">
      <c r="B1270" s="432" t="s">
        <v>2</v>
      </c>
      <c r="C1270" s="433" t="s">
        <v>3</v>
      </c>
      <c r="D1270" s="433" t="s">
        <v>4</v>
      </c>
      <c r="E1270" s="433" t="s">
        <v>5</v>
      </c>
      <c r="F1270" s="433" t="s">
        <v>6</v>
      </c>
      <c r="G1270" s="433" t="s">
        <v>7</v>
      </c>
      <c r="H1270" s="433" t="s">
        <v>8</v>
      </c>
      <c r="I1270" s="433" t="s">
        <v>9</v>
      </c>
      <c r="J1270" s="433" t="s">
        <v>10</v>
      </c>
      <c r="K1270" s="433" t="s">
        <v>11</v>
      </c>
      <c r="L1270" s="433" t="s">
        <v>12</v>
      </c>
      <c r="M1270" s="432" t="s">
        <v>13</v>
      </c>
    </row>
    <row r="1271" spans="1:13" ht="14.25">
      <c r="B1271" s="434" t="s">
        <v>14</v>
      </c>
      <c r="C1271" s="320">
        <v>640</v>
      </c>
      <c r="D1271" s="325">
        <v>480</v>
      </c>
      <c r="E1271" s="325">
        <v>360</v>
      </c>
      <c r="F1271" s="325">
        <v>272</v>
      </c>
      <c r="G1271" s="325">
        <v>204</v>
      </c>
      <c r="H1271" s="325">
        <v>152</v>
      </c>
      <c r="I1271" s="325">
        <v>112</v>
      </c>
      <c r="J1271" s="325">
        <v>84</v>
      </c>
      <c r="K1271" s="325">
        <v>64</v>
      </c>
      <c r="L1271" s="325">
        <v>32</v>
      </c>
      <c r="M1271" s="435">
        <v>16</v>
      </c>
    </row>
    <row r="1272" spans="1:13" ht="14.25">
      <c r="B1272" s="434" t="s">
        <v>15</v>
      </c>
      <c r="C1272" s="476" t="s">
        <v>18</v>
      </c>
      <c r="D1272" s="477"/>
      <c r="E1272" s="477"/>
      <c r="F1272" s="477"/>
      <c r="G1272" s="477"/>
      <c r="H1272" s="477"/>
      <c r="I1272" s="477"/>
      <c r="J1272" s="477"/>
      <c r="K1272" s="477"/>
      <c r="L1272" s="477"/>
      <c r="M1272" s="478"/>
    </row>
    <row r="1273" spans="1:13" ht="14.25">
      <c r="B1273" s="434" t="s">
        <v>16</v>
      </c>
      <c r="C1273" s="476" t="s">
        <v>18</v>
      </c>
      <c r="D1273" s="477"/>
      <c r="E1273" s="477"/>
      <c r="F1273" s="477"/>
      <c r="G1273" s="477"/>
      <c r="H1273" s="477"/>
      <c r="I1273" s="477"/>
      <c r="J1273" s="477"/>
      <c r="K1273" s="477"/>
      <c r="L1273" s="477"/>
      <c r="M1273" s="478"/>
    </row>
    <row r="1274" spans="1:13" ht="14.25">
      <c r="B1274" s="434" t="s">
        <v>17</v>
      </c>
      <c r="C1274" s="473" t="s">
        <v>18</v>
      </c>
      <c r="D1274" s="474"/>
      <c r="E1274" s="474"/>
      <c r="F1274" s="474"/>
      <c r="G1274" s="474"/>
      <c r="H1274" s="474"/>
      <c r="I1274" s="474"/>
      <c r="J1274" s="474"/>
      <c r="K1274" s="474"/>
      <c r="L1274" s="474"/>
      <c r="M1274" s="475"/>
    </row>
    <row r="1275" spans="1:13" ht="14.25">
      <c r="B1275" s="436"/>
      <c r="C1275" s="436"/>
      <c r="D1275" s="436"/>
      <c r="E1275" s="436"/>
    </row>
    <row r="1276" spans="1:13" ht="14.25">
      <c r="B1276" s="431" t="s">
        <v>19</v>
      </c>
      <c r="C1276" s="431"/>
      <c r="D1276" s="431"/>
      <c r="E1276" s="431"/>
    </row>
    <row r="1277" spans="1:13" ht="14.25">
      <c r="B1277" s="432" t="s">
        <v>2</v>
      </c>
      <c r="C1277" s="433" t="s">
        <v>3</v>
      </c>
      <c r="D1277" s="433" t="s">
        <v>4</v>
      </c>
      <c r="E1277" s="433" t="s">
        <v>5</v>
      </c>
      <c r="F1277" s="433" t="s">
        <v>6</v>
      </c>
      <c r="G1277" s="433" t="s">
        <v>7</v>
      </c>
      <c r="H1277" s="433" t="s">
        <v>8</v>
      </c>
      <c r="I1277" s="433" t="s">
        <v>9</v>
      </c>
      <c r="J1277" s="433" t="s">
        <v>10</v>
      </c>
      <c r="K1277" s="433" t="s">
        <v>11</v>
      </c>
      <c r="L1277" s="433" t="s">
        <v>12</v>
      </c>
      <c r="M1277" s="432" t="s">
        <v>13</v>
      </c>
    </row>
    <row r="1278" spans="1:13" ht="14.25">
      <c r="B1278" s="434" t="s">
        <v>14</v>
      </c>
      <c r="C1278" s="320">
        <v>990</v>
      </c>
      <c r="D1278" s="325">
        <v>744</v>
      </c>
      <c r="E1278" s="325">
        <v>558</v>
      </c>
      <c r="F1278" s="325">
        <v>420</v>
      </c>
      <c r="G1278" s="325">
        <v>312</v>
      </c>
      <c r="H1278" s="325">
        <v>234</v>
      </c>
      <c r="I1278" s="325">
        <v>174</v>
      </c>
      <c r="J1278" s="325">
        <v>132</v>
      </c>
      <c r="K1278" s="325">
        <v>102</v>
      </c>
      <c r="L1278" s="325">
        <v>48</v>
      </c>
      <c r="M1278" s="435">
        <v>24</v>
      </c>
    </row>
    <row r="1279" spans="1:13" ht="14.25">
      <c r="B1279" s="434" t="s">
        <v>15</v>
      </c>
      <c r="C1279" s="473" t="s">
        <v>18</v>
      </c>
      <c r="D1279" s="474"/>
      <c r="E1279" s="474"/>
      <c r="F1279" s="474"/>
      <c r="G1279" s="474"/>
      <c r="H1279" s="474"/>
      <c r="I1279" s="474"/>
      <c r="J1279" s="474"/>
      <c r="K1279" s="474"/>
      <c r="L1279" s="474"/>
      <c r="M1279" s="475"/>
    </row>
    <row r="1280" spans="1:13" ht="14.25">
      <c r="B1280" s="434" t="s">
        <v>16</v>
      </c>
      <c r="C1280" s="473" t="s">
        <v>18</v>
      </c>
      <c r="D1280" s="474"/>
      <c r="E1280" s="474"/>
      <c r="F1280" s="474"/>
      <c r="G1280" s="474"/>
      <c r="H1280" s="474"/>
      <c r="I1280" s="474"/>
      <c r="J1280" s="474"/>
      <c r="K1280" s="474"/>
      <c r="L1280" s="474"/>
      <c r="M1280" s="475"/>
    </row>
    <row r="1281" spans="1:13" ht="14.25">
      <c r="B1281" s="434" t="s">
        <v>17</v>
      </c>
      <c r="C1281" s="473" t="s">
        <v>18</v>
      </c>
      <c r="D1281" s="474"/>
      <c r="E1281" s="474"/>
      <c r="F1281" s="474"/>
      <c r="G1281" s="474"/>
      <c r="H1281" s="474"/>
      <c r="I1281" s="474"/>
      <c r="J1281" s="474"/>
      <c r="K1281" s="474"/>
      <c r="L1281" s="474"/>
      <c r="M1281" s="475"/>
    </row>
    <row r="1283" spans="1:13" ht="18">
      <c r="B1283" s="430" t="s">
        <v>116</v>
      </c>
      <c r="C1283" s="430"/>
      <c r="D1283" s="430"/>
      <c r="E1283" s="430"/>
    </row>
    <row r="1284" spans="1:13" ht="30" customHeight="1">
      <c r="A1284" s="437"/>
      <c r="B1284" s="431" t="s">
        <v>39</v>
      </c>
      <c r="C1284" s="431"/>
      <c r="D1284" s="431"/>
      <c r="E1284" s="431"/>
    </row>
    <row r="1285" spans="1:13" ht="14.25">
      <c r="B1285" s="432" t="s">
        <v>2</v>
      </c>
      <c r="C1285" s="433" t="s">
        <v>3</v>
      </c>
      <c r="D1285" s="433" t="s">
        <v>4</v>
      </c>
      <c r="E1285" s="433" t="s">
        <v>5</v>
      </c>
      <c r="F1285" s="433" t="s">
        <v>6</v>
      </c>
      <c r="G1285" s="433" t="s">
        <v>7</v>
      </c>
      <c r="H1285" s="433" t="s">
        <v>8</v>
      </c>
      <c r="I1285" s="433" t="s">
        <v>9</v>
      </c>
      <c r="J1285" s="433" t="s">
        <v>10</v>
      </c>
      <c r="K1285" s="433" t="s">
        <v>11</v>
      </c>
      <c r="L1285" s="433" t="s">
        <v>12</v>
      </c>
      <c r="M1285" s="432" t="s">
        <v>13</v>
      </c>
    </row>
    <row r="1286" spans="1:13" ht="14.25">
      <c r="B1286" s="434" t="s">
        <v>14</v>
      </c>
      <c r="C1286" s="320">
        <v>10714</v>
      </c>
      <c r="D1286" s="325">
        <v>8600</v>
      </c>
      <c r="E1286" s="325">
        <v>6600</v>
      </c>
      <c r="F1286" s="325">
        <v>4600</v>
      </c>
      <c r="G1286" s="325">
        <v>2600</v>
      </c>
      <c r="H1286" s="325">
        <v>1800</v>
      </c>
      <c r="I1286" s="325">
        <v>1400</v>
      </c>
      <c r="J1286" s="325">
        <v>1000</v>
      </c>
      <c r="K1286" s="325">
        <v>800</v>
      </c>
      <c r="L1286" s="325">
        <v>400</v>
      </c>
      <c r="M1286" s="435">
        <v>200</v>
      </c>
    </row>
    <row r="1287" spans="1:13" ht="14.25">
      <c r="B1287" s="434" t="s">
        <v>15</v>
      </c>
      <c r="C1287" s="325">
        <v>8600</v>
      </c>
      <c r="D1287" s="325">
        <v>6600</v>
      </c>
      <c r="E1287" s="325">
        <v>4600</v>
      </c>
      <c r="F1287" s="325">
        <v>2600</v>
      </c>
      <c r="G1287" s="325">
        <v>1800</v>
      </c>
      <c r="H1287" s="325">
        <v>1400</v>
      </c>
      <c r="I1287" s="325">
        <v>1000</v>
      </c>
      <c r="J1287" s="325">
        <v>800</v>
      </c>
      <c r="K1287" s="325">
        <v>400</v>
      </c>
      <c r="L1287" s="435">
        <v>200</v>
      </c>
      <c r="M1287" s="445">
        <v>160</v>
      </c>
    </row>
    <row r="1288" spans="1:13" ht="14.25">
      <c r="B1288" s="434" t="s">
        <v>16</v>
      </c>
      <c r="C1288" s="325">
        <v>6600</v>
      </c>
      <c r="D1288" s="325">
        <v>4600</v>
      </c>
      <c r="E1288" s="325">
        <v>2600</v>
      </c>
      <c r="F1288" s="325">
        <v>1800</v>
      </c>
      <c r="G1288" s="325">
        <v>1400</v>
      </c>
      <c r="H1288" s="325">
        <v>1000</v>
      </c>
      <c r="I1288" s="325">
        <v>800</v>
      </c>
      <c r="J1288" s="325">
        <v>400</v>
      </c>
      <c r="K1288" s="435">
        <v>200</v>
      </c>
      <c r="L1288" s="445">
        <v>160</v>
      </c>
      <c r="M1288" s="445">
        <v>100</v>
      </c>
    </row>
    <row r="1289" spans="1:13" ht="14.25">
      <c r="B1289" s="434" t="s">
        <v>17</v>
      </c>
      <c r="C1289" s="473" t="s">
        <v>18</v>
      </c>
      <c r="D1289" s="474"/>
      <c r="E1289" s="474"/>
      <c r="F1289" s="474"/>
      <c r="G1289" s="474"/>
      <c r="H1289" s="474"/>
      <c r="I1289" s="474"/>
      <c r="J1289" s="474"/>
      <c r="K1289" s="474"/>
      <c r="L1289" s="474"/>
      <c r="M1289" s="475"/>
    </row>
    <row r="1290" spans="1:13" ht="14.25">
      <c r="B1290" s="436"/>
      <c r="C1290" s="436"/>
      <c r="D1290" s="436"/>
      <c r="E1290" s="436"/>
    </row>
    <row r="1291" spans="1:13" ht="14.25">
      <c r="B1291" s="431" t="s">
        <v>19</v>
      </c>
      <c r="C1291" s="431"/>
      <c r="D1291" s="431"/>
      <c r="E1291" s="431"/>
    </row>
    <row r="1292" spans="1:13" ht="14.25">
      <c r="B1292" s="432" t="s">
        <v>2</v>
      </c>
      <c r="C1292" s="433" t="s">
        <v>3</v>
      </c>
      <c r="D1292" s="433" t="s">
        <v>4</v>
      </c>
      <c r="E1292" s="433" t="s">
        <v>5</v>
      </c>
      <c r="F1292" s="433" t="s">
        <v>6</v>
      </c>
      <c r="G1292" s="433" t="s">
        <v>7</v>
      </c>
      <c r="H1292" s="433" t="s">
        <v>8</v>
      </c>
      <c r="I1292" s="433" t="s">
        <v>9</v>
      </c>
      <c r="J1292" s="433" t="s">
        <v>10</v>
      </c>
      <c r="K1292" s="433" t="s">
        <v>11</v>
      </c>
      <c r="L1292" s="433" t="s">
        <v>12</v>
      </c>
      <c r="M1292" s="432" t="s">
        <v>13</v>
      </c>
    </row>
    <row r="1293" spans="1:13" ht="14.25">
      <c r="B1293" s="434" t="s">
        <v>14</v>
      </c>
      <c r="C1293" s="320">
        <v>12858</v>
      </c>
      <c r="D1293" s="325">
        <v>10400</v>
      </c>
      <c r="E1293" s="325">
        <v>8000</v>
      </c>
      <c r="F1293" s="325">
        <v>6400</v>
      </c>
      <c r="G1293" s="325">
        <v>4200</v>
      </c>
      <c r="H1293" s="325">
        <v>3000</v>
      </c>
      <c r="I1293" s="325">
        <v>2000</v>
      </c>
      <c r="J1293" s="325">
        <v>1000</v>
      </c>
      <c r="K1293" s="325">
        <v>600</v>
      </c>
      <c r="L1293" s="325">
        <v>400</v>
      </c>
      <c r="M1293" s="435">
        <v>200</v>
      </c>
    </row>
    <row r="1294" spans="1:13" ht="14.25">
      <c r="B1294" s="434" t="s">
        <v>15</v>
      </c>
      <c r="C1294" s="325">
        <v>10400</v>
      </c>
      <c r="D1294" s="325">
        <v>8000</v>
      </c>
      <c r="E1294" s="325">
        <v>6400</v>
      </c>
      <c r="F1294" s="325">
        <v>4200</v>
      </c>
      <c r="G1294" s="325">
        <v>3000</v>
      </c>
      <c r="H1294" s="325">
        <v>2000</v>
      </c>
      <c r="I1294" s="325">
        <v>1000</v>
      </c>
      <c r="J1294" s="325">
        <v>600</v>
      </c>
      <c r="K1294" s="325">
        <v>400</v>
      </c>
      <c r="L1294" s="435">
        <v>200</v>
      </c>
      <c r="M1294" s="446">
        <v>160</v>
      </c>
    </row>
    <row r="1295" spans="1:13" ht="14.25">
      <c r="B1295" s="434" t="s">
        <v>16</v>
      </c>
      <c r="C1295" s="325">
        <v>8000</v>
      </c>
      <c r="D1295" s="325">
        <v>6400</v>
      </c>
      <c r="E1295" s="325">
        <v>4200</v>
      </c>
      <c r="F1295" s="325">
        <v>3000</v>
      </c>
      <c r="G1295" s="325">
        <v>2000</v>
      </c>
      <c r="H1295" s="325">
        <v>1000</v>
      </c>
      <c r="I1295" s="325">
        <v>600</v>
      </c>
      <c r="J1295" s="325">
        <v>400</v>
      </c>
      <c r="K1295" s="435">
        <v>200</v>
      </c>
      <c r="L1295" s="446">
        <v>160</v>
      </c>
      <c r="M1295" s="446">
        <v>120</v>
      </c>
    </row>
    <row r="1296" spans="1:13" ht="14.25">
      <c r="B1296" s="434" t="s">
        <v>17</v>
      </c>
      <c r="C1296" s="473" t="s">
        <v>18</v>
      </c>
      <c r="D1296" s="474"/>
      <c r="E1296" s="474"/>
      <c r="F1296" s="474"/>
      <c r="G1296" s="474"/>
      <c r="H1296" s="474"/>
      <c r="I1296" s="474"/>
      <c r="J1296" s="474"/>
      <c r="K1296" s="474"/>
      <c r="L1296" s="474"/>
      <c r="M1296" s="475"/>
    </row>
    <row r="1297" spans="2:13" ht="14.25">
      <c r="B1297" s="440"/>
      <c r="C1297" s="441"/>
      <c r="D1297" s="441"/>
      <c r="E1297" s="441"/>
      <c r="F1297" s="441"/>
      <c r="G1297" s="441"/>
      <c r="H1297" s="441"/>
      <c r="I1297" s="441"/>
      <c r="J1297" s="441"/>
      <c r="K1297" s="441"/>
      <c r="L1297" s="441"/>
      <c r="M1297" s="441"/>
    </row>
    <row r="1298" spans="2:13" ht="14.25">
      <c r="B1298" s="440"/>
      <c r="C1298" s="441"/>
      <c r="D1298" s="441"/>
      <c r="E1298" s="441"/>
      <c r="F1298" s="441"/>
      <c r="G1298" s="441"/>
      <c r="H1298" s="441"/>
      <c r="I1298" s="441"/>
      <c r="J1298" s="441"/>
      <c r="K1298" s="441"/>
      <c r="L1298" s="441"/>
      <c r="M1298" s="441"/>
    </row>
    <row r="1299" spans="2:13" ht="15.75">
      <c r="B1299" s="447" t="s">
        <v>117</v>
      </c>
      <c r="C1299" s="447"/>
      <c r="D1299" s="447"/>
      <c r="E1299" s="447"/>
      <c r="F1299" s="448"/>
      <c r="G1299" s="448"/>
      <c r="H1299" s="448"/>
      <c r="I1299" s="448"/>
      <c r="J1299" s="448"/>
      <c r="K1299" s="448"/>
      <c r="L1299" s="448"/>
      <c r="M1299" s="448"/>
    </row>
    <row r="1300" spans="2:13" ht="30" customHeight="1">
      <c r="B1300" s="449" t="s">
        <v>39</v>
      </c>
      <c r="C1300" s="449"/>
      <c r="D1300" s="449"/>
      <c r="E1300" s="449"/>
      <c r="F1300" s="448"/>
      <c r="G1300" s="448"/>
      <c r="H1300" s="448"/>
      <c r="I1300" s="448"/>
      <c r="J1300" s="448"/>
      <c r="K1300" s="448"/>
      <c r="L1300" s="448"/>
      <c r="M1300" s="448"/>
    </row>
    <row r="1301" spans="2:13" ht="15.75">
      <c r="B1301" s="450" t="s">
        <v>2</v>
      </c>
      <c r="C1301" s="451" t="s">
        <v>3</v>
      </c>
      <c r="D1301" s="451" t="s">
        <v>4</v>
      </c>
      <c r="E1301" s="451" t="s">
        <v>5</v>
      </c>
      <c r="F1301" s="451" t="s">
        <v>6</v>
      </c>
      <c r="G1301" s="451" t="s">
        <v>7</v>
      </c>
      <c r="H1301" s="451" t="s">
        <v>8</v>
      </c>
      <c r="I1301" s="451" t="s">
        <v>9</v>
      </c>
      <c r="J1301" s="451" t="s">
        <v>10</v>
      </c>
      <c r="K1301" s="451" t="s">
        <v>11</v>
      </c>
      <c r="L1301" s="451" t="s">
        <v>12</v>
      </c>
      <c r="M1301" s="450" t="s">
        <v>13</v>
      </c>
    </row>
    <row r="1302" spans="2:13" ht="15.75">
      <c r="B1302" s="452" t="s">
        <v>14</v>
      </c>
      <c r="C1302" s="453">
        <f>750*2</f>
        <v>1500</v>
      </c>
      <c r="D1302" s="454">
        <f>675*2</f>
        <v>1350</v>
      </c>
      <c r="E1302" s="454">
        <f>608*2</f>
        <v>1216</v>
      </c>
      <c r="F1302" s="454">
        <f>544*2</f>
        <v>1088</v>
      </c>
      <c r="G1302" s="454">
        <f>491*2</f>
        <v>982</v>
      </c>
      <c r="H1302" s="454">
        <f>368*2</f>
        <v>736</v>
      </c>
      <c r="I1302" s="454">
        <f>274*2</f>
        <v>548</v>
      </c>
      <c r="J1302" s="454">
        <f>206*2</f>
        <v>412</v>
      </c>
      <c r="K1302" s="454">
        <f>154*2</f>
        <v>308</v>
      </c>
      <c r="L1302" s="454">
        <f>116*2</f>
        <v>232</v>
      </c>
      <c r="M1302" s="454">
        <f>30*2</f>
        <v>60</v>
      </c>
    </row>
    <row r="1303" spans="2:13" ht="15.75">
      <c r="B1303" s="452" t="s">
        <v>15</v>
      </c>
      <c r="C1303" s="453"/>
      <c r="D1303" s="454"/>
      <c r="E1303" s="454"/>
      <c r="F1303" s="454"/>
      <c r="G1303" s="454"/>
      <c r="H1303" s="455"/>
      <c r="I1303" s="454"/>
      <c r="J1303" s="454"/>
      <c r="K1303" s="454"/>
      <c r="L1303" s="454"/>
      <c r="M1303" s="454"/>
    </row>
    <row r="1304" spans="2:13" ht="15.75">
      <c r="B1304" s="452" t="s">
        <v>16</v>
      </c>
      <c r="C1304" s="456" t="s">
        <v>18</v>
      </c>
      <c r="D1304" s="457"/>
      <c r="E1304" s="457"/>
      <c r="F1304" s="457"/>
      <c r="G1304" s="457"/>
      <c r="H1304" s="457"/>
      <c r="I1304" s="457"/>
      <c r="J1304" s="457"/>
      <c r="K1304" s="457"/>
      <c r="L1304" s="457"/>
      <c r="M1304" s="458"/>
    </row>
    <row r="1305" spans="2:13" ht="15.75">
      <c r="B1305" s="452" t="s">
        <v>17</v>
      </c>
      <c r="C1305" s="459" t="s">
        <v>18</v>
      </c>
      <c r="D1305" s="460"/>
      <c r="E1305" s="460"/>
      <c r="F1305" s="460"/>
      <c r="G1305" s="460"/>
      <c r="H1305" s="460"/>
      <c r="I1305" s="460"/>
      <c r="J1305" s="460"/>
      <c r="K1305" s="460"/>
      <c r="L1305" s="460"/>
      <c r="M1305" s="461"/>
    </row>
    <row r="1306" spans="2:13" ht="15.75">
      <c r="B1306" s="462"/>
      <c r="C1306" s="462"/>
      <c r="D1306" s="462"/>
      <c r="E1306" s="462"/>
      <c r="F1306" s="448"/>
      <c r="G1306" s="448"/>
      <c r="H1306" s="448"/>
      <c r="I1306" s="448"/>
      <c r="J1306" s="448"/>
      <c r="K1306" s="448"/>
      <c r="L1306" s="448"/>
      <c r="M1306" s="448"/>
    </row>
    <row r="1307" spans="2:13" ht="15.75">
      <c r="B1307" s="449" t="s">
        <v>19</v>
      </c>
      <c r="C1307" s="449"/>
      <c r="D1307" s="449"/>
      <c r="E1307" s="449"/>
      <c r="F1307" s="448"/>
      <c r="G1307" s="448"/>
      <c r="H1307" s="448"/>
      <c r="I1307" s="448"/>
      <c r="J1307" s="448"/>
      <c r="K1307" s="448"/>
      <c r="L1307" s="448"/>
      <c r="M1307" s="448"/>
    </row>
    <row r="1308" spans="2:13" ht="15.75">
      <c r="B1308" s="450" t="s">
        <v>2</v>
      </c>
      <c r="C1308" s="451" t="s">
        <v>3</v>
      </c>
      <c r="D1308" s="451" t="s">
        <v>4</v>
      </c>
      <c r="E1308" s="451" t="s">
        <v>5</v>
      </c>
      <c r="F1308" s="451" t="s">
        <v>6</v>
      </c>
      <c r="G1308" s="451" t="s">
        <v>7</v>
      </c>
      <c r="H1308" s="451" t="s">
        <v>8</v>
      </c>
      <c r="I1308" s="451" t="s">
        <v>9</v>
      </c>
      <c r="J1308" s="451" t="s">
        <v>10</v>
      </c>
      <c r="K1308" s="451" t="s">
        <v>11</v>
      </c>
      <c r="L1308" s="451" t="s">
        <v>12</v>
      </c>
      <c r="M1308" s="450" t="s">
        <v>13</v>
      </c>
    </row>
    <row r="1309" spans="2:13" ht="15.75">
      <c r="B1309" s="452" t="s">
        <v>14</v>
      </c>
      <c r="C1309" s="463">
        <f>938*2</f>
        <v>1876</v>
      </c>
      <c r="D1309" s="464">
        <f>844*2</f>
        <v>1688</v>
      </c>
      <c r="E1309" s="464">
        <f>759*2</f>
        <v>1518</v>
      </c>
      <c r="F1309" s="464">
        <f>680*2</f>
        <v>1360</v>
      </c>
      <c r="G1309" s="464">
        <f>614*2</f>
        <v>1228</v>
      </c>
      <c r="H1309" s="464">
        <f>459*2</f>
        <v>918</v>
      </c>
      <c r="I1309" s="464">
        <f>342*2</f>
        <v>684</v>
      </c>
      <c r="J1309" s="464">
        <f>258*2</f>
        <v>516</v>
      </c>
      <c r="K1309" s="464">
        <f>192*2</f>
        <v>384</v>
      </c>
      <c r="L1309" s="464">
        <f>145*2</f>
        <v>290</v>
      </c>
      <c r="M1309" s="465">
        <f>38*2</f>
        <v>76</v>
      </c>
    </row>
    <row r="1310" spans="2:13" ht="15.75">
      <c r="B1310" s="452" t="s">
        <v>15</v>
      </c>
      <c r="C1310" s="463"/>
      <c r="D1310" s="464"/>
      <c r="E1310" s="464"/>
      <c r="F1310" s="464"/>
      <c r="G1310" s="464"/>
      <c r="H1310" s="464"/>
      <c r="I1310" s="464"/>
      <c r="J1310" s="464"/>
      <c r="K1310" s="464"/>
      <c r="L1310" s="464"/>
      <c r="M1310" s="465"/>
    </row>
    <row r="1311" spans="2:13" ht="15.75">
      <c r="B1311" s="452" t="s">
        <v>16</v>
      </c>
      <c r="C1311" s="456" t="s">
        <v>18</v>
      </c>
      <c r="D1311" s="457"/>
      <c r="E1311" s="457"/>
      <c r="F1311" s="457"/>
      <c r="G1311" s="457"/>
      <c r="H1311" s="457"/>
      <c r="I1311" s="457"/>
      <c r="J1311" s="457"/>
      <c r="K1311" s="457"/>
      <c r="L1311" s="457"/>
      <c r="M1311" s="458"/>
    </row>
    <row r="1312" spans="2:13" ht="15.75">
      <c r="B1312" s="452" t="s">
        <v>17</v>
      </c>
      <c r="C1312" s="459" t="s">
        <v>18</v>
      </c>
      <c r="D1312" s="460"/>
      <c r="E1312" s="460"/>
      <c r="F1312" s="460"/>
      <c r="G1312" s="460"/>
      <c r="H1312" s="460"/>
      <c r="I1312" s="460"/>
      <c r="J1312" s="460"/>
      <c r="K1312" s="460"/>
      <c r="L1312" s="460"/>
      <c r="M1312" s="461"/>
    </row>
    <row r="1313" spans="2:25" ht="15.75">
      <c r="B1313" s="466"/>
      <c r="C1313" s="462"/>
      <c r="D1313" s="462"/>
      <c r="E1313" s="462"/>
      <c r="F1313" s="462"/>
      <c r="G1313" s="462"/>
      <c r="H1313" s="462"/>
      <c r="I1313" s="462"/>
      <c r="J1313" s="462"/>
      <c r="K1313" s="462"/>
      <c r="L1313" s="462"/>
      <c r="M1313" s="462"/>
    </row>
    <row r="1314" spans="2:25" ht="15.75">
      <c r="B1314" s="466"/>
      <c r="C1314" s="462"/>
      <c r="D1314" s="462"/>
      <c r="E1314" s="462"/>
      <c r="F1314" s="462"/>
      <c r="G1314" s="462"/>
      <c r="H1314" s="462"/>
      <c r="I1314" s="462"/>
      <c r="J1314" s="462"/>
      <c r="K1314" s="462"/>
      <c r="L1314" s="462"/>
      <c r="M1314" s="462"/>
    </row>
    <row r="1315" spans="2:25" ht="30" customHeight="1">
      <c r="B1315" s="447" t="s">
        <v>118</v>
      </c>
      <c r="C1315" s="447"/>
      <c r="D1315" s="447"/>
      <c r="E1315" s="447"/>
      <c r="F1315" s="448"/>
      <c r="G1315" s="448"/>
      <c r="H1315" s="448"/>
      <c r="I1315" s="448"/>
      <c r="J1315" s="448"/>
      <c r="K1315" s="448"/>
      <c r="L1315" s="448"/>
      <c r="M1315" s="448"/>
    </row>
    <row r="1316" spans="2:25" ht="15.75">
      <c r="B1316" s="449" t="s">
        <v>119</v>
      </c>
      <c r="C1316" s="449"/>
      <c r="D1316" s="449"/>
      <c r="E1316" s="449"/>
      <c r="F1316" s="448"/>
      <c r="G1316" s="448"/>
      <c r="H1316" s="448"/>
      <c r="I1316" s="448"/>
      <c r="J1316" s="448"/>
      <c r="K1316" s="448"/>
      <c r="L1316" s="448"/>
      <c r="M1316" s="448"/>
    </row>
    <row r="1317" spans="2:25" ht="15.75">
      <c r="B1317" s="450" t="s">
        <v>2</v>
      </c>
      <c r="C1317" s="451" t="s">
        <v>3</v>
      </c>
      <c r="D1317" s="451" t="s">
        <v>4</v>
      </c>
      <c r="E1317" s="451" t="s">
        <v>5</v>
      </c>
      <c r="F1317" s="451" t="s">
        <v>6</v>
      </c>
      <c r="G1317" s="451" t="s">
        <v>7</v>
      </c>
      <c r="H1317" s="451" t="s">
        <v>8</v>
      </c>
      <c r="I1317" s="451" t="s">
        <v>9</v>
      </c>
      <c r="J1317" s="451" t="s">
        <v>10</v>
      </c>
      <c r="K1317" s="451" t="s">
        <v>11</v>
      </c>
      <c r="L1317" s="451" t="s">
        <v>12</v>
      </c>
      <c r="M1317" s="450" t="s">
        <v>13</v>
      </c>
      <c r="N1317" s="467" t="e">
        <f>#REF!*2</f>
        <v>#REF!</v>
      </c>
      <c r="O1317" s="467" t="e">
        <f>#REF!*2</f>
        <v>#REF!</v>
      </c>
      <c r="P1317" s="467" t="e">
        <f>#REF!*2</f>
        <v>#REF!</v>
      </c>
      <c r="Q1317" s="467" t="e">
        <f>#REF!*2</f>
        <v>#REF!</v>
      </c>
      <c r="R1317" s="467" t="e">
        <f>#REF!*2</f>
        <v>#REF!</v>
      </c>
      <c r="S1317" s="467" t="e">
        <f>#REF!*2</f>
        <v>#REF!</v>
      </c>
      <c r="T1317" s="467" t="e">
        <f>#REF!*2</f>
        <v>#REF!</v>
      </c>
      <c r="U1317" s="467" t="e">
        <f>#REF!*2</f>
        <v>#REF!</v>
      </c>
      <c r="V1317" s="467" t="e">
        <f>#REF!*2</f>
        <v>#REF!</v>
      </c>
      <c r="W1317" s="467" t="e">
        <f>#REF!*2</f>
        <v>#REF!</v>
      </c>
      <c r="X1317" s="467" t="e">
        <f>#REF!*2</f>
        <v>#REF!</v>
      </c>
      <c r="Y1317" s="467"/>
    </row>
    <row r="1318" spans="2:25" ht="15.75">
      <c r="B1318" s="452" t="s">
        <v>14</v>
      </c>
      <c r="C1318" s="463">
        <f>550*2</f>
        <v>1100</v>
      </c>
      <c r="D1318" s="464">
        <f>410*2</f>
        <v>820</v>
      </c>
      <c r="E1318" s="464">
        <f>306*2</f>
        <v>612</v>
      </c>
      <c r="F1318" s="464">
        <f>228*2</f>
        <v>456</v>
      </c>
      <c r="G1318" s="464">
        <f>170*2</f>
        <v>340</v>
      </c>
      <c r="H1318" s="464">
        <f>127*2</f>
        <v>254</v>
      </c>
      <c r="I1318" s="464">
        <f>94*2</f>
        <v>188</v>
      </c>
      <c r="J1318" s="464">
        <f>70*2</f>
        <v>140</v>
      </c>
      <c r="K1318" s="464">
        <f>52*2</f>
        <v>104</v>
      </c>
      <c r="L1318" s="464">
        <f>39*2</f>
        <v>78</v>
      </c>
      <c r="M1318" s="465">
        <f>29*2</f>
        <v>58</v>
      </c>
      <c r="N1318" s="467" t="e">
        <f>#REF!*2</f>
        <v>#REF!</v>
      </c>
      <c r="O1318" s="467" t="e">
        <f>#REF!*2</f>
        <v>#REF!</v>
      </c>
      <c r="P1318" s="467" t="e">
        <f>#REF!*2</f>
        <v>#REF!</v>
      </c>
      <c r="Q1318" s="467" t="e">
        <f>#REF!*2</f>
        <v>#REF!</v>
      </c>
      <c r="R1318" s="467" t="e">
        <f>#REF!*2</f>
        <v>#REF!</v>
      </c>
      <c r="S1318" s="467" t="e">
        <f>#REF!*2</f>
        <v>#REF!</v>
      </c>
      <c r="T1318" s="467" t="e">
        <f>#REF!*2</f>
        <v>#REF!</v>
      </c>
      <c r="U1318" s="467" t="e">
        <f>#REF!*2</f>
        <v>#REF!</v>
      </c>
      <c r="V1318" s="467" t="e">
        <f>#REF!*2</f>
        <v>#REF!</v>
      </c>
      <c r="W1318" s="467" t="e">
        <f>#REF!*2</f>
        <v>#REF!</v>
      </c>
      <c r="X1318" s="467" t="e">
        <f>#REF!*2</f>
        <v>#REF!</v>
      </c>
      <c r="Y1318" s="467"/>
    </row>
    <row r="1319" spans="2:25" ht="15.75">
      <c r="B1319" s="452" t="s">
        <v>15</v>
      </c>
      <c r="C1319" s="464">
        <f>410*2</f>
        <v>820</v>
      </c>
      <c r="D1319" s="464">
        <f>306*2</f>
        <v>612</v>
      </c>
      <c r="E1319" s="464">
        <f>228*2</f>
        <v>456</v>
      </c>
      <c r="F1319" s="464">
        <f>170*2</f>
        <v>340</v>
      </c>
      <c r="G1319" s="464">
        <f>127*2</f>
        <v>254</v>
      </c>
      <c r="H1319" s="464">
        <f>94*2</f>
        <v>188</v>
      </c>
      <c r="I1319" s="464">
        <f>70*2</f>
        <v>140</v>
      </c>
      <c r="J1319" s="464">
        <f>52*2</f>
        <v>104</v>
      </c>
      <c r="K1319" s="464">
        <f>39*2</f>
        <v>78</v>
      </c>
      <c r="L1319" s="464">
        <f>29*2</f>
        <v>58</v>
      </c>
      <c r="M1319" s="465">
        <f>22*2</f>
        <v>44</v>
      </c>
      <c r="N1319" s="467" t="e">
        <f>#REF!*2</f>
        <v>#REF!</v>
      </c>
      <c r="O1319" s="467" t="e">
        <f>#REF!*2</f>
        <v>#REF!</v>
      </c>
      <c r="P1319" s="467" t="e">
        <f>#REF!*2</f>
        <v>#REF!</v>
      </c>
      <c r="Q1319" s="467" t="e">
        <f>#REF!*2</f>
        <v>#REF!</v>
      </c>
      <c r="R1319" s="467" t="e">
        <f>#REF!*2</f>
        <v>#REF!</v>
      </c>
      <c r="S1319" s="467" t="e">
        <f>#REF!*2</f>
        <v>#REF!</v>
      </c>
      <c r="T1319" s="467" t="e">
        <f>#REF!*2</f>
        <v>#REF!</v>
      </c>
      <c r="U1319" s="467" t="e">
        <f>#REF!*2</f>
        <v>#REF!</v>
      </c>
      <c r="V1319" s="467" t="e">
        <f>#REF!*2</f>
        <v>#REF!</v>
      </c>
      <c r="W1319" s="467" t="e">
        <f>#REF!*2</f>
        <v>#REF!</v>
      </c>
      <c r="X1319" s="467" t="e">
        <f>#REF!*2</f>
        <v>#REF!</v>
      </c>
    </row>
    <row r="1320" spans="2:25" ht="15.75">
      <c r="B1320" s="452" t="s">
        <v>16</v>
      </c>
      <c r="C1320" s="464">
        <f>306*2</f>
        <v>612</v>
      </c>
      <c r="D1320" s="464">
        <f>228*2</f>
        <v>456</v>
      </c>
      <c r="E1320" s="464">
        <f>170*2</f>
        <v>340</v>
      </c>
      <c r="F1320" s="464">
        <f>127*2</f>
        <v>254</v>
      </c>
      <c r="G1320" s="464">
        <f>94*2</f>
        <v>188</v>
      </c>
      <c r="H1320" s="464">
        <f>70*2</f>
        <v>140</v>
      </c>
      <c r="I1320" s="464">
        <f>52*2</f>
        <v>104</v>
      </c>
      <c r="J1320" s="464">
        <f>39*2</f>
        <v>78</v>
      </c>
      <c r="K1320" s="464">
        <f>29*2</f>
        <v>58</v>
      </c>
      <c r="L1320" s="465">
        <f>22*2</f>
        <v>44</v>
      </c>
      <c r="M1320" s="465">
        <f>15*2</f>
        <v>30</v>
      </c>
    </row>
    <row r="1321" spans="2:25" ht="15.75">
      <c r="B1321" s="452" t="s">
        <v>17</v>
      </c>
      <c r="C1321" s="456" t="s">
        <v>18</v>
      </c>
      <c r="D1321" s="457"/>
      <c r="E1321" s="457"/>
      <c r="F1321" s="457"/>
      <c r="G1321" s="457"/>
      <c r="H1321" s="457"/>
      <c r="I1321" s="457"/>
      <c r="J1321" s="457"/>
      <c r="K1321" s="457"/>
      <c r="L1321" s="457"/>
      <c r="M1321" s="458"/>
    </row>
    <row r="1322" spans="2:25" ht="15.75">
      <c r="B1322" s="462"/>
      <c r="C1322" s="462"/>
      <c r="D1322" s="462"/>
      <c r="E1322" s="462"/>
      <c r="F1322" s="448"/>
      <c r="G1322" s="448"/>
      <c r="H1322" s="448"/>
      <c r="I1322" s="448"/>
      <c r="J1322" s="448"/>
      <c r="K1322" s="448"/>
      <c r="L1322" s="448"/>
      <c r="M1322" s="448"/>
    </row>
    <row r="1323" spans="2:25" ht="30" customHeight="1">
      <c r="B1323" s="449" t="s">
        <v>19</v>
      </c>
      <c r="C1323" s="449"/>
      <c r="D1323" s="449"/>
      <c r="E1323" s="449"/>
      <c r="F1323" s="448"/>
      <c r="G1323" s="448"/>
      <c r="H1323" s="448"/>
      <c r="I1323" s="448"/>
      <c r="J1323" s="448"/>
      <c r="K1323" s="448"/>
      <c r="L1323" s="448"/>
      <c r="M1323" s="448"/>
    </row>
    <row r="1324" spans="2:25" ht="15.75">
      <c r="B1324" s="450" t="s">
        <v>2</v>
      </c>
      <c r="C1324" s="451" t="s">
        <v>3</v>
      </c>
      <c r="D1324" s="451" t="s">
        <v>4</v>
      </c>
      <c r="E1324" s="451" t="s">
        <v>5</v>
      </c>
      <c r="F1324" s="451" t="s">
        <v>6</v>
      </c>
      <c r="G1324" s="451" t="s">
        <v>7</v>
      </c>
      <c r="H1324" s="451" t="s">
        <v>8</v>
      </c>
      <c r="I1324" s="451" t="s">
        <v>9</v>
      </c>
      <c r="J1324" s="451" t="s">
        <v>10</v>
      </c>
      <c r="K1324" s="451" t="s">
        <v>11</v>
      </c>
      <c r="L1324" s="451" t="s">
        <v>12</v>
      </c>
      <c r="M1324" s="450" t="s">
        <v>13</v>
      </c>
    </row>
    <row r="1325" spans="2:25" ht="15.75">
      <c r="B1325" s="452" t="s">
        <v>14</v>
      </c>
      <c r="C1325" s="463">
        <f>700*2</f>
        <v>1400</v>
      </c>
      <c r="D1325" s="464">
        <f>516*2</f>
        <v>1032</v>
      </c>
      <c r="E1325" s="464">
        <f>381*2</f>
        <v>762</v>
      </c>
      <c r="F1325" s="464">
        <f>281*2</f>
        <v>562</v>
      </c>
      <c r="G1325" s="464">
        <f>207*2</f>
        <v>414</v>
      </c>
      <c r="H1325" s="464">
        <f>153*2</f>
        <v>306</v>
      </c>
      <c r="I1325" s="464">
        <f>113*2</f>
        <v>226</v>
      </c>
      <c r="J1325" s="464">
        <f>83*2</f>
        <v>166</v>
      </c>
      <c r="K1325" s="464">
        <f>61*2</f>
        <v>122</v>
      </c>
      <c r="L1325" s="464">
        <f>45*2</f>
        <v>90</v>
      </c>
      <c r="M1325" s="465">
        <f>33*2</f>
        <v>66</v>
      </c>
    </row>
    <row r="1326" spans="2:25" ht="15.75">
      <c r="B1326" s="452" t="s">
        <v>15</v>
      </c>
      <c r="C1326" s="464">
        <f>516*2</f>
        <v>1032</v>
      </c>
      <c r="D1326" s="464">
        <f>381*2</f>
        <v>762</v>
      </c>
      <c r="E1326" s="464">
        <f>281*2</f>
        <v>562</v>
      </c>
      <c r="F1326" s="464">
        <f>207*2</f>
        <v>414</v>
      </c>
      <c r="G1326" s="464">
        <f>153*2</f>
        <v>306</v>
      </c>
      <c r="H1326" s="464">
        <f>113*2</f>
        <v>226</v>
      </c>
      <c r="I1326" s="464">
        <f>83*2</f>
        <v>166</v>
      </c>
      <c r="J1326" s="464">
        <f>61*2</f>
        <v>122</v>
      </c>
      <c r="K1326" s="464">
        <f>45*2</f>
        <v>90</v>
      </c>
      <c r="L1326" s="464">
        <f>33*2</f>
        <v>66</v>
      </c>
      <c r="M1326" s="465">
        <f>25*2</f>
        <v>50</v>
      </c>
    </row>
    <row r="1327" spans="2:25" ht="15.75">
      <c r="B1327" s="452" t="s">
        <v>16</v>
      </c>
      <c r="C1327" s="464">
        <f>381*2</f>
        <v>762</v>
      </c>
      <c r="D1327" s="464">
        <f>281*2</f>
        <v>562</v>
      </c>
      <c r="E1327" s="464">
        <f>207*2</f>
        <v>414</v>
      </c>
      <c r="F1327" s="464">
        <f>153*2</f>
        <v>306</v>
      </c>
      <c r="G1327" s="464">
        <f>113*2</f>
        <v>226</v>
      </c>
      <c r="H1327" s="464">
        <f>83*2</f>
        <v>166</v>
      </c>
      <c r="I1327" s="464">
        <f>61*2</f>
        <v>122</v>
      </c>
      <c r="J1327" s="464">
        <f>45*2</f>
        <v>90</v>
      </c>
      <c r="K1327" s="464">
        <f>33*2</f>
        <v>66</v>
      </c>
      <c r="L1327" s="464">
        <f>25*2</f>
        <v>50</v>
      </c>
      <c r="M1327" s="465">
        <f>17*2</f>
        <v>34</v>
      </c>
    </row>
    <row r="1328" spans="2:25" ht="15.75">
      <c r="B1328" s="452" t="s">
        <v>17</v>
      </c>
      <c r="C1328" s="456" t="s">
        <v>18</v>
      </c>
      <c r="D1328" s="457"/>
      <c r="E1328" s="457"/>
      <c r="F1328" s="457"/>
      <c r="G1328" s="457"/>
      <c r="H1328" s="457"/>
      <c r="I1328" s="457"/>
      <c r="J1328" s="457"/>
      <c r="K1328" s="457"/>
      <c r="L1328" s="457"/>
      <c r="M1328" s="458"/>
    </row>
    <row r="1329" spans="2:13" ht="15.75">
      <c r="B1329" s="466"/>
      <c r="C1329" s="462"/>
      <c r="D1329" s="462"/>
      <c r="E1329" s="462"/>
      <c r="F1329" s="462"/>
      <c r="G1329" s="462"/>
      <c r="H1329" s="462"/>
      <c r="I1329" s="462"/>
      <c r="J1329" s="462"/>
      <c r="K1329" s="462"/>
      <c r="L1329" s="462"/>
      <c r="M1329" s="462"/>
    </row>
    <row r="1330" spans="2:13" ht="15.75">
      <c r="B1330" s="466"/>
      <c r="C1330" s="462"/>
      <c r="D1330" s="462"/>
      <c r="E1330" s="462"/>
      <c r="F1330" s="462"/>
      <c r="G1330" s="462"/>
      <c r="H1330" s="462"/>
      <c r="I1330" s="462"/>
      <c r="J1330" s="462"/>
      <c r="K1330" s="462"/>
      <c r="L1330" s="462"/>
      <c r="M1330" s="462"/>
    </row>
    <row r="1331" spans="2:13" ht="15.75">
      <c r="B1331" s="447" t="s">
        <v>120</v>
      </c>
      <c r="C1331" s="447"/>
      <c r="D1331" s="447"/>
      <c r="E1331" s="447"/>
      <c r="F1331" s="448"/>
      <c r="G1331" s="448"/>
      <c r="H1331" s="448"/>
      <c r="I1331" s="448"/>
      <c r="J1331" s="448"/>
      <c r="K1331" s="448"/>
      <c r="L1331" s="448"/>
      <c r="M1331" s="448"/>
    </row>
    <row r="1332" spans="2:13" ht="15.75">
      <c r="B1332" s="449" t="s">
        <v>39</v>
      </c>
      <c r="C1332" s="449"/>
      <c r="D1332" s="449"/>
      <c r="E1332" s="449"/>
      <c r="F1332" s="448"/>
      <c r="G1332" s="448"/>
      <c r="H1332" s="448"/>
      <c r="I1332" s="448"/>
      <c r="J1332" s="448"/>
      <c r="K1332" s="448"/>
      <c r="L1332" s="448"/>
      <c r="M1332" s="448"/>
    </row>
    <row r="1333" spans="2:13" ht="15.75">
      <c r="B1333" s="450" t="s">
        <v>2</v>
      </c>
      <c r="C1333" s="451" t="s">
        <v>3</v>
      </c>
      <c r="D1333" s="451" t="s">
        <v>4</v>
      </c>
      <c r="E1333" s="451" t="s">
        <v>5</v>
      </c>
      <c r="F1333" s="451" t="s">
        <v>6</v>
      </c>
      <c r="G1333" s="451" t="s">
        <v>7</v>
      </c>
      <c r="H1333" s="451" t="s">
        <v>8</v>
      </c>
      <c r="I1333" s="451" t="s">
        <v>9</v>
      </c>
      <c r="J1333" s="451" t="s">
        <v>10</v>
      </c>
      <c r="K1333" s="451" t="s">
        <v>11</v>
      </c>
      <c r="L1333" s="451" t="s">
        <v>12</v>
      </c>
      <c r="M1333" s="450" t="s">
        <v>13</v>
      </c>
    </row>
    <row r="1334" spans="2:13" ht="15.75">
      <c r="B1334" s="452" t="s">
        <v>14</v>
      </c>
      <c r="C1334" s="453">
        <f>1050*2</f>
        <v>2100</v>
      </c>
      <c r="D1334" s="454">
        <f>790*2</f>
        <v>1580</v>
      </c>
      <c r="E1334" s="454">
        <f>592*2</f>
        <v>1184</v>
      </c>
      <c r="F1334" s="454">
        <f>441*2</f>
        <v>882</v>
      </c>
      <c r="G1334" s="454">
        <f>332*2</f>
        <v>664</v>
      </c>
      <c r="H1334" s="454">
        <f>248*2</f>
        <v>496</v>
      </c>
      <c r="I1334" s="454">
        <f>185*2</f>
        <v>370</v>
      </c>
      <c r="J1334" s="454">
        <f>139*2</f>
        <v>278</v>
      </c>
      <c r="K1334" s="454">
        <f>105*2</f>
        <v>210</v>
      </c>
      <c r="L1334" s="454">
        <f>55*2</f>
        <v>110</v>
      </c>
      <c r="M1334" s="454">
        <f>25*2</f>
        <v>50</v>
      </c>
    </row>
    <row r="1335" spans="2:13" ht="15.75">
      <c r="B1335" s="452" t="s">
        <v>15</v>
      </c>
      <c r="C1335" s="453"/>
      <c r="D1335" s="454"/>
      <c r="E1335" s="454"/>
      <c r="F1335" s="454"/>
      <c r="G1335" s="454"/>
      <c r="H1335" s="455"/>
      <c r="I1335" s="454"/>
      <c r="J1335" s="454"/>
      <c r="K1335" s="454"/>
      <c r="L1335" s="454"/>
      <c r="M1335" s="454"/>
    </row>
    <row r="1336" spans="2:13" ht="15.75">
      <c r="B1336" s="452" t="s">
        <v>16</v>
      </c>
      <c r="C1336" s="456" t="s">
        <v>18</v>
      </c>
      <c r="D1336" s="457"/>
      <c r="E1336" s="457"/>
      <c r="F1336" s="457"/>
      <c r="G1336" s="457"/>
      <c r="H1336" s="457"/>
      <c r="I1336" s="457"/>
      <c r="J1336" s="457"/>
      <c r="K1336" s="457"/>
      <c r="L1336" s="457"/>
      <c r="M1336" s="458"/>
    </row>
    <row r="1337" spans="2:13" ht="15.75">
      <c r="B1337" s="452" t="s">
        <v>17</v>
      </c>
      <c r="C1337" s="459" t="s">
        <v>18</v>
      </c>
      <c r="D1337" s="460"/>
      <c r="E1337" s="460"/>
      <c r="F1337" s="460"/>
      <c r="G1337" s="460"/>
      <c r="H1337" s="460"/>
      <c r="I1337" s="460"/>
      <c r="J1337" s="460"/>
      <c r="K1337" s="460"/>
      <c r="L1337" s="460"/>
      <c r="M1337" s="461"/>
    </row>
    <row r="1338" spans="2:13" ht="30" customHeight="1">
      <c r="B1338" s="462"/>
      <c r="C1338" s="462"/>
      <c r="D1338" s="462"/>
      <c r="E1338" s="462"/>
      <c r="F1338" s="448"/>
      <c r="G1338" s="448"/>
      <c r="H1338" s="448"/>
      <c r="I1338" s="448"/>
      <c r="J1338" s="448"/>
      <c r="K1338" s="448"/>
      <c r="L1338" s="448"/>
      <c r="M1338" s="448"/>
    </row>
    <row r="1339" spans="2:13" ht="15.75">
      <c r="B1339" s="449" t="s">
        <v>19</v>
      </c>
      <c r="C1339" s="449"/>
      <c r="D1339" s="449"/>
      <c r="E1339" s="449"/>
      <c r="F1339" s="448"/>
      <c r="G1339" s="448"/>
      <c r="H1339" s="448"/>
      <c r="I1339" s="448"/>
      <c r="J1339" s="448"/>
      <c r="K1339" s="448"/>
      <c r="L1339" s="448"/>
      <c r="M1339" s="448"/>
    </row>
    <row r="1340" spans="2:13" ht="15.75">
      <c r="B1340" s="450" t="s">
        <v>2</v>
      </c>
      <c r="C1340" s="451" t="s">
        <v>3</v>
      </c>
      <c r="D1340" s="451" t="s">
        <v>4</v>
      </c>
      <c r="E1340" s="451" t="s">
        <v>5</v>
      </c>
      <c r="F1340" s="451" t="s">
        <v>6</v>
      </c>
      <c r="G1340" s="451" t="s">
        <v>7</v>
      </c>
      <c r="H1340" s="451" t="s">
        <v>8</v>
      </c>
      <c r="I1340" s="451" t="s">
        <v>9</v>
      </c>
      <c r="J1340" s="451" t="s">
        <v>10</v>
      </c>
      <c r="K1340" s="451" t="s">
        <v>11</v>
      </c>
      <c r="L1340" s="451" t="s">
        <v>12</v>
      </c>
      <c r="M1340" s="450" t="s">
        <v>13</v>
      </c>
    </row>
    <row r="1341" spans="2:13" ht="15.75">
      <c r="B1341" s="452" t="s">
        <v>14</v>
      </c>
      <c r="C1341" s="463">
        <f>1953*2</f>
        <v>3906</v>
      </c>
      <c r="D1341" s="464">
        <f>1468*2</f>
        <v>2936</v>
      </c>
      <c r="E1341" s="464">
        <f>1096*2</f>
        <v>2192</v>
      </c>
      <c r="F1341" s="464">
        <f>825*2</f>
        <v>1650</v>
      </c>
      <c r="G1341" s="464">
        <f>617*2</f>
        <v>1234</v>
      </c>
      <c r="H1341" s="464">
        <f>466*2</f>
        <v>932</v>
      </c>
      <c r="I1341" s="464">
        <f>347*2</f>
        <v>694</v>
      </c>
      <c r="J1341" s="464">
        <f>258*2</f>
        <v>516</v>
      </c>
      <c r="K1341" s="464">
        <f>195*2</f>
        <v>390</v>
      </c>
      <c r="L1341" s="464">
        <f>145*2</f>
        <v>290</v>
      </c>
      <c r="M1341" s="465">
        <f>107*2</f>
        <v>214</v>
      </c>
    </row>
    <row r="1342" spans="2:13" ht="15.75">
      <c r="B1342" s="452" t="s">
        <v>15</v>
      </c>
      <c r="C1342" s="463"/>
      <c r="D1342" s="464"/>
      <c r="E1342" s="464"/>
      <c r="F1342" s="464"/>
      <c r="G1342" s="464"/>
      <c r="H1342" s="464"/>
      <c r="I1342" s="464"/>
      <c r="J1342" s="464"/>
      <c r="K1342" s="464"/>
      <c r="L1342" s="464"/>
      <c r="M1342" s="465"/>
    </row>
    <row r="1343" spans="2:13" ht="15.75">
      <c r="B1343" s="452" t="s">
        <v>16</v>
      </c>
      <c r="C1343" s="456" t="s">
        <v>18</v>
      </c>
      <c r="D1343" s="457"/>
      <c r="E1343" s="457"/>
      <c r="F1343" s="457"/>
      <c r="G1343" s="457"/>
      <c r="H1343" s="457"/>
      <c r="I1343" s="457"/>
      <c r="J1343" s="457"/>
      <c r="K1343" s="457"/>
      <c r="L1343" s="457"/>
      <c r="M1343" s="458"/>
    </row>
    <row r="1344" spans="2:13" ht="15.75">
      <c r="B1344" s="452" t="s">
        <v>17</v>
      </c>
      <c r="C1344" s="459" t="s">
        <v>18</v>
      </c>
      <c r="D1344" s="460"/>
      <c r="E1344" s="460"/>
      <c r="F1344" s="460"/>
      <c r="G1344" s="460"/>
      <c r="H1344" s="460"/>
      <c r="I1344" s="460"/>
      <c r="J1344" s="460"/>
      <c r="K1344" s="460"/>
      <c r="L1344" s="460"/>
      <c r="M1344" s="461"/>
    </row>
    <row r="1345" spans="2:13" ht="15.75">
      <c r="B1345" s="466"/>
      <c r="C1345" s="468"/>
      <c r="D1345" s="468"/>
      <c r="E1345" s="468"/>
      <c r="F1345" s="468"/>
      <c r="G1345" s="468"/>
      <c r="H1345" s="468"/>
      <c r="I1345" s="468"/>
      <c r="J1345" s="468"/>
      <c r="K1345" s="468"/>
      <c r="L1345" s="468"/>
      <c r="M1345" s="468"/>
    </row>
    <row r="1346" spans="2:13" ht="15.75">
      <c r="B1346" s="447" t="s">
        <v>121</v>
      </c>
      <c r="C1346" s="447"/>
      <c r="D1346" s="447"/>
      <c r="E1346" s="447"/>
      <c r="F1346" s="448"/>
      <c r="G1346" s="448"/>
      <c r="H1346" s="448"/>
      <c r="I1346" s="448"/>
      <c r="J1346" s="448"/>
      <c r="K1346" s="448"/>
      <c r="L1346" s="448"/>
      <c r="M1346" s="448"/>
    </row>
    <row r="1347" spans="2:13" ht="15.75">
      <c r="B1347" s="449" t="s">
        <v>39</v>
      </c>
      <c r="C1347" s="449"/>
      <c r="D1347" s="449"/>
      <c r="E1347" s="449"/>
      <c r="F1347" s="448"/>
      <c r="G1347" s="448"/>
      <c r="H1347" s="448"/>
      <c r="I1347" s="448"/>
      <c r="J1347" s="448"/>
      <c r="K1347" s="448"/>
      <c r="L1347" s="448"/>
      <c r="M1347" s="448"/>
    </row>
    <row r="1348" spans="2:13" ht="15.75">
      <c r="B1348" s="450" t="s">
        <v>2</v>
      </c>
      <c r="C1348" s="451" t="s">
        <v>3</v>
      </c>
      <c r="D1348" s="451" t="s">
        <v>4</v>
      </c>
      <c r="E1348" s="451" t="s">
        <v>5</v>
      </c>
      <c r="F1348" s="451" t="s">
        <v>6</v>
      </c>
      <c r="G1348" s="451" t="s">
        <v>7</v>
      </c>
      <c r="H1348" s="451" t="s">
        <v>8</v>
      </c>
      <c r="I1348" s="451" t="s">
        <v>9</v>
      </c>
      <c r="J1348" s="451" t="s">
        <v>10</v>
      </c>
      <c r="K1348" s="451" t="s">
        <v>11</v>
      </c>
      <c r="L1348" s="451" t="s">
        <v>12</v>
      </c>
      <c r="M1348" s="450" t="s">
        <v>13</v>
      </c>
    </row>
    <row r="1349" spans="2:13" ht="15.75">
      <c r="B1349" s="452" t="s">
        <v>14</v>
      </c>
      <c r="C1349" s="453">
        <f>354*2</f>
        <v>708</v>
      </c>
      <c r="D1349" s="454">
        <f>265*2</f>
        <v>530</v>
      </c>
      <c r="E1349" s="454">
        <f>199*2</f>
        <v>398</v>
      </c>
      <c r="F1349" s="454">
        <f>149*2</f>
        <v>298</v>
      </c>
      <c r="G1349" s="454">
        <f>112*2</f>
        <v>224</v>
      </c>
      <c r="H1349" s="454">
        <f>84*2</f>
        <v>168</v>
      </c>
      <c r="I1349" s="454">
        <f>63*2</f>
        <v>126</v>
      </c>
      <c r="J1349" s="454">
        <f>47*2</f>
        <v>94</v>
      </c>
      <c r="K1349" s="454">
        <f>36*2</f>
        <v>72</v>
      </c>
      <c r="L1349" s="454">
        <f>26*2</f>
        <v>52</v>
      </c>
      <c r="M1349" s="454">
        <f>20*2</f>
        <v>40</v>
      </c>
    </row>
    <row r="1350" spans="2:13" ht="15.75">
      <c r="B1350" s="452" t="s">
        <v>15</v>
      </c>
      <c r="C1350" s="453"/>
      <c r="D1350" s="454"/>
      <c r="E1350" s="454"/>
      <c r="F1350" s="454"/>
      <c r="G1350" s="454"/>
      <c r="H1350" s="455"/>
      <c r="I1350" s="454"/>
      <c r="J1350" s="454"/>
      <c r="K1350" s="454"/>
      <c r="L1350" s="454"/>
      <c r="M1350" s="454"/>
    </row>
    <row r="1351" spans="2:13" ht="15.75">
      <c r="B1351" s="452" t="s">
        <v>16</v>
      </c>
      <c r="C1351" s="456" t="s">
        <v>18</v>
      </c>
      <c r="D1351" s="457"/>
      <c r="E1351" s="457"/>
      <c r="F1351" s="457"/>
      <c r="G1351" s="457"/>
      <c r="H1351" s="457"/>
      <c r="I1351" s="457"/>
      <c r="J1351" s="457"/>
      <c r="K1351" s="457"/>
      <c r="L1351" s="457"/>
      <c r="M1351" s="458"/>
    </row>
    <row r="1352" spans="2:13" ht="15.75">
      <c r="B1352" s="452" t="s">
        <v>17</v>
      </c>
      <c r="C1352" s="459" t="s">
        <v>18</v>
      </c>
      <c r="D1352" s="460"/>
      <c r="E1352" s="460"/>
      <c r="F1352" s="460"/>
      <c r="G1352" s="460"/>
      <c r="H1352" s="460"/>
      <c r="I1352" s="460"/>
      <c r="J1352" s="460"/>
      <c r="K1352" s="460"/>
      <c r="L1352" s="460"/>
      <c r="M1352" s="461"/>
    </row>
    <row r="1353" spans="2:13" ht="15.75">
      <c r="B1353" s="462"/>
      <c r="C1353" s="462"/>
      <c r="D1353" s="462"/>
      <c r="E1353" s="462"/>
      <c r="F1353" s="448"/>
      <c r="G1353" s="448"/>
      <c r="H1353" s="448"/>
      <c r="I1353" s="448"/>
      <c r="J1353" s="448"/>
      <c r="K1353" s="448"/>
      <c r="L1353" s="448"/>
      <c r="M1353" s="448"/>
    </row>
    <row r="1354" spans="2:13" ht="15.75">
      <c r="B1354" s="449" t="s">
        <v>19</v>
      </c>
      <c r="C1354" s="449"/>
      <c r="D1354" s="449"/>
      <c r="E1354" s="449"/>
      <c r="F1354" s="448"/>
      <c r="G1354" s="448"/>
      <c r="H1354" s="448"/>
      <c r="I1354" s="448"/>
      <c r="J1354" s="448"/>
      <c r="K1354" s="448"/>
      <c r="L1354" s="448"/>
      <c r="M1354" s="448"/>
    </row>
    <row r="1355" spans="2:13" ht="15.75">
      <c r="B1355" s="450" t="s">
        <v>2</v>
      </c>
      <c r="C1355" s="451" t="s">
        <v>3</v>
      </c>
      <c r="D1355" s="451" t="s">
        <v>4</v>
      </c>
      <c r="E1355" s="451" t="s">
        <v>5</v>
      </c>
      <c r="F1355" s="451" t="s">
        <v>6</v>
      </c>
      <c r="G1355" s="451" t="s">
        <v>7</v>
      </c>
      <c r="H1355" s="451" t="s">
        <v>8</v>
      </c>
      <c r="I1355" s="451" t="s">
        <v>9</v>
      </c>
      <c r="J1355" s="451" t="s">
        <v>10</v>
      </c>
      <c r="K1355" s="451" t="s">
        <v>11</v>
      </c>
      <c r="L1355" s="451" t="s">
        <v>12</v>
      </c>
      <c r="M1355" s="450" t="s">
        <v>13</v>
      </c>
    </row>
    <row r="1356" spans="2:13" ht="15.75">
      <c r="B1356" s="452" t="s">
        <v>14</v>
      </c>
      <c r="C1356" s="463">
        <f>629*2</f>
        <v>1258</v>
      </c>
      <c r="D1356" s="464">
        <f>472*2</f>
        <v>944</v>
      </c>
      <c r="E1356" s="464">
        <f>354*2</f>
        <v>708</v>
      </c>
      <c r="F1356" s="464">
        <f>265*2</f>
        <v>530</v>
      </c>
      <c r="G1356" s="464">
        <f>199*2</f>
        <v>398</v>
      </c>
      <c r="H1356" s="464">
        <f>149*2</f>
        <v>298</v>
      </c>
      <c r="I1356" s="464">
        <f>112*2</f>
        <v>224</v>
      </c>
      <c r="J1356" s="464">
        <f>84*2</f>
        <v>168</v>
      </c>
      <c r="K1356" s="464">
        <f>63*2</f>
        <v>126</v>
      </c>
      <c r="L1356" s="464">
        <f>47*2</f>
        <v>94</v>
      </c>
      <c r="M1356" s="465">
        <f>36*2</f>
        <v>72</v>
      </c>
    </row>
    <row r="1357" spans="2:13" ht="15.75">
      <c r="B1357" s="452" t="s">
        <v>15</v>
      </c>
      <c r="C1357" s="463"/>
      <c r="D1357" s="464"/>
      <c r="E1357" s="464"/>
      <c r="F1357" s="464"/>
      <c r="G1357" s="464"/>
      <c r="H1357" s="464"/>
      <c r="I1357" s="464"/>
      <c r="J1357" s="464"/>
      <c r="K1357" s="464"/>
      <c r="L1357" s="464"/>
      <c r="M1357" s="465"/>
    </row>
    <row r="1358" spans="2:13" ht="15.75">
      <c r="B1358" s="452" t="s">
        <v>16</v>
      </c>
      <c r="C1358" s="456" t="s">
        <v>18</v>
      </c>
      <c r="D1358" s="457"/>
      <c r="E1358" s="457"/>
      <c r="F1358" s="457"/>
      <c r="G1358" s="457"/>
      <c r="H1358" s="457"/>
      <c r="I1358" s="457"/>
      <c r="J1358" s="457"/>
      <c r="K1358" s="457"/>
      <c r="L1358" s="457"/>
      <c r="M1358" s="458"/>
    </row>
    <row r="1359" spans="2:13" ht="15.75">
      <c r="B1359" s="452" t="s">
        <v>17</v>
      </c>
      <c r="C1359" s="459" t="s">
        <v>18</v>
      </c>
      <c r="D1359" s="460"/>
      <c r="E1359" s="460"/>
      <c r="F1359" s="460"/>
      <c r="G1359" s="460"/>
      <c r="H1359" s="460"/>
      <c r="I1359" s="460"/>
      <c r="J1359" s="460"/>
      <c r="K1359" s="460"/>
      <c r="L1359" s="460"/>
      <c r="M1359" s="461"/>
    </row>
    <row r="1360" spans="2:13" ht="15.75">
      <c r="B1360" s="466"/>
      <c r="C1360" s="462"/>
      <c r="D1360" s="462"/>
      <c r="E1360" s="462"/>
      <c r="F1360" s="462"/>
      <c r="G1360" s="462"/>
      <c r="H1360" s="462"/>
      <c r="I1360" s="462"/>
      <c r="J1360" s="462"/>
      <c r="K1360" s="462"/>
      <c r="L1360" s="462"/>
      <c r="M1360" s="462"/>
    </row>
    <row r="1361" spans="2:13" ht="15.75">
      <c r="B1361" s="447" t="s">
        <v>122</v>
      </c>
      <c r="C1361" s="447"/>
      <c r="D1361" s="447"/>
      <c r="E1361" s="447"/>
      <c r="F1361" s="448"/>
      <c r="G1361" s="448"/>
      <c r="H1361" s="448"/>
      <c r="I1361" s="448"/>
      <c r="J1361" s="448"/>
      <c r="K1361" s="448"/>
      <c r="L1361" s="448"/>
      <c r="M1361" s="448"/>
    </row>
    <row r="1362" spans="2:13" ht="15.75">
      <c r="B1362" s="449" t="s">
        <v>119</v>
      </c>
      <c r="C1362" s="449"/>
      <c r="D1362" s="449"/>
      <c r="E1362" s="449"/>
      <c r="F1362" s="448"/>
      <c r="G1362" s="448"/>
      <c r="H1362" s="448"/>
      <c r="I1362" s="448"/>
      <c r="J1362" s="448"/>
      <c r="K1362" s="448"/>
      <c r="L1362" s="448"/>
      <c r="M1362" s="448"/>
    </row>
    <row r="1363" spans="2:13" ht="15.75">
      <c r="B1363" s="450" t="s">
        <v>2</v>
      </c>
      <c r="C1363" s="451" t="s">
        <v>3</v>
      </c>
      <c r="D1363" s="451" t="s">
        <v>4</v>
      </c>
      <c r="E1363" s="451" t="s">
        <v>5</v>
      </c>
      <c r="F1363" s="451" t="s">
        <v>6</v>
      </c>
      <c r="G1363" s="451" t="s">
        <v>7</v>
      </c>
      <c r="H1363" s="451" t="s">
        <v>8</v>
      </c>
      <c r="I1363" s="451" t="s">
        <v>9</v>
      </c>
      <c r="J1363" s="451" t="s">
        <v>10</v>
      </c>
      <c r="K1363" s="451" t="s">
        <v>11</v>
      </c>
      <c r="L1363" s="451" t="s">
        <v>12</v>
      </c>
      <c r="M1363" s="450" t="s">
        <v>13</v>
      </c>
    </row>
    <row r="1364" spans="2:13" ht="15.75">
      <c r="B1364" s="452" t="s">
        <v>14</v>
      </c>
      <c r="C1364" s="463">
        <f>1701*2</f>
        <v>3402</v>
      </c>
      <c r="D1364" s="464">
        <f>1276*2</f>
        <v>2552</v>
      </c>
      <c r="E1364" s="464">
        <f>957*2</f>
        <v>1914</v>
      </c>
      <c r="F1364" s="464">
        <f>718*2</f>
        <v>1436</v>
      </c>
      <c r="G1364" s="464">
        <f>538*2</f>
        <v>1076</v>
      </c>
      <c r="H1364" s="464">
        <f>404*2</f>
        <v>808</v>
      </c>
      <c r="I1364" s="464">
        <f>303*2</f>
        <v>606</v>
      </c>
      <c r="J1364" s="464">
        <f>227*2</f>
        <v>454</v>
      </c>
      <c r="K1364" s="464">
        <f>170*2</f>
        <v>340</v>
      </c>
      <c r="L1364" s="464">
        <f>128*2</f>
        <v>256</v>
      </c>
      <c r="M1364" s="465">
        <f>96*2</f>
        <v>192</v>
      </c>
    </row>
    <row r="1365" spans="2:13" ht="15.75">
      <c r="B1365" s="452" t="s">
        <v>15</v>
      </c>
      <c r="C1365" s="464">
        <f>1119*2</f>
        <v>2238</v>
      </c>
      <c r="D1365" s="464">
        <f>839*2</f>
        <v>1678</v>
      </c>
      <c r="E1365" s="464">
        <f>629*2</f>
        <v>1258</v>
      </c>
      <c r="F1365" s="464">
        <f>472*2</f>
        <v>944</v>
      </c>
      <c r="G1365" s="464">
        <f>354*2</f>
        <v>708</v>
      </c>
      <c r="H1365" s="464">
        <f>266*2</f>
        <v>532</v>
      </c>
      <c r="I1365" s="464">
        <f>199*2</f>
        <v>398</v>
      </c>
      <c r="J1365" s="464">
        <f>149*2</f>
        <v>298</v>
      </c>
      <c r="K1365" s="464">
        <f>112*2</f>
        <v>224</v>
      </c>
      <c r="L1365" s="464">
        <f>84*2</f>
        <v>168</v>
      </c>
      <c r="M1365" s="465">
        <f>63*2</f>
        <v>126</v>
      </c>
    </row>
    <row r="1366" spans="2:13" ht="15.75">
      <c r="B1366" s="452" t="s">
        <v>16</v>
      </c>
      <c r="C1366" s="464">
        <f>803*2</f>
        <v>1606</v>
      </c>
      <c r="D1366" s="464">
        <f>602*2</f>
        <v>1204</v>
      </c>
      <c r="E1366" s="464">
        <f>451*2</f>
        <v>902</v>
      </c>
      <c r="F1366" s="464">
        <f>339*2</f>
        <v>678</v>
      </c>
      <c r="G1366" s="464">
        <f>254*2</f>
        <v>508</v>
      </c>
      <c r="H1366" s="464">
        <f>190*2</f>
        <v>380</v>
      </c>
      <c r="I1366" s="464">
        <f>143*2</f>
        <v>286</v>
      </c>
      <c r="J1366" s="464">
        <f>107*2</f>
        <v>214</v>
      </c>
      <c r="K1366" s="464">
        <f>80*2</f>
        <v>160</v>
      </c>
      <c r="L1366" s="465">
        <f>60*2</f>
        <v>120</v>
      </c>
      <c r="M1366" s="465">
        <f>45*2</f>
        <v>90</v>
      </c>
    </row>
    <row r="1367" spans="2:13" ht="15.75">
      <c r="B1367" s="452" t="s">
        <v>17</v>
      </c>
      <c r="C1367" s="456" t="s">
        <v>18</v>
      </c>
      <c r="D1367" s="457"/>
      <c r="E1367" s="457"/>
      <c r="F1367" s="457"/>
      <c r="G1367" s="457"/>
      <c r="H1367" s="457"/>
      <c r="I1367" s="457"/>
      <c r="J1367" s="457"/>
      <c r="K1367" s="457"/>
      <c r="L1367" s="457"/>
      <c r="M1367" s="458"/>
    </row>
    <row r="1368" spans="2:13" ht="15.75">
      <c r="B1368" s="462"/>
      <c r="C1368" s="462"/>
      <c r="D1368" s="462"/>
      <c r="E1368" s="462"/>
      <c r="F1368" s="448"/>
      <c r="G1368" s="448"/>
      <c r="H1368" s="448"/>
      <c r="I1368" s="448"/>
      <c r="J1368" s="448"/>
      <c r="K1368" s="448"/>
      <c r="L1368" s="448"/>
      <c r="M1368" s="448"/>
    </row>
    <row r="1369" spans="2:13" ht="15.75">
      <c r="B1369" s="449" t="s">
        <v>19</v>
      </c>
      <c r="C1369" s="449"/>
      <c r="D1369" s="449"/>
      <c r="E1369" s="449"/>
      <c r="F1369" s="448"/>
      <c r="G1369" s="448"/>
      <c r="H1369" s="448"/>
      <c r="I1369" s="448"/>
      <c r="J1369" s="448"/>
      <c r="K1369" s="448"/>
      <c r="L1369" s="448"/>
      <c r="M1369" s="448"/>
    </row>
    <row r="1370" spans="2:13" ht="15.75">
      <c r="B1370" s="450" t="s">
        <v>2</v>
      </c>
      <c r="C1370" s="451" t="s">
        <v>3</v>
      </c>
      <c r="D1370" s="451" t="s">
        <v>4</v>
      </c>
      <c r="E1370" s="451" t="s">
        <v>5</v>
      </c>
      <c r="F1370" s="451" t="s">
        <v>6</v>
      </c>
      <c r="G1370" s="451" t="s">
        <v>7</v>
      </c>
      <c r="H1370" s="451" t="s">
        <v>8</v>
      </c>
      <c r="I1370" s="451" t="s">
        <v>9</v>
      </c>
      <c r="J1370" s="451" t="s">
        <v>10</v>
      </c>
      <c r="K1370" s="451" t="s">
        <v>11</v>
      </c>
      <c r="L1370" s="451" t="s">
        <v>12</v>
      </c>
      <c r="M1370" s="450" t="s">
        <v>13</v>
      </c>
    </row>
    <row r="1371" spans="2:13" ht="15.75">
      <c r="B1371" s="452" t="s">
        <v>14</v>
      </c>
      <c r="C1371" s="463">
        <f>2551*2</f>
        <v>5102</v>
      </c>
      <c r="D1371" s="464">
        <f>1913*2</f>
        <v>3826</v>
      </c>
      <c r="E1371" s="464">
        <f>1435*2</f>
        <v>2870</v>
      </c>
      <c r="F1371" s="464">
        <f>1076*2</f>
        <v>2152</v>
      </c>
      <c r="G1371" s="464">
        <f>807*2</f>
        <v>1614</v>
      </c>
      <c r="H1371" s="464">
        <f>605*2</f>
        <v>1210</v>
      </c>
      <c r="I1371" s="464">
        <f>454*2</f>
        <v>908</v>
      </c>
      <c r="J1371" s="464">
        <f>341*2</f>
        <v>682</v>
      </c>
      <c r="K1371" s="464">
        <f>255*2</f>
        <v>510</v>
      </c>
      <c r="L1371" s="464">
        <f>192*2</f>
        <v>384</v>
      </c>
      <c r="M1371" s="465">
        <f>144*2</f>
        <v>288</v>
      </c>
    </row>
    <row r="1372" spans="2:13" ht="15.75">
      <c r="B1372" s="452" t="s">
        <v>15</v>
      </c>
      <c r="C1372" s="464">
        <f>1679*2</f>
        <v>3358</v>
      </c>
      <c r="D1372" s="464">
        <f>1259*2</f>
        <v>2518</v>
      </c>
      <c r="E1372" s="464">
        <f>944*2</f>
        <v>1888</v>
      </c>
      <c r="F1372" s="464">
        <f>708*2</f>
        <v>1416</v>
      </c>
      <c r="G1372" s="464">
        <f>531*2</f>
        <v>1062</v>
      </c>
      <c r="H1372" s="464">
        <f>398*2</f>
        <v>796</v>
      </c>
      <c r="I1372" s="464">
        <f>299*2</f>
        <v>598</v>
      </c>
      <c r="J1372" s="464">
        <f>224*2</f>
        <v>448</v>
      </c>
      <c r="K1372" s="464">
        <f>168*2</f>
        <v>336</v>
      </c>
      <c r="L1372" s="464">
        <f>126*2</f>
        <v>252</v>
      </c>
      <c r="M1372" s="465">
        <f>95*2</f>
        <v>190</v>
      </c>
    </row>
    <row r="1373" spans="2:13" ht="15.75">
      <c r="B1373" s="452" t="s">
        <v>16</v>
      </c>
      <c r="C1373" s="464">
        <f>1204*2</f>
        <v>2408</v>
      </c>
      <c r="D1373" s="464">
        <f>903*2</f>
        <v>1806</v>
      </c>
      <c r="E1373" s="464">
        <f>677*2</f>
        <v>1354</v>
      </c>
      <c r="F1373" s="464">
        <f>508*2</f>
        <v>1016</v>
      </c>
      <c r="G1373" s="464">
        <f>381*2</f>
        <v>762</v>
      </c>
      <c r="H1373" s="464">
        <f>286*2</f>
        <v>572</v>
      </c>
      <c r="I1373" s="464">
        <f>214*2</f>
        <v>428</v>
      </c>
      <c r="J1373" s="464">
        <f>161*2</f>
        <v>322</v>
      </c>
      <c r="K1373" s="464">
        <f>121*2</f>
        <v>242</v>
      </c>
      <c r="L1373" s="464">
        <f>90*2</f>
        <v>180</v>
      </c>
      <c r="M1373" s="465">
        <f>68*2</f>
        <v>136</v>
      </c>
    </row>
    <row r="1374" spans="2:13" ht="15.75">
      <c r="B1374" s="452" t="s">
        <v>17</v>
      </c>
      <c r="C1374" s="456" t="s">
        <v>18</v>
      </c>
      <c r="D1374" s="457"/>
      <c r="E1374" s="457"/>
      <c r="F1374" s="457"/>
      <c r="G1374" s="457"/>
      <c r="H1374" s="457"/>
      <c r="I1374" s="457"/>
      <c r="J1374" s="457"/>
      <c r="K1374" s="457"/>
      <c r="L1374" s="457"/>
      <c r="M1374" s="458"/>
    </row>
    <row r="1375" spans="2:13" ht="15.75">
      <c r="B1375" s="466"/>
      <c r="C1375" s="462"/>
      <c r="D1375" s="462"/>
      <c r="E1375" s="462"/>
      <c r="F1375" s="462"/>
      <c r="G1375" s="462"/>
      <c r="H1375" s="462"/>
      <c r="I1375" s="462"/>
      <c r="J1375" s="462"/>
      <c r="K1375" s="462"/>
      <c r="L1375" s="462"/>
      <c r="M1375" s="462"/>
    </row>
    <row r="1376" spans="2:13" ht="15.75">
      <c r="B1376" s="466"/>
      <c r="C1376" s="462"/>
      <c r="D1376" s="462"/>
      <c r="E1376" s="462"/>
      <c r="F1376" s="462"/>
      <c r="G1376" s="462"/>
      <c r="H1376" s="462"/>
      <c r="I1376" s="462"/>
      <c r="J1376" s="462"/>
      <c r="K1376" s="462"/>
      <c r="L1376" s="462"/>
      <c r="M1376" s="462"/>
    </row>
    <row r="1377" spans="2:13" ht="15.75">
      <c r="B1377" s="447" t="s">
        <v>123</v>
      </c>
      <c r="C1377" s="447"/>
      <c r="D1377" s="447"/>
      <c r="E1377" s="447"/>
      <c r="F1377" s="448"/>
      <c r="G1377" s="448"/>
      <c r="H1377" s="448"/>
      <c r="I1377" s="448"/>
      <c r="J1377" s="448"/>
      <c r="K1377" s="448"/>
      <c r="L1377" s="448"/>
      <c r="M1377" s="448"/>
    </row>
    <row r="1378" spans="2:13" ht="15.75">
      <c r="B1378" s="449" t="s">
        <v>39</v>
      </c>
      <c r="C1378" s="449"/>
      <c r="D1378" s="449"/>
      <c r="E1378" s="449"/>
      <c r="F1378" s="448"/>
      <c r="G1378" s="448"/>
      <c r="H1378" s="448"/>
      <c r="I1378" s="448"/>
      <c r="J1378" s="448"/>
      <c r="K1378" s="448"/>
      <c r="L1378" s="448"/>
      <c r="M1378" s="448"/>
    </row>
    <row r="1379" spans="2:13" ht="15.75">
      <c r="B1379" s="450" t="s">
        <v>2</v>
      </c>
      <c r="C1379" s="451" t="s">
        <v>3</v>
      </c>
      <c r="D1379" s="451" t="s">
        <v>4</v>
      </c>
      <c r="E1379" s="451" t="s">
        <v>5</v>
      </c>
      <c r="F1379" s="451" t="s">
        <v>6</v>
      </c>
      <c r="G1379" s="451" t="s">
        <v>7</v>
      </c>
      <c r="H1379" s="451" t="s">
        <v>8</v>
      </c>
      <c r="I1379" s="451" t="s">
        <v>9</v>
      </c>
      <c r="J1379" s="451" t="s">
        <v>10</v>
      </c>
      <c r="K1379" s="451" t="s">
        <v>11</v>
      </c>
      <c r="L1379" s="451" t="s">
        <v>12</v>
      </c>
      <c r="M1379" s="450" t="s">
        <v>13</v>
      </c>
    </row>
    <row r="1380" spans="2:13" ht="15.75">
      <c r="B1380" s="452" t="s">
        <v>14</v>
      </c>
      <c r="C1380" s="453">
        <f>459*2</f>
        <v>918</v>
      </c>
      <c r="D1380" s="454">
        <f>345*2</f>
        <v>690</v>
      </c>
      <c r="E1380" s="454">
        <f>258*2</f>
        <v>516</v>
      </c>
      <c r="F1380" s="454">
        <f>194*2</f>
        <v>388</v>
      </c>
      <c r="G1380" s="454">
        <f>145*2</f>
        <v>290</v>
      </c>
      <c r="H1380" s="454">
        <f>109*2</f>
        <v>218</v>
      </c>
      <c r="I1380" s="454">
        <f>82*2</f>
        <v>164</v>
      </c>
      <c r="J1380" s="454">
        <f>61*2</f>
        <v>122</v>
      </c>
      <c r="K1380" s="454">
        <f>46*2</f>
        <v>92</v>
      </c>
      <c r="L1380" s="454">
        <f>35*2</f>
        <v>70</v>
      </c>
      <c r="M1380" s="454">
        <f>26*2</f>
        <v>52</v>
      </c>
    </row>
    <row r="1381" spans="2:13" ht="15.75">
      <c r="B1381" s="452" t="s">
        <v>15</v>
      </c>
      <c r="C1381" s="453"/>
      <c r="D1381" s="454"/>
      <c r="E1381" s="454"/>
      <c r="F1381" s="454"/>
      <c r="G1381" s="454"/>
      <c r="H1381" s="455"/>
      <c r="I1381" s="454"/>
      <c r="J1381" s="454"/>
      <c r="K1381" s="454"/>
      <c r="L1381" s="454"/>
      <c r="M1381" s="454"/>
    </row>
    <row r="1382" spans="2:13" ht="15.75">
      <c r="B1382" s="452" t="s">
        <v>16</v>
      </c>
      <c r="C1382" s="456" t="s">
        <v>18</v>
      </c>
      <c r="D1382" s="457"/>
      <c r="E1382" s="457"/>
      <c r="F1382" s="457"/>
      <c r="G1382" s="457"/>
      <c r="H1382" s="457"/>
      <c r="I1382" s="457"/>
      <c r="J1382" s="457"/>
      <c r="K1382" s="457"/>
      <c r="L1382" s="457"/>
      <c r="M1382" s="458"/>
    </row>
    <row r="1383" spans="2:13" ht="15.75">
      <c r="B1383" s="452" t="s">
        <v>17</v>
      </c>
      <c r="C1383" s="459" t="s">
        <v>18</v>
      </c>
      <c r="D1383" s="460"/>
      <c r="E1383" s="460"/>
      <c r="F1383" s="460"/>
      <c r="G1383" s="460"/>
      <c r="H1383" s="460"/>
      <c r="I1383" s="460"/>
      <c r="J1383" s="460"/>
      <c r="K1383" s="460"/>
      <c r="L1383" s="460"/>
      <c r="M1383" s="461"/>
    </row>
    <row r="1384" spans="2:13" ht="15.75">
      <c r="B1384" s="462"/>
      <c r="C1384" s="462"/>
      <c r="D1384" s="462"/>
      <c r="E1384" s="462"/>
      <c r="F1384" s="448"/>
      <c r="G1384" s="448"/>
      <c r="H1384" s="448"/>
      <c r="I1384" s="448"/>
      <c r="J1384" s="448"/>
      <c r="K1384" s="448"/>
      <c r="L1384" s="448"/>
      <c r="M1384" s="448"/>
    </row>
    <row r="1385" spans="2:13" ht="15.75">
      <c r="B1385" s="449" t="s">
        <v>19</v>
      </c>
      <c r="C1385" s="449"/>
      <c r="D1385" s="449"/>
      <c r="E1385" s="449"/>
      <c r="F1385" s="448"/>
      <c r="G1385" s="448"/>
      <c r="H1385" s="448"/>
      <c r="I1385" s="448"/>
      <c r="J1385" s="448"/>
      <c r="K1385" s="448"/>
      <c r="L1385" s="448"/>
      <c r="M1385" s="448"/>
    </row>
    <row r="1386" spans="2:13" ht="15.75">
      <c r="B1386" s="450" t="s">
        <v>2</v>
      </c>
      <c r="C1386" s="451" t="s">
        <v>3</v>
      </c>
      <c r="D1386" s="451" t="s">
        <v>4</v>
      </c>
      <c r="E1386" s="451" t="s">
        <v>5</v>
      </c>
      <c r="F1386" s="451" t="s">
        <v>6</v>
      </c>
      <c r="G1386" s="451" t="s">
        <v>7</v>
      </c>
      <c r="H1386" s="451" t="s">
        <v>8</v>
      </c>
      <c r="I1386" s="451" t="s">
        <v>9</v>
      </c>
      <c r="J1386" s="451" t="s">
        <v>10</v>
      </c>
      <c r="K1386" s="451" t="s">
        <v>11</v>
      </c>
      <c r="L1386" s="451" t="s">
        <v>12</v>
      </c>
      <c r="M1386" s="450" t="s">
        <v>13</v>
      </c>
    </row>
    <row r="1387" spans="2:13" ht="15.75">
      <c r="B1387" s="452" t="s">
        <v>14</v>
      </c>
      <c r="C1387" s="463">
        <f>548*2</f>
        <v>1096</v>
      </c>
      <c r="D1387" s="464">
        <f>411*2</f>
        <v>822</v>
      </c>
      <c r="E1387" s="464">
        <f>308*2</f>
        <v>616</v>
      </c>
      <c r="F1387" s="464">
        <f>231*2</f>
        <v>462</v>
      </c>
      <c r="G1387" s="464">
        <f>173*2</f>
        <v>346</v>
      </c>
      <c r="H1387" s="464">
        <f>130*2</f>
        <v>260</v>
      </c>
      <c r="I1387" s="464">
        <f>97*2</f>
        <v>194</v>
      </c>
      <c r="J1387" s="464">
        <f>73*2</f>
        <v>146</v>
      </c>
      <c r="K1387" s="464">
        <f>55*2</f>
        <v>110</v>
      </c>
      <c r="L1387" s="464">
        <f>41*2</f>
        <v>82</v>
      </c>
      <c r="M1387" s="465">
        <f>31*2</f>
        <v>62</v>
      </c>
    </row>
    <row r="1388" spans="2:13" ht="15.75">
      <c r="B1388" s="452" t="s">
        <v>15</v>
      </c>
      <c r="C1388" s="463"/>
      <c r="D1388" s="464"/>
      <c r="E1388" s="464"/>
      <c r="F1388" s="464"/>
      <c r="G1388" s="464"/>
      <c r="H1388" s="464"/>
      <c r="I1388" s="464"/>
      <c r="J1388" s="464"/>
      <c r="K1388" s="464"/>
      <c r="L1388" s="464"/>
      <c r="M1388" s="465"/>
    </row>
    <row r="1389" spans="2:13" ht="15.75">
      <c r="B1389" s="452" t="s">
        <v>16</v>
      </c>
      <c r="C1389" s="456" t="s">
        <v>18</v>
      </c>
      <c r="D1389" s="457"/>
      <c r="E1389" s="457"/>
      <c r="F1389" s="457"/>
      <c r="G1389" s="457"/>
      <c r="H1389" s="457"/>
      <c r="I1389" s="457"/>
      <c r="J1389" s="457"/>
      <c r="K1389" s="457"/>
      <c r="L1389" s="457"/>
      <c r="M1389" s="458"/>
    </row>
    <row r="1390" spans="2:13" ht="15.75">
      <c r="B1390" s="452" t="s">
        <v>17</v>
      </c>
      <c r="C1390" s="459" t="s">
        <v>18</v>
      </c>
      <c r="D1390" s="460"/>
      <c r="E1390" s="460"/>
      <c r="F1390" s="460"/>
      <c r="G1390" s="460"/>
      <c r="H1390" s="460"/>
      <c r="I1390" s="460"/>
      <c r="J1390" s="460"/>
      <c r="K1390" s="460"/>
      <c r="L1390" s="460"/>
      <c r="M1390" s="461"/>
    </row>
    <row r="1391" spans="2:13" ht="15.75">
      <c r="B1391" s="466"/>
      <c r="C1391" s="462"/>
      <c r="D1391" s="462"/>
      <c r="E1391" s="462"/>
      <c r="F1391" s="462"/>
      <c r="G1391" s="462"/>
      <c r="H1391" s="462"/>
      <c r="I1391" s="462"/>
      <c r="J1391" s="462"/>
      <c r="K1391" s="462"/>
      <c r="L1391" s="462"/>
      <c r="M1391" s="462"/>
    </row>
    <row r="1392" spans="2:13" ht="15.75">
      <c r="B1392" s="447" t="s">
        <v>124</v>
      </c>
      <c r="C1392" s="447"/>
      <c r="D1392" s="447"/>
      <c r="E1392" s="447"/>
      <c r="F1392" s="448"/>
      <c r="G1392" s="448"/>
      <c r="H1392" s="448"/>
      <c r="I1392" s="448"/>
      <c r="J1392" s="448"/>
      <c r="K1392" s="448"/>
      <c r="L1392" s="448"/>
      <c r="M1392" s="448"/>
    </row>
    <row r="1393" spans="2:13" ht="15.75">
      <c r="B1393" s="449" t="s">
        <v>119</v>
      </c>
      <c r="C1393" s="449"/>
      <c r="D1393" s="449"/>
      <c r="E1393" s="449"/>
      <c r="F1393" s="448"/>
      <c r="G1393" s="448"/>
      <c r="H1393" s="448"/>
      <c r="I1393" s="448"/>
      <c r="J1393" s="448"/>
      <c r="K1393" s="448"/>
      <c r="L1393" s="448"/>
      <c r="M1393" s="448"/>
    </row>
    <row r="1394" spans="2:13" ht="15.75">
      <c r="B1394" s="450" t="s">
        <v>2</v>
      </c>
      <c r="C1394" s="451" t="s">
        <v>3</v>
      </c>
      <c r="D1394" s="451" t="s">
        <v>4</v>
      </c>
      <c r="E1394" s="451" t="s">
        <v>5</v>
      </c>
      <c r="F1394" s="451" t="s">
        <v>6</v>
      </c>
      <c r="G1394" s="451" t="s">
        <v>7</v>
      </c>
      <c r="H1394" s="451" t="s">
        <v>8</v>
      </c>
      <c r="I1394" s="451" t="s">
        <v>9</v>
      </c>
      <c r="J1394" s="451" t="s">
        <v>10</v>
      </c>
      <c r="K1394" s="451" t="s">
        <v>11</v>
      </c>
      <c r="L1394" s="451" t="s">
        <v>12</v>
      </c>
      <c r="M1394" s="450" t="s">
        <v>13</v>
      </c>
    </row>
    <row r="1395" spans="2:13" ht="15.75">
      <c r="B1395" s="452" t="s">
        <v>14</v>
      </c>
      <c r="C1395" s="463">
        <f>500*2</f>
        <v>1000</v>
      </c>
      <c r="D1395" s="464">
        <f>380*2</f>
        <v>760</v>
      </c>
      <c r="E1395" s="464">
        <f>289*2</f>
        <v>578</v>
      </c>
      <c r="F1395" s="464">
        <f>219*2</f>
        <v>438</v>
      </c>
      <c r="G1395" s="464">
        <f>167*2</f>
        <v>334</v>
      </c>
      <c r="H1395" s="464">
        <f>127*2</f>
        <v>254</v>
      </c>
      <c r="I1395" s="464">
        <f>96*2</f>
        <v>192</v>
      </c>
      <c r="J1395" s="464">
        <f>73*2</f>
        <v>146</v>
      </c>
      <c r="K1395" s="464">
        <f>56*2</f>
        <v>112</v>
      </c>
      <c r="L1395" s="464">
        <f>42*2</f>
        <v>84</v>
      </c>
      <c r="M1395" s="465">
        <f>32*2</f>
        <v>64</v>
      </c>
    </row>
    <row r="1396" spans="2:13" ht="15.75">
      <c r="B1396" s="452" t="s">
        <v>15</v>
      </c>
      <c r="C1396" s="464">
        <f>380*2</f>
        <v>760</v>
      </c>
      <c r="D1396" s="464">
        <f>289*2</f>
        <v>578</v>
      </c>
      <c r="E1396" s="464">
        <f>219*2</f>
        <v>438</v>
      </c>
      <c r="F1396" s="464">
        <f>167*2</f>
        <v>334</v>
      </c>
      <c r="G1396" s="464">
        <f>127*2</f>
        <v>254</v>
      </c>
      <c r="H1396" s="464">
        <f>96*2</f>
        <v>192</v>
      </c>
      <c r="I1396" s="464">
        <f>73*2</f>
        <v>146</v>
      </c>
      <c r="J1396" s="464">
        <f>56*2</f>
        <v>112</v>
      </c>
      <c r="K1396" s="464">
        <f>42*2</f>
        <v>84</v>
      </c>
      <c r="L1396" s="464">
        <f>32*2</f>
        <v>64</v>
      </c>
      <c r="M1396" s="465">
        <f>24*2</f>
        <v>48</v>
      </c>
    </row>
    <row r="1397" spans="2:13" ht="15.75">
      <c r="B1397" s="452" t="s">
        <v>16</v>
      </c>
      <c r="C1397" s="464">
        <f>289*2</f>
        <v>578</v>
      </c>
      <c r="D1397" s="464">
        <f>219*2</f>
        <v>438</v>
      </c>
      <c r="E1397" s="464">
        <f>167*2</f>
        <v>334</v>
      </c>
      <c r="F1397" s="464">
        <f>127*2</f>
        <v>254</v>
      </c>
      <c r="G1397" s="464">
        <f>96*2</f>
        <v>192</v>
      </c>
      <c r="H1397" s="464">
        <f>73*2</f>
        <v>146</v>
      </c>
      <c r="I1397" s="464">
        <f>56*2</f>
        <v>112</v>
      </c>
      <c r="J1397" s="464">
        <f>42*2</f>
        <v>84</v>
      </c>
      <c r="K1397" s="464">
        <f>32*2</f>
        <v>64</v>
      </c>
      <c r="L1397" s="465">
        <f>24*2</f>
        <v>48</v>
      </c>
      <c r="M1397" s="465">
        <f>16*2</f>
        <v>32</v>
      </c>
    </row>
    <row r="1398" spans="2:13" ht="15.75">
      <c r="B1398" s="452" t="s">
        <v>17</v>
      </c>
      <c r="C1398" s="456" t="s">
        <v>18</v>
      </c>
      <c r="D1398" s="457"/>
      <c r="E1398" s="457"/>
      <c r="F1398" s="457"/>
      <c r="G1398" s="457"/>
      <c r="H1398" s="457"/>
      <c r="I1398" s="457"/>
      <c r="J1398" s="457"/>
      <c r="K1398" s="457"/>
      <c r="L1398" s="457"/>
      <c r="M1398" s="458"/>
    </row>
    <row r="1399" spans="2:13" ht="15.75">
      <c r="B1399" s="462"/>
      <c r="C1399" s="462"/>
      <c r="D1399" s="462"/>
      <c r="E1399" s="462"/>
      <c r="F1399" s="448"/>
      <c r="G1399" s="448"/>
      <c r="H1399" s="448"/>
      <c r="I1399" s="448"/>
      <c r="J1399" s="448"/>
      <c r="K1399" s="448"/>
      <c r="L1399" s="448"/>
      <c r="M1399" s="448"/>
    </row>
    <row r="1400" spans="2:13" ht="15.75">
      <c r="B1400" s="449" t="s">
        <v>19</v>
      </c>
      <c r="C1400" s="449"/>
      <c r="D1400" s="449"/>
      <c r="E1400" s="449"/>
      <c r="F1400" s="448"/>
      <c r="G1400" s="448"/>
      <c r="H1400" s="448"/>
      <c r="I1400" s="448"/>
      <c r="J1400" s="448"/>
      <c r="K1400" s="448"/>
      <c r="L1400" s="448"/>
      <c r="M1400" s="448"/>
    </row>
    <row r="1401" spans="2:13" ht="15.75">
      <c r="B1401" s="450" t="s">
        <v>2</v>
      </c>
      <c r="C1401" s="451" t="s">
        <v>3</v>
      </c>
      <c r="D1401" s="451" t="s">
        <v>4</v>
      </c>
      <c r="E1401" s="451" t="s">
        <v>5</v>
      </c>
      <c r="F1401" s="451" t="s">
        <v>6</v>
      </c>
      <c r="G1401" s="451" t="s">
        <v>7</v>
      </c>
      <c r="H1401" s="451" t="s">
        <v>8</v>
      </c>
      <c r="I1401" s="451" t="s">
        <v>9</v>
      </c>
      <c r="J1401" s="451" t="s">
        <v>10</v>
      </c>
      <c r="K1401" s="451" t="s">
        <v>11</v>
      </c>
      <c r="L1401" s="451" t="s">
        <v>12</v>
      </c>
      <c r="M1401" s="450" t="s">
        <v>13</v>
      </c>
    </row>
    <row r="1402" spans="2:13" ht="15.75">
      <c r="B1402" s="452" t="s">
        <v>14</v>
      </c>
      <c r="C1402" s="463">
        <f>650*2</f>
        <v>1300</v>
      </c>
      <c r="D1402" s="464">
        <f>496*2</f>
        <v>992</v>
      </c>
      <c r="E1402" s="464">
        <f>379*2</f>
        <v>758</v>
      </c>
      <c r="F1402" s="464">
        <f>289*2</f>
        <v>578</v>
      </c>
      <c r="G1402" s="464">
        <f>221*2</f>
        <v>442</v>
      </c>
      <c r="H1402" s="464">
        <f>169*2</f>
        <v>338</v>
      </c>
      <c r="I1402" s="464">
        <f>129*2</f>
        <v>258</v>
      </c>
      <c r="J1402" s="464">
        <f>98*2</f>
        <v>196</v>
      </c>
      <c r="K1402" s="464">
        <f>75*2</f>
        <v>150</v>
      </c>
      <c r="L1402" s="464">
        <f>57*2</f>
        <v>114</v>
      </c>
      <c r="M1402" s="465">
        <f>44*2</f>
        <v>88</v>
      </c>
    </row>
    <row r="1403" spans="2:13" ht="15.75">
      <c r="B1403" s="452" t="s">
        <v>15</v>
      </c>
      <c r="C1403" s="464">
        <f>496*2</f>
        <v>992</v>
      </c>
      <c r="D1403" s="464">
        <f>379*2</f>
        <v>758</v>
      </c>
      <c r="E1403" s="464">
        <f>289*2</f>
        <v>578</v>
      </c>
      <c r="F1403" s="464">
        <f>221*2</f>
        <v>442</v>
      </c>
      <c r="G1403" s="464">
        <f>169*2</f>
        <v>338</v>
      </c>
      <c r="H1403" s="464">
        <f>129*2</f>
        <v>258</v>
      </c>
      <c r="I1403" s="464">
        <f>98*2</f>
        <v>196</v>
      </c>
      <c r="J1403" s="464">
        <f>75*2</f>
        <v>150</v>
      </c>
      <c r="K1403" s="464">
        <f>57*2</f>
        <v>114</v>
      </c>
      <c r="L1403" s="464">
        <f>44*2</f>
        <v>88</v>
      </c>
      <c r="M1403" s="465">
        <f>32*2</f>
        <v>64</v>
      </c>
    </row>
    <row r="1404" spans="2:13" ht="15.75">
      <c r="B1404" s="452" t="s">
        <v>16</v>
      </c>
      <c r="C1404" s="464">
        <f>379*2</f>
        <v>758</v>
      </c>
      <c r="D1404" s="464">
        <f>289*2</f>
        <v>578</v>
      </c>
      <c r="E1404" s="464">
        <f>221*2</f>
        <v>442</v>
      </c>
      <c r="F1404" s="464">
        <f>169*2</f>
        <v>338</v>
      </c>
      <c r="G1404" s="464">
        <f>129*2</f>
        <v>258</v>
      </c>
      <c r="H1404" s="464">
        <f>98*2</f>
        <v>196</v>
      </c>
      <c r="I1404" s="464">
        <f>75*2</f>
        <v>150</v>
      </c>
      <c r="J1404" s="464">
        <f>57*2</f>
        <v>114</v>
      </c>
      <c r="K1404" s="464">
        <f>44*2</f>
        <v>88</v>
      </c>
      <c r="L1404" s="464">
        <f>32*2</f>
        <v>64</v>
      </c>
      <c r="M1404" s="465">
        <f>21*2</f>
        <v>42</v>
      </c>
    </row>
    <row r="1405" spans="2:13" ht="15.75">
      <c r="B1405" s="452" t="s">
        <v>17</v>
      </c>
      <c r="C1405" s="456" t="s">
        <v>18</v>
      </c>
      <c r="D1405" s="457"/>
      <c r="E1405" s="457"/>
      <c r="F1405" s="457"/>
      <c r="G1405" s="457"/>
      <c r="H1405" s="457"/>
      <c r="I1405" s="457"/>
      <c r="J1405" s="457"/>
      <c r="K1405" s="457"/>
      <c r="L1405" s="457"/>
      <c r="M1405" s="458"/>
    </row>
    <row r="1406" spans="2:13" ht="15.75">
      <c r="B1406" s="466"/>
      <c r="C1406" s="462"/>
      <c r="D1406" s="462"/>
      <c r="E1406" s="462"/>
      <c r="F1406" s="462"/>
      <c r="G1406" s="462"/>
      <c r="H1406" s="462"/>
      <c r="I1406" s="462"/>
      <c r="J1406" s="462"/>
      <c r="K1406" s="462"/>
      <c r="L1406" s="462"/>
      <c r="M1406" s="462"/>
    </row>
    <row r="1407" spans="2:13" ht="15.75">
      <c r="B1407" s="462"/>
      <c r="C1407" s="462"/>
      <c r="D1407" s="462"/>
      <c r="E1407" s="462"/>
      <c r="F1407" s="448"/>
      <c r="G1407" s="448"/>
      <c r="H1407" s="448"/>
      <c r="I1407" s="448"/>
      <c r="J1407" s="448"/>
      <c r="K1407" s="448"/>
      <c r="L1407" s="448"/>
      <c r="M1407" s="448"/>
    </row>
    <row r="1408" spans="2:13" ht="15.75">
      <c r="B1408" s="469" t="s">
        <v>125</v>
      </c>
      <c r="C1408" s="469"/>
      <c r="D1408" s="469"/>
      <c r="E1408" s="469"/>
      <c r="F1408" s="448"/>
      <c r="G1408" s="448"/>
      <c r="H1408" s="448"/>
      <c r="I1408" s="448"/>
      <c r="J1408" s="448"/>
      <c r="K1408" s="448"/>
      <c r="L1408" s="448"/>
      <c r="M1408" s="448"/>
    </row>
    <row r="1409" spans="2:13" ht="15.75">
      <c r="B1409" s="449" t="s">
        <v>39</v>
      </c>
      <c r="C1409" s="449"/>
      <c r="D1409" s="449"/>
      <c r="E1409" s="449"/>
      <c r="F1409" s="448"/>
      <c r="G1409" s="448"/>
      <c r="H1409" s="448"/>
      <c r="I1409" s="448"/>
      <c r="J1409" s="448"/>
      <c r="K1409" s="448"/>
      <c r="L1409" s="448"/>
      <c r="M1409" s="448"/>
    </row>
    <row r="1410" spans="2:13" ht="15.75">
      <c r="B1410" s="450" t="s">
        <v>2</v>
      </c>
      <c r="C1410" s="451" t="s">
        <v>3</v>
      </c>
      <c r="D1410" s="451" t="s">
        <v>4</v>
      </c>
      <c r="E1410" s="451" t="s">
        <v>5</v>
      </c>
      <c r="F1410" s="451" t="s">
        <v>6</v>
      </c>
      <c r="G1410" s="451" t="s">
        <v>7</v>
      </c>
      <c r="H1410" s="451" t="s">
        <v>8</v>
      </c>
      <c r="I1410" s="451" t="s">
        <v>9</v>
      </c>
      <c r="J1410" s="451" t="s">
        <v>10</v>
      </c>
      <c r="K1410" s="451" t="s">
        <v>11</v>
      </c>
      <c r="L1410" s="451" t="s">
        <v>12</v>
      </c>
      <c r="M1410" s="450" t="s">
        <v>13</v>
      </c>
    </row>
    <row r="1411" spans="2:13" ht="15.75">
      <c r="B1411" s="452" t="s">
        <v>14</v>
      </c>
      <c r="C1411" s="463">
        <v>11760</v>
      </c>
      <c r="D1411" s="464">
        <v>8820</v>
      </c>
      <c r="E1411" s="464">
        <v>6620</v>
      </c>
      <c r="F1411" s="464">
        <v>4964</v>
      </c>
      <c r="G1411" s="464">
        <v>3722</v>
      </c>
      <c r="H1411" s="464">
        <v>2788</v>
      </c>
      <c r="I1411" s="464">
        <v>2092</v>
      </c>
      <c r="J1411" s="464">
        <v>1570</v>
      </c>
      <c r="K1411" s="464">
        <v>1176</v>
      </c>
      <c r="L1411" s="464">
        <v>588</v>
      </c>
      <c r="M1411" s="465">
        <v>294</v>
      </c>
    </row>
    <row r="1412" spans="2:13" ht="15.75">
      <c r="B1412" s="452" t="s">
        <v>15</v>
      </c>
      <c r="C1412" s="464">
        <v>10080</v>
      </c>
      <c r="D1412" s="464">
        <v>7560</v>
      </c>
      <c r="E1412" s="464">
        <v>5670</v>
      </c>
      <c r="F1412" s="464">
        <v>4250</v>
      </c>
      <c r="G1412" s="464">
        <v>3192</v>
      </c>
      <c r="H1412" s="464">
        <v>2394</v>
      </c>
      <c r="I1412" s="464">
        <v>1798</v>
      </c>
      <c r="J1412" s="464">
        <v>1344</v>
      </c>
      <c r="K1412" s="464">
        <v>1008</v>
      </c>
      <c r="L1412" s="464">
        <v>504</v>
      </c>
      <c r="M1412" s="465">
        <v>252</v>
      </c>
    </row>
    <row r="1413" spans="2:13" ht="15.75">
      <c r="B1413" s="452" t="s">
        <v>16</v>
      </c>
      <c r="C1413" s="464">
        <v>7140</v>
      </c>
      <c r="D1413" s="464">
        <v>5360</v>
      </c>
      <c r="E1413" s="464">
        <v>4016</v>
      </c>
      <c r="F1413" s="464">
        <v>3016</v>
      </c>
      <c r="G1413" s="464">
        <v>2260</v>
      </c>
      <c r="H1413" s="464">
        <v>1696</v>
      </c>
      <c r="I1413" s="464">
        <v>1268</v>
      </c>
      <c r="J1413" s="464">
        <v>950</v>
      </c>
      <c r="K1413" s="464">
        <v>714</v>
      </c>
      <c r="L1413" s="464">
        <v>362</v>
      </c>
      <c r="M1413" s="465">
        <v>176</v>
      </c>
    </row>
    <row r="1414" spans="2:13" ht="15.75">
      <c r="B1414" s="452" t="s">
        <v>17</v>
      </c>
      <c r="C1414" s="465">
        <v>3780</v>
      </c>
      <c r="D1414" s="465">
        <v>2840</v>
      </c>
      <c r="E1414" s="465">
        <v>2126</v>
      </c>
      <c r="F1414" s="465">
        <v>1596</v>
      </c>
      <c r="G1414" s="465">
        <v>1192</v>
      </c>
      <c r="H1414" s="465">
        <v>898</v>
      </c>
      <c r="I1414" s="465">
        <v>672</v>
      </c>
      <c r="J1414" s="465">
        <v>504</v>
      </c>
      <c r="K1414" s="465">
        <v>378</v>
      </c>
      <c r="L1414" s="465">
        <v>194</v>
      </c>
      <c r="M1414" s="465">
        <v>92</v>
      </c>
    </row>
    <row r="1415" spans="2:13" ht="15.75">
      <c r="B1415" s="462"/>
      <c r="C1415" s="462"/>
      <c r="D1415" s="462"/>
      <c r="E1415" s="462"/>
      <c r="F1415" s="448"/>
      <c r="G1415" s="448"/>
      <c r="H1415" s="448"/>
      <c r="I1415" s="448"/>
      <c r="J1415" s="448"/>
      <c r="K1415" s="448"/>
      <c r="L1415" s="448"/>
      <c r="M1415" s="448"/>
    </row>
    <row r="1416" spans="2:13" ht="15.75">
      <c r="B1416" s="449" t="s">
        <v>19</v>
      </c>
      <c r="C1416" s="449"/>
      <c r="D1416" s="449"/>
      <c r="E1416" s="449"/>
      <c r="F1416" s="448"/>
      <c r="G1416" s="448"/>
      <c r="H1416" s="448"/>
      <c r="I1416" s="448"/>
      <c r="J1416" s="448"/>
      <c r="K1416" s="448"/>
      <c r="L1416" s="448"/>
      <c r="M1416" s="448"/>
    </row>
    <row r="1417" spans="2:13" ht="15.75">
      <c r="B1417" s="450" t="s">
        <v>2</v>
      </c>
      <c r="C1417" s="451" t="s">
        <v>3</v>
      </c>
      <c r="D1417" s="451" t="s">
        <v>4</v>
      </c>
      <c r="E1417" s="451" t="s">
        <v>5</v>
      </c>
      <c r="F1417" s="451" t="s">
        <v>6</v>
      </c>
      <c r="G1417" s="451" t="s">
        <v>7</v>
      </c>
      <c r="H1417" s="451" t="s">
        <v>8</v>
      </c>
      <c r="I1417" s="451" t="s">
        <v>9</v>
      </c>
      <c r="J1417" s="451" t="s">
        <v>10</v>
      </c>
      <c r="K1417" s="451" t="s">
        <v>11</v>
      </c>
      <c r="L1417" s="451" t="s">
        <v>12</v>
      </c>
      <c r="M1417" s="450" t="s">
        <v>13</v>
      </c>
    </row>
    <row r="1418" spans="2:13" ht="15.75">
      <c r="B1418" s="452" t="s">
        <v>14</v>
      </c>
      <c r="C1418" s="463">
        <v>23940</v>
      </c>
      <c r="D1418" s="464">
        <v>17956</v>
      </c>
      <c r="E1418" s="464">
        <v>13470</v>
      </c>
      <c r="F1418" s="464">
        <v>10106</v>
      </c>
      <c r="G1418" s="464">
        <v>7572</v>
      </c>
      <c r="H1418" s="464">
        <v>5682</v>
      </c>
      <c r="I1418" s="464">
        <v>4258</v>
      </c>
      <c r="J1418" s="464">
        <v>3200</v>
      </c>
      <c r="K1418" s="464">
        <v>2394</v>
      </c>
      <c r="L1418" s="464">
        <v>1198</v>
      </c>
      <c r="M1418" s="465">
        <v>604</v>
      </c>
    </row>
    <row r="1419" spans="2:13" ht="15.75">
      <c r="B1419" s="452" t="s">
        <v>15</v>
      </c>
      <c r="C1419" s="464">
        <v>16380</v>
      </c>
      <c r="D1419" s="464">
        <v>12286</v>
      </c>
      <c r="E1419" s="464">
        <v>9210</v>
      </c>
      <c r="F1419" s="464">
        <v>6904</v>
      </c>
      <c r="G1419" s="464">
        <v>5178</v>
      </c>
      <c r="H1419" s="464">
        <v>3880</v>
      </c>
      <c r="I1419" s="464">
        <v>2910</v>
      </c>
      <c r="J1419" s="464">
        <v>2192</v>
      </c>
      <c r="K1419" s="464">
        <v>1638</v>
      </c>
      <c r="L1419" s="464">
        <v>820</v>
      </c>
      <c r="M1419" s="465">
        <v>416</v>
      </c>
    </row>
    <row r="1420" spans="2:13" ht="15.75">
      <c r="B1420" s="452" t="s">
        <v>16</v>
      </c>
      <c r="C1420" s="464">
        <v>10710</v>
      </c>
      <c r="D1420" s="464">
        <v>8038</v>
      </c>
      <c r="E1420" s="464">
        <v>6022</v>
      </c>
      <c r="F1420" s="464">
        <v>4524</v>
      </c>
      <c r="G1420" s="464">
        <v>3390</v>
      </c>
      <c r="H1420" s="464">
        <v>2546</v>
      </c>
      <c r="I1420" s="464">
        <v>1902</v>
      </c>
      <c r="J1420" s="464">
        <v>1424</v>
      </c>
      <c r="K1420" s="464">
        <v>1072</v>
      </c>
      <c r="L1420" s="464">
        <v>542</v>
      </c>
      <c r="M1420" s="465">
        <v>264</v>
      </c>
    </row>
    <row r="1421" spans="2:13" ht="15.75">
      <c r="B1421" s="452" t="s">
        <v>17</v>
      </c>
      <c r="C1421" s="465">
        <v>6300</v>
      </c>
      <c r="D1421" s="465">
        <v>4726</v>
      </c>
      <c r="E1421" s="465">
        <v>3540</v>
      </c>
      <c r="F1421" s="465">
        <v>2658</v>
      </c>
      <c r="G1421" s="465">
        <v>1990</v>
      </c>
      <c r="H1421" s="465">
        <v>1500</v>
      </c>
      <c r="I1421" s="465">
        <v>1122</v>
      </c>
      <c r="J1421" s="465">
        <v>844</v>
      </c>
      <c r="K1421" s="465">
        <v>630</v>
      </c>
      <c r="L1421" s="465">
        <v>316</v>
      </c>
      <c r="M1421" s="465">
        <v>164</v>
      </c>
    </row>
    <row r="1422" spans="2:13" ht="15.75">
      <c r="B1422" s="466"/>
      <c r="C1422" s="462"/>
      <c r="D1422" s="462"/>
      <c r="E1422" s="462"/>
      <c r="F1422" s="462"/>
      <c r="G1422" s="462"/>
      <c r="H1422" s="462"/>
      <c r="I1422" s="462"/>
      <c r="J1422" s="462"/>
      <c r="K1422" s="462"/>
      <c r="L1422" s="462"/>
      <c r="M1422" s="462"/>
    </row>
    <row r="1423" spans="2:13" ht="15.75">
      <c r="B1423" s="447" t="s">
        <v>126</v>
      </c>
      <c r="C1423" s="447"/>
      <c r="D1423" s="447"/>
      <c r="E1423" s="447"/>
      <c r="F1423" s="448"/>
      <c r="G1423" s="448"/>
      <c r="H1423" s="448"/>
      <c r="I1423" s="448"/>
      <c r="J1423" s="448"/>
      <c r="K1423" s="448"/>
      <c r="L1423" s="448"/>
      <c r="M1423" s="448"/>
    </row>
    <row r="1424" spans="2:13" ht="15.75">
      <c r="B1424" s="449" t="s">
        <v>119</v>
      </c>
      <c r="C1424" s="449"/>
      <c r="D1424" s="449"/>
      <c r="E1424" s="449"/>
      <c r="F1424" s="448"/>
      <c r="G1424" s="448"/>
      <c r="H1424" s="448"/>
      <c r="I1424" s="448"/>
      <c r="J1424" s="448"/>
      <c r="K1424" s="448"/>
      <c r="L1424" s="448"/>
      <c r="M1424" s="448"/>
    </row>
    <row r="1425" spans="2:13" ht="15.75">
      <c r="B1425" s="450" t="s">
        <v>2</v>
      </c>
      <c r="C1425" s="451" t="s">
        <v>3</v>
      </c>
      <c r="D1425" s="451" t="s">
        <v>4</v>
      </c>
      <c r="E1425" s="451" t="s">
        <v>5</v>
      </c>
      <c r="F1425" s="451" t="s">
        <v>6</v>
      </c>
      <c r="G1425" s="451" t="s">
        <v>7</v>
      </c>
      <c r="H1425" s="451" t="s">
        <v>8</v>
      </c>
      <c r="I1425" s="451" t="s">
        <v>9</v>
      </c>
      <c r="J1425" s="451" t="s">
        <v>10</v>
      </c>
      <c r="K1425" s="451" t="s">
        <v>11</v>
      </c>
      <c r="L1425" s="451" t="s">
        <v>12</v>
      </c>
      <c r="M1425" s="450" t="s">
        <v>13</v>
      </c>
    </row>
    <row r="1426" spans="2:13" ht="15.75">
      <c r="B1426" s="452" t="s">
        <v>14</v>
      </c>
      <c r="C1426" s="463">
        <f>380*2</f>
        <v>760</v>
      </c>
      <c r="D1426" s="464">
        <f>285*2</f>
        <v>570</v>
      </c>
      <c r="E1426" s="464">
        <f>212*2</f>
        <v>424</v>
      </c>
      <c r="F1426" s="464">
        <f>160*2</f>
        <v>320</v>
      </c>
      <c r="G1426" s="464">
        <f>122*2</f>
        <v>244</v>
      </c>
      <c r="H1426" s="464">
        <f>92*2</f>
        <v>184</v>
      </c>
      <c r="I1426" s="464">
        <f>68*2</f>
        <v>136</v>
      </c>
      <c r="J1426" s="464">
        <f>54*2</f>
        <v>108</v>
      </c>
      <c r="K1426" s="464">
        <f>38*2</f>
        <v>76</v>
      </c>
      <c r="L1426" s="464">
        <f>27*2</f>
        <v>54</v>
      </c>
      <c r="M1426" s="465">
        <f>19*2</f>
        <v>38</v>
      </c>
    </row>
    <row r="1427" spans="2:13" ht="15.75">
      <c r="B1427" s="452" t="s">
        <v>15</v>
      </c>
      <c r="C1427" s="464">
        <f>228*2</f>
        <v>456</v>
      </c>
      <c r="D1427" s="464">
        <f>171*2</f>
        <v>342</v>
      </c>
      <c r="E1427" s="464">
        <f>128*2</f>
        <v>256</v>
      </c>
      <c r="F1427" s="464">
        <f>95*2</f>
        <v>190</v>
      </c>
      <c r="G1427" s="464">
        <f>73*2</f>
        <v>146</v>
      </c>
      <c r="H1427" s="464">
        <f>54*2</f>
        <v>108</v>
      </c>
      <c r="I1427" s="464">
        <f>41*2</f>
        <v>82</v>
      </c>
      <c r="J1427" s="464">
        <f>33*2</f>
        <v>66</v>
      </c>
      <c r="K1427" s="464">
        <f>22*2</f>
        <v>44</v>
      </c>
      <c r="L1427" s="464">
        <f>17*2</f>
        <v>34</v>
      </c>
      <c r="M1427" s="465">
        <f>11*2</f>
        <v>22</v>
      </c>
    </row>
    <row r="1428" spans="2:13" ht="15.75">
      <c r="B1428" s="452" t="s">
        <v>16</v>
      </c>
      <c r="C1428" s="464">
        <f>114*2</f>
        <v>228</v>
      </c>
      <c r="D1428" s="464">
        <f>87*2</f>
        <v>174</v>
      </c>
      <c r="E1428" s="464">
        <f>65*2</f>
        <v>130</v>
      </c>
      <c r="F1428" s="464">
        <f>46*2</f>
        <v>92</v>
      </c>
      <c r="G1428" s="464">
        <f>35*2</f>
        <v>70</v>
      </c>
      <c r="H1428" s="464">
        <f>27*2</f>
        <v>54</v>
      </c>
      <c r="I1428" s="464">
        <f>22*2</f>
        <v>44</v>
      </c>
      <c r="J1428" s="464">
        <f>17*2</f>
        <v>34</v>
      </c>
      <c r="K1428" s="464">
        <f>11*2</f>
        <v>22</v>
      </c>
      <c r="L1428" s="465">
        <f>8*2</f>
        <v>16</v>
      </c>
      <c r="M1428" s="465">
        <f>6*2</f>
        <v>12</v>
      </c>
    </row>
    <row r="1429" spans="2:13" ht="15.75">
      <c r="B1429" s="452" t="s">
        <v>17</v>
      </c>
      <c r="C1429" s="456" t="s">
        <v>18</v>
      </c>
      <c r="D1429" s="457"/>
      <c r="E1429" s="457"/>
      <c r="F1429" s="457"/>
      <c r="G1429" s="457"/>
      <c r="H1429" s="457"/>
      <c r="I1429" s="457"/>
      <c r="J1429" s="457"/>
      <c r="K1429" s="457"/>
      <c r="L1429" s="457"/>
      <c r="M1429" s="458"/>
    </row>
    <row r="1430" spans="2:13" ht="15.75">
      <c r="B1430" s="462"/>
      <c r="C1430" s="462"/>
      <c r="D1430" s="462"/>
      <c r="E1430" s="462"/>
      <c r="F1430" s="448"/>
      <c r="G1430" s="448"/>
      <c r="H1430" s="448"/>
      <c r="I1430" s="448"/>
      <c r="J1430" s="448"/>
      <c r="K1430" s="448"/>
      <c r="L1430" s="448"/>
      <c r="M1430" s="448"/>
    </row>
    <row r="1431" spans="2:13" ht="15.75">
      <c r="B1431" s="449" t="s">
        <v>19</v>
      </c>
      <c r="C1431" s="449"/>
      <c r="D1431" s="449"/>
      <c r="E1431" s="449"/>
      <c r="F1431" s="448"/>
      <c r="G1431" s="448"/>
      <c r="H1431" s="448"/>
      <c r="I1431" s="448"/>
      <c r="J1431" s="448"/>
      <c r="K1431" s="448"/>
      <c r="L1431" s="448"/>
      <c r="M1431" s="448"/>
    </row>
    <row r="1432" spans="2:13" ht="15.75">
      <c r="B1432" s="450" t="s">
        <v>2</v>
      </c>
      <c r="C1432" s="451" t="s">
        <v>3</v>
      </c>
      <c r="D1432" s="451" t="s">
        <v>4</v>
      </c>
      <c r="E1432" s="451" t="s">
        <v>5</v>
      </c>
      <c r="F1432" s="451" t="s">
        <v>6</v>
      </c>
      <c r="G1432" s="451" t="s">
        <v>7</v>
      </c>
      <c r="H1432" s="451" t="s">
        <v>8</v>
      </c>
      <c r="I1432" s="451" t="s">
        <v>9</v>
      </c>
      <c r="J1432" s="451" t="s">
        <v>10</v>
      </c>
      <c r="K1432" s="451" t="s">
        <v>11</v>
      </c>
      <c r="L1432" s="451" t="s">
        <v>12</v>
      </c>
      <c r="M1432" s="450" t="s">
        <v>13</v>
      </c>
    </row>
    <row r="1433" spans="2:13" ht="15.75">
      <c r="B1433" s="452" t="s">
        <v>14</v>
      </c>
      <c r="C1433" s="463">
        <f>775*2</f>
        <v>1550</v>
      </c>
      <c r="D1433" s="464">
        <f>581*2</f>
        <v>1162</v>
      </c>
      <c r="E1433" s="464">
        <f>434*2</f>
        <v>868</v>
      </c>
      <c r="F1433" s="464">
        <f>326*2</f>
        <v>652</v>
      </c>
      <c r="G1433" s="464">
        <f>248*2</f>
        <v>496</v>
      </c>
      <c r="H1433" s="464">
        <f>186*2</f>
        <v>372</v>
      </c>
      <c r="I1433" s="464">
        <f>140*2</f>
        <v>280</v>
      </c>
      <c r="J1433" s="464">
        <f>109*2</f>
        <v>218</v>
      </c>
      <c r="K1433" s="464">
        <f>78*2</f>
        <v>156</v>
      </c>
      <c r="L1433" s="464">
        <f>55*2</f>
        <v>110</v>
      </c>
      <c r="M1433" s="465">
        <f>39*2</f>
        <v>78</v>
      </c>
    </row>
    <row r="1434" spans="2:13" ht="15.75">
      <c r="B1434" s="452" t="s">
        <v>15</v>
      </c>
      <c r="C1434" s="464">
        <f>465*2</f>
        <v>930</v>
      </c>
      <c r="D1434" s="464">
        <f>349*2</f>
        <v>698</v>
      </c>
      <c r="E1434" s="464">
        <f>260*2</f>
        <v>520</v>
      </c>
      <c r="F1434" s="464">
        <f>194*2</f>
        <v>388</v>
      </c>
      <c r="G1434" s="464">
        <f>147*2</f>
        <v>294</v>
      </c>
      <c r="H1434" s="464">
        <f>112*2</f>
        <v>224</v>
      </c>
      <c r="I1434" s="464">
        <f>85*2</f>
        <v>170</v>
      </c>
      <c r="J1434" s="464">
        <f>66*2</f>
        <v>132</v>
      </c>
      <c r="K1434" s="464">
        <f>47*2</f>
        <v>94</v>
      </c>
      <c r="L1434" s="464">
        <f>31*2</f>
        <v>62</v>
      </c>
      <c r="M1434" s="465">
        <f>23*2</f>
        <v>46</v>
      </c>
    </row>
    <row r="1435" spans="2:13" ht="15.75">
      <c r="B1435" s="452" t="s">
        <v>16</v>
      </c>
      <c r="C1435" s="464">
        <f>233*2</f>
        <v>466</v>
      </c>
      <c r="D1435" s="464">
        <f>175*2</f>
        <v>350</v>
      </c>
      <c r="E1435" s="464">
        <f>132*2</f>
        <v>264</v>
      </c>
      <c r="F1435" s="464">
        <f>97*2</f>
        <v>194</v>
      </c>
      <c r="G1435" s="464">
        <f>74*2</f>
        <v>148</v>
      </c>
      <c r="H1435" s="464">
        <f>55*2</f>
        <v>110</v>
      </c>
      <c r="I1435" s="464">
        <f>43*2</f>
        <v>86</v>
      </c>
      <c r="J1435" s="464">
        <f>31*2</f>
        <v>62</v>
      </c>
      <c r="K1435" s="464">
        <f>23*2</f>
        <v>46</v>
      </c>
      <c r="L1435" s="464">
        <f>15*2</f>
        <v>30</v>
      </c>
      <c r="M1435" s="465">
        <f>11*2</f>
        <v>22</v>
      </c>
    </row>
    <row r="1436" spans="2:13" ht="15.75">
      <c r="B1436" s="452" t="s">
        <v>17</v>
      </c>
      <c r="C1436" s="456" t="s">
        <v>18</v>
      </c>
      <c r="D1436" s="457"/>
      <c r="E1436" s="457"/>
      <c r="F1436" s="457"/>
      <c r="G1436" s="457"/>
      <c r="H1436" s="457"/>
      <c r="I1436" s="457"/>
      <c r="J1436" s="457"/>
      <c r="K1436" s="457"/>
      <c r="L1436" s="457"/>
      <c r="M1436" s="458"/>
    </row>
    <row r="1437" spans="2:13" ht="15.75">
      <c r="B1437" s="466"/>
      <c r="C1437" s="462"/>
      <c r="D1437" s="462"/>
      <c r="E1437" s="462"/>
      <c r="F1437" s="462"/>
      <c r="G1437" s="462"/>
      <c r="H1437" s="462"/>
      <c r="I1437" s="462"/>
      <c r="J1437" s="462"/>
      <c r="K1437" s="462"/>
      <c r="L1437" s="462"/>
      <c r="M1437" s="462"/>
    </row>
    <row r="1438" spans="2:13" ht="15.75">
      <c r="B1438" s="447" t="s">
        <v>127</v>
      </c>
      <c r="C1438" s="447"/>
      <c r="D1438" s="447"/>
      <c r="E1438" s="447"/>
      <c r="F1438" s="448"/>
      <c r="G1438" s="448"/>
      <c r="H1438" s="448"/>
      <c r="I1438" s="448"/>
      <c r="J1438" s="448"/>
      <c r="K1438" s="448"/>
      <c r="L1438" s="448"/>
      <c r="M1438" s="448"/>
    </row>
    <row r="1439" spans="2:13" ht="15.75">
      <c r="B1439" s="449" t="s">
        <v>39</v>
      </c>
      <c r="C1439" s="449"/>
      <c r="D1439" s="449"/>
      <c r="E1439" s="449"/>
      <c r="F1439" s="448"/>
      <c r="G1439" s="448"/>
      <c r="H1439" s="448"/>
      <c r="I1439" s="448"/>
      <c r="J1439" s="448"/>
      <c r="K1439" s="448"/>
      <c r="L1439" s="448"/>
      <c r="M1439" s="448"/>
    </row>
    <row r="1440" spans="2:13" ht="15.75">
      <c r="B1440" s="450" t="s">
        <v>2</v>
      </c>
      <c r="C1440" s="451" t="s">
        <v>3</v>
      </c>
      <c r="D1440" s="451" t="s">
        <v>4</v>
      </c>
      <c r="E1440" s="451" t="s">
        <v>5</v>
      </c>
      <c r="F1440" s="451" t="s">
        <v>6</v>
      </c>
      <c r="G1440" s="451" t="s">
        <v>7</v>
      </c>
      <c r="H1440" s="451" t="s">
        <v>8</v>
      </c>
      <c r="I1440" s="451" t="s">
        <v>9</v>
      </c>
      <c r="J1440" s="451" t="s">
        <v>10</v>
      </c>
      <c r="K1440" s="451" t="s">
        <v>11</v>
      </c>
      <c r="L1440" s="451" t="s">
        <v>12</v>
      </c>
      <c r="M1440" s="450" t="s">
        <v>13</v>
      </c>
    </row>
    <row r="1441" spans="2:13" ht="15.75">
      <c r="B1441" s="452" t="s">
        <v>14</v>
      </c>
      <c r="C1441" s="453">
        <f>1243*2</f>
        <v>2486</v>
      </c>
      <c r="D1441" s="454">
        <f>933*2</f>
        <v>1866</v>
      </c>
      <c r="E1441" s="454">
        <f>699*2</f>
        <v>1398</v>
      </c>
      <c r="F1441" s="454">
        <f>525*2</f>
        <v>1050</v>
      </c>
      <c r="G1441" s="454">
        <f>394*2</f>
        <v>788</v>
      </c>
      <c r="H1441" s="454">
        <f>295*2</f>
        <v>590</v>
      </c>
      <c r="I1441" s="454">
        <f>221*2</f>
        <v>442</v>
      </c>
      <c r="J1441" s="454">
        <f>166*2</f>
        <v>332</v>
      </c>
      <c r="K1441" s="454">
        <f>124*2</f>
        <v>248</v>
      </c>
      <c r="L1441" s="454">
        <f>93*2</f>
        <v>186</v>
      </c>
      <c r="M1441" s="454">
        <f>70*2</f>
        <v>140</v>
      </c>
    </row>
    <row r="1442" spans="2:13" ht="15.75">
      <c r="B1442" s="452" t="s">
        <v>15</v>
      </c>
      <c r="C1442" s="453"/>
      <c r="D1442" s="454"/>
      <c r="E1442" s="454"/>
      <c r="F1442" s="454"/>
      <c r="G1442" s="454"/>
      <c r="H1442" s="455"/>
      <c r="I1442" s="454"/>
      <c r="J1442" s="454"/>
      <c r="K1442" s="454"/>
      <c r="L1442" s="454"/>
      <c r="M1442" s="454"/>
    </row>
    <row r="1443" spans="2:13" ht="15.75">
      <c r="B1443" s="452" t="s">
        <v>16</v>
      </c>
      <c r="C1443" s="456" t="s">
        <v>18</v>
      </c>
      <c r="D1443" s="457"/>
      <c r="E1443" s="457"/>
      <c r="F1443" s="457"/>
      <c r="G1443" s="457"/>
      <c r="H1443" s="457"/>
      <c r="I1443" s="457"/>
      <c r="J1443" s="457"/>
      <c r="K1443" s="457"/>
      <c r="L1443" s="457"/>
      <c r="M1443" s="458"/>
    </row>
    <row r="1444" spans="2:13" ht="15.75">
      <c r="B1444" s="452" t="s">
        <v>17</v>
      </c>
      <c r="C1444" s="459" t="s">
        <v>18</v>
      </c>
      <c r="D1444" s="460"/>
      <c r="E1444" s="460"/>
      <c r="F1444" s="460"/>
      <c r="G1444" s="460"/>
      <c r="H1444" s="460"/>
      <c r="I1444" s="460"/>
      <c r="J1444" s="460"/>
      <c r="K1444" s="460"/>
      <c r="L1444" s="460"/>
      <c r="M1444" s="461"/>
    </row>
    <row r="1445" spans="2:13" ht="15.75">
      <c r="B1445" s="462"/>
      <c r="C1445" s="462"/>
      <c r="D1445" s="462"/>
      <c r="E1445" s="462"/>
      <c r="F1445" s="448"/>
      <c r="G1445" s="448"/>
      <c r="H1445" s="448"/>
      <c r="I1445" s="448"/>
      <c r="J1445" s="448"/>
      <c r="K1445" s="448"/>
      <c r="L1445" s="448"/>
      <c r="M1445" s="448"/>
    </row>
    <row r="1446" spans="2:13" ht="15.75">
      <c r="B1446" s="449" t="s">
        <v>19</v>
      </c>
      <c r="C1446" s="449"/>
      <c r="D1446" s="449"/>
      <c r="E1446" s="449"/>
      <c r="F1446" s="448"/>
      <c r="G1446" s="448"/>
      <c r="H1446" s="448"/>
      <c r="I1446" s="448"/>
      <c r="J1446" s="448"/>
      <c r="K1446" s="448"/>
      <c r="L1446" s="448"/>
      <c r="M1446" s="448"/>
    </row>
    <row r="1447" spans="2:13" ht="15.75">
      <c r="B1447" s="450" t="s">
        <v>2</v>
      </c>
      <c r="C1447" s="451" t="s">
        <v>3</v>
      </c>
      <c r="D1447" s="451" t="s">
        <v>4</v>
      </c>
      <c r="E1447" s="451" t="s">
        <v>5</v>
      </c>
      <c r="F1447" s="451" t="s">
        <v>6</v>
      </c>
      <c r="G1447" s="451" t="s">
        <v>7</v>
      </c>
      <c r="H1447" s="451" t="s">
        <v>8</v>
      </c>
      <c r="I1447" s="451" t="s">
        <v>9</v>
      </c>
      <c r="J1447" s="451" t="s">
        <v>10</v>
      </c>
      <c r="K1447" s="451" t="s">
        <v>11</v>
      </c>
      <c r="L1447" s="451" t="s">
        <v>12</v>
      </c>
      <c r="M1447" s="450" t="s">
        <v>13</v>
      </c>
    </row>
    <row r="1448" spans="2:13" ht="15.75">
      <c r="B1448" s="452" t="s">
        <v>14</v>
      </c>
      <c r="C1448" s="463">
        <f>1605*2</f>
        <v>3210</v>
      </c>
      <c r="D1448" s="464">
        <f>1204*2</f>
        <v>2408</v>
      </c>
      <c r="E1448" s="464">
        <f>903*2</f>
        <v>1806</v>
      </c>
      <c r="F1448" s="464">
        <f>677*2</f>
        <v>1354</v>
      </c>
      <c r="G1448" s="464">
        <f>508*2</f>
        <v>1016</v>
      </c>
      <c r="H1448" s="464">
        <f>381*2</f>
        <v>762</v>
      </c>
      <c r="I1448" s="464">
        <f>286*2</f>
        <v>572</v>
      </c>
      <c r="J1448" s="464">
        <f>214*2</f>
        <v>428</v>
      </c>
      <c r="K1448" s="464">
        <f>161*2</f>
        <v>322</v>
      </c>
      <c r="L1448" s="464">
        <f>120*2</f>
        <v>240</v>
      </c>
      <c r="M1448" s="465">
        <f>90*2</f>
        <v>180</v>
      </c>
    </row>
    <row r="1449" spans="2:13" ht="15.75">
      <c r="B1449" s="452" t="s">
        <v>15</v>
      </c>
      <c r="C1449" s="463"/>
      <c r="D1449" s="464"/>
      <c r="E1449" s="464"/>
      <c r="F1449" s="464"/>
      <c r="G1449" s="464"/>
      <c r="H1449" s="464"/>
      <c r="I1449" s="464"/>
      <c r="J1449" s="464"/>
      <c r="K1449" s="464"/>
      <c r="L1449" s="464"/>
      <c r="M1449" s="465"/>
    </row>
    <row r="1450" spans="2:13" ht="15.75">
      <c r="B1450" s="452" t="s">
        <v>16</v>
      </c>
      <c r="C1450" s="456" t="s">
        <v>18</v>
      </c>
      <c r="D1450" s="457"/>
      <c r="E1450" s="457"/>
      <c r="F1450" s="457"/>
      <c r="G1450" s="457"/>
      <c r="H1450" s="457"/>
      <c r="I1450" s="457"/>
      <c r="J1450" s="457"/>
      <c r="K1450" s="457"/>
      <c r="L1450" s="457"/>
      <c r="M1450" s="458"/>
    </row>
    <row r="1451" spans="2:13" ht="15.75">
      <c r="B1451" s="452" t="s">
        <v>17</v>
      </c>
      <c r="C1451" s="459" t="s">
        <v>18</v>
      </c>
      <c r="D1451" s="460"/>
      <c r="E1451" s="460"/>
      <c r="F1451" s="460"/>
      <c r="G1451" s="460"/>
      <c r="H1451" s="460"/>
      <c r="I1451" s="460"/>
      <c r="J1451" s="460"/>
      <c r="K1451" s="460"/>
      <c r="L1451" s="460"/>
      <c r="M1451" s="461"/>
    </row>
    <row r="1452" spans="2:13" ht="15.75">
      <c r="B1452" s="466"/>
      <c r="C1452" s="462"/>
      <c r="D1452" s="462"/>
      <c r="E1452" s="462"/>
      <c r="F1452" s="462"/>
      <c r="G1452" s="462"/>
      <c r="H1452" s="462"/>
      <c r="I1452" s="462"/>
      <c r="J1452" s="462"/>
      <c r="K1452" s="462"/>
      <c r="L1452" s="462"/>
      <c r="M1452" s="462"/>
    </row>
    <row r="1453" spans="2:13" ht="15.75">
      <c r="B1453" s="466"/>
      <c r="C1453" s="462"/>
      <c r="D1453" s="462"/>
      <c r="E1453" s="462"/>
      <c r="F1453" s="462"/>
      <c r="G1453" s="462"/>
      <c r="H1453" s="462"/>
      <c r="I1453" s="462"/>
      <c r="J1453" s="462"/>
      <c r="K1453" s="462"/>
      <c r="L1453" s="462"/>
      <c r="M1453" s="462"/>
    </row>
    <row r="1454" spans="2:13" ht="15.75">
      <c r="B1454" s="447" t="s">
        <v>128</v>
      </c>
      <c r="C1454" s="447"/>
      <c r="D1454" s="447"/>
      <c r="E1454" s="447"/>
      <c r="F1454" s="448"/>
      <c r="G1454" s="448"/>
      <c r="H1454" s="448"/>
      <c r="I1454" s="448"/>
      <c r="J1454" s="448"/>
      <c r="K1454" s="448"/>
      <c r="L1454" s="448"/>
      <c r="M1454" s="448"/>
    </row>
    <row r="1455" spans="2:13" ht="15.75">
      <c r="B1455" s="470" t="s">
        <v>46</v>
      </c>
      <c r="C1455" s="449"/>
      <c r="D1455" s="449"/>
      <c r="E1455" s="449"/>
      <c r="F1455" s="448"/>
      <c r="G1455" s="448"/>
      <c r="H1455" s="448"/>
      <c r="I1455" s="448"/>
      <c r="J1455" s="448"/>
      <c r="K1455" s="448"/>
      <c r="L1455" s="448"/>
      <c r="M1455" s="448"/>
    </row>
    <row r="1456" spans="2:13" ht="15.75">
      <c r="B1456" s="450" t="s">
        <v>2</v>
      </c>
      <c r="C1456" s="451" t="s">
        <v>3</v>
      </c>
      <c r="D1456" s="451" t="s">
        <v>4</v>
      </c>
      <c r="E1456" s="451" t="s">
        <v>5</v>
      </c>
      <c r="F1456" s="451" t="s">
        <v>6</v>
      </c>
      <c r="G1456" s="451" t="s">
        <v>7</v>
      </c>
      <c r="H1456" s="451" t="s">
        <v>8</v>
      </c>
      <c r="I1456" s="451" t="s">
        <v>9</v>
      </c>
      <c r="J1456" s="451" t="s">
        <v>10</v>
      </c>
      <c r="K1456" s="451" t="s">
        <v>11</v>
      </c>
      <c r="L1456" s="451" t="s">
        <v>12</v>
      </c>
      <c r="M1456" s="450" t="s">
        <v>13</v>
      </c>
    </row>
    <row r="1457" spans="2:13" ht="15.75">
      <c r="B1457" s="452" t="s">
        <v>14</v>
      </c>
      <c r="C1457" s="463">
        <f>976*2</f>
        <v>1952</v>
      </c>
      <c r="D1457" s="464">
        <f>781*2</f>
        <v>1562</v>
      </c>
      <c r="E1457" s="464">
        <f>634*2</f>
        <v>1268</v>
      </c>
      <c r="F1457" s="464">
        <f>586*2</f>
        <v>1172</v>
      </c>
      <c r="G1457" s="464">
        <f>488*2</f>
        <v>976</v>
      </c>
      <c r="H1457" s="464">
        <f>244*2</f>
        <v>488</v>
      </c>
      <c r="I1457" s="464">
        <f>98*2</f>
        <v>196</v>
      </c>
      <c r="J1457" s="464">
        <f>78*2</f>
        <v>156</v>
      </c>
      <c r="K1457" s="464">
        <f>59*2</f>
        <v>118</v>
      </c>
      <c r="L1457" s="464">
        <f>39*2</f>
        <v>78</v>
      </c>
      <c r="M1457" s="465">
        <f>34*2</f>
        <v>68</v>
      </c>
    </row>
    <row r="1458" spans="2:13" ht="15.75">
      <c r="B1458" s="452" t="s">
        <v>15</v>
      </c>
      <c r="C1458" s="463">
        <f>683*2</f>
        <v>1366</v>
      </c>
      <c r="D1458" s="464">
        <f>547*2</f>
        <v>1094</v>
      </c>
      <c r="E1458" s="464">
        <f>444*2</f>
        <v>888</v>
      </c>
      <c r="F1458" s="464">
        <f>410*2</f>
        <v>820</v>
      </c>
      <c r="G1458" s="464">
        <f>341*2</f>
        <v>682</v>
      </c>
      <c r="H1458" s="464">
        <f>171*2</f>
        <v>342</v>
      </c>
      <c r="I1458" s="464">
        <f>68*2</f>
        <v>136</v>
      </c>
      <c r="J1458" s="464">
        <f>55*2</f>
        <v>110</v>
      </c>
      <c r="K1458" s="464">
        <f>41*2</f>
        <v>82</v>
      </c>
      <c r="L1458" s="464">
        <f>27*2</f>
        <v>54</v>
      </c>
      <c r="M1458" s="465">
        <f>24*2</f>
        <v>48</v>
      </c>
    </row>
    <row r="1459" spans="2:13" ht="15.75">
      <c r="B1459" s="452" t="s">
        <v>16</v>
      </c>
      <c r="C1459" s="463">
        <f>439*2</f>
        <v>878</v>
      </c>
      <c r="D1459" s="464">
        <f>351*2</f>
        <v>702</v>
      </c>
      <c r="E1459" s="464">
        <f>285*2</f>
        <v>570</v>
      </c>
      <c r="F1459" s="464">
        <f>264*2</f>
        <v>528</v>
      </c>
      <c r="G1459" s="464">
        <f>220*2</f>
        <v>440</v>
      </c>
      <c r="H1459" s="464">
        <f>110*2</f>
        <v>220</v>
      </c>
      <c r="I1459" s="464">
        <f>44*2</f>
        <v>88</v>
      </c>
      <c r="J1459" s="464">
        <f>35*2</f>
        <v>70</v>
      </c>
      <c r="K1459" s="464">
        <f>26*2</f>
        <v>52</v>
      </c>
      <c r="L1459" s="464">
        <f>18*2</f>
        <v>36</v>
      </c>
      <c r="M1459" s="465">
        <f>15*2</f>
        <v>30</v>
      </c>
    </row>
    <row r="1460" spans="2:13" ht="15.75">
      <c r="B1460" s="452" t="s">
        <v>17</v>
      </c>
      <c r="C1460" s="456" t="s">
        <v>18</v>
      </c>
      <c r="D1460" s="457"/>
      <c r="E1460" s="457"/>
      <c r="F1460" s="457"/>
      <c r="G1460" s="457"/>
      <c r="H1460" s="457"/>
      <c r="I1460" s="457"/>
      <c r="J1460" s="457"/>
      <c r="K1460" s="457"/>
      <c r="L1460" s="457"/>
      <c r="M1460" s="458"/>
    </row>
    <row r="1461" spans="2:13" ht="15.75">
      <c r="B1461" s="466"/>
      <c r="C1461" s="468"/>
      <c r="D1461" s="468"/>
      <c r="E1461" s="468"/>
      <c r="F1461" s="468"/>
      <c r="G1461" s="468"/>
      <c r="H1461" s="468"/>
      <c r="I1461" s="468"/>
      <c r="J1461" s="468"/>
      <c r="K1461" s="468"/>
      <c r="L1461" s="468"/>
      <c r="M1461" s="468"/>
    </row>
    <row r="1462" spans="2:13" ht="15.75">
      <c r="B1462" s="466"/>
      <c r="C1462" s="462"/>
      <c r="D1462" s="462"/>
      <c r="E1462" s="462"/>
      <c r="F1462" s="462"/>
      <c r="G1462" s="462"/>
      <c r="H1462" s="462"/>
      <c r="I1462" s="462"/>
      <c r="J1462" s="462"/>
      <c r="K1462" s="462"/>
      <c r="L1462" s="462"/>
      <c r="M1462" s="462"/>
    </row>
    <row r="1463" spans="2:13" ht="15.75">
      <c r="B1463" s="447" t="s">
        <v>129</v>
      </c>
      <c r="C1463" s="447"/>
      <c r="D1463" s="447"/>
      <c r="E1463" s="447"/>
      <c r="F1463" s="448"/>
      <c r="G1463" s="448"/>
      <c r="H1463" s="448"/>
      <c r="I1463" s="448"/>
      <c r="J1463" s="448"/>
      <c r="K1463" s="448"/>
      <c r="L1463" s="448"/>
      <c r="M1463" s="448"/>
    </row>
    <row r="1464" spans="2:13" ht="15.75">
      <c r="B1464" s="449" t="s">
        <v>119</v>
      </c>
      <c r="C1464" s="449"/>
      <c r="D1464" s="449"/>
      <c r="E1464" s="449"/>
      <c r="F1464" s="448"/>
      <c r="G1464" s="448"/>
      <c r="H1464" s="448"/>
      <c r="I1464" s="448"/>
      <c r="J1464" s="448"/>
      <c r="K1464" s="448"/>
      <c r="L1464" s="448"/>
      <c r="M1464" s="448"/>
    </row>
    <row r="1465" spans="2:13" ht="15.75">
      <c r="B1465" s="450" t="s">
        <v>2</v>
      </c>
      <c r="C1465" s="451" t="s">
        <v>3</v>
      </c>
      <c r="D1465" s="451" t="s">
        <v>4</v>
      </c>
      <c r="E1465" s="451" t="s">
        <v>5</v>
      </c>
      <c r="F1465" s="451" t="s">
        <v>6</v>
      </c>
      <c r="G1465" s="451" t="s">
        <v>7</v>
      </c>
      <c r="H1465" s="451" t="s">
        <v>8</v>
      </c>
      <c r="I1465" s="451" t="s">
        <v>9</v>
      </c>
      <c r="J1465" s="451" t="s">
        <v>10</v>
      </c>
      <c r="K1465" s="451" t="s">
        <v>11</v>
      </c>
      <c r="L1465" s="451" t="s">
        <v>12</v>
      </c>
      <c r="M1465" s="450" t="s">
        <v>13</v>
      </c>
    </row>
    <row r="1466" spans="2:13" ht="15.75">
      <c r="B1466" s="452" t="s">
        <v>14</v>
      </c>
      <c r="C1466" s="463">
        <f>1000*2</f>
        <v>2000</v>
      </c>
      <c r="D1466" s="464">
        <f>750*2</f>
        <v>1500</v>
      </c>
      <c r="E1466" s="464">
        <f>563*2</f>
        <v>1126</v>
      </c>
      <c r="F1466" s="464">
        <f>422*2</f>
        <v>844</v>
      </c>
      <c r="G1466" s="464">
        <f>316*2</f>
        <v>632</v>
      </c>
      <c r="H1466" s="464">
        <f>237*2</f>
        <v>474</v>
      </c>
      <c r="I1466" s="464">
        <f>178*2</f>
        <v>356</v>
      </c>
      <c r="J1466" s="464">
        <f>133*2</f>
        <v>266</v>
      </c>
      <c r="K1466" s="464">
        <f>100*2</f>
        <v>200</v>
      </c>
      <c r="L1466" s="464">
        <f>75*2</f>
        <v>150</v>
      </c>
      <c r="M1466" s="465">
        <f>56*2</f>
        <v>112</v>
      </c>
    </row>
    <row r="1467" spans="2:13" ht="15.75">
      <c r="B1467" s="452" t="s">
        <v>15</v>
      </c>
      <c r="C1467" s="464">
        <f>950*2</f>
        <v>1900</v>
      </c>
      <c r="D1467" s="464">
        <f>713*2</f>
        <v>1426</v>
      </c>
      <c r="E1467" s="464">
        <f>534*2</f>
        <v>1068</v>
      </c>
      <c r="F1467" s="464">
        <f>401*2</f>
        <v>802</v>
      </c>
      <c r="G1467" s="464">
        <f>301*2</f>
        <v>602</v>
      </c>
      <c r="H1467" s="464">
        <f>225*2</f>
        <v>450</v>
      </c>
      <c r="I1467" s="464">
        <f>169*2</f>
        <v>338</v>
      </c>
      <c r="J1467" s="464">
        <f>127*2</f>
        <v>254</v>
      </c>
      <c r="K1467" s="464">
        <f>95*2</f>
        <v>190</v>
      </c>
      <c r="L1467" s="464">
        <f>71*2</f>
        <v>142</v>
      </c>
      <c r="M1467" s="465">
        <f>53*2</f>
        <v>106</v>
      </c>
    </row>
    <row r="1468" spans="2:13" ht="15.75">
      <c r="B1468" s="452" t="s">
        <v>16</v>
      </c>
      <c r="C1468" s="464">
        <f>900*2</f>
        <v>1800</v>
      </c>
      <c r="D1468" s="464">
        <f>675*2</f>
        <v>1350</v>
      </c>
      <c r="E1468" s="464">
        <f>506*2</f>
        <v>1012</v>
      </c>
      <c r="F1468" s="464">
        <f>380*2</f>
        <v>760</v>
      </c>
      <c r="G1468" s="464">
        <f>285*2</f>
        <v>570</v>
      </c>
      <c r="H1468" s="464">
        <f>214*2</f>
        <v>428</v>
      </c>
      <c r="I1468" s="464">
        <f>160*2</f>
        <v>320</v>
      </c>
      <c r="J1468" s="464">
        <f>120*2</f>
        <v>240</v>
      </c>
      <c r="K1468" s="464">
        <f>90*2</f>
        <v>180</v>
      </c>
      <c r="L1468" s="465">
        <f>68*2</f>
        <v>136</v>
      </c>
      <c r="M1468" s="465">
        <f>51*2</f>
        <v>102</v>
      </c>
    </row>
    <row r="1469" spans="2:13" ht="15.75">
      <c r="B1469" s="452" t="s">
        <v>17</v>
      </c>
      <c r="C1469" s="456" t="s">
        <v>18</v>
      </c>
      <c r="D1469" s="457"/>
      <c r="E1469" s="457"/>
      <c r="F1469" s="457"/>
      <c r="G1469" s="457"/>
      <c r="H1469" s="457"/>
      <c r="I1469" s="457"/>
      <c r="J1469" s="457"/>
      <c r="K1469" s="457"/>
      <c r="L1469" s="457"/>
      <c r="M1469" s="458"/>
    </row>
    <row r="1470" spans="2:13" ht="15.75">
      <c r="B1470" s="462"/>
      <c r="C1470" s="462"/>
      <c r="D1470" s="462"/>
      <c r="E1470" s="462"/>
      <c r="F1470" s="448"/>
      <c r="G1470" s="448"/>
      <c r="H1470" s="448"/>
      <c r="I1470" s="448"/>
      <c r="J1470" s="448"/>
      <c r="K1470" s="448"/>
      <c r="L1470" s="448"/>
      <c r="M1470" s="448"/>
    </row>
    <row r="1471" spans="2:13" ht="15.75">
      <c r="B1471" s="449" t="s">
        <v>19</v>
      </c>
      <c r="C1471" s="449"/>
      <c r="D1471" s="449"/>
      <c r="E1471" s="449"/>
      <c r="F1471" s="448"/>
      <c r="G1471" s="448"/>
      <c r="H1471" s="448"/>
      <c r="I1471" s="448"/>
      <c r="J1471" s="448"/>
      <c r="K1471" s="448"/>
      <c r="L1471" s="448"/>
      <c r="M1471" s="448"/>
    </row>
    <row r="1472" spans="2:13" ht="15.75">
      <c r="B1472" s="450" t="s">
        <v>2</v>
      </c>
      <c r="C1472" s="451" t="s">
        <v>3</v>
      </c>
      <c r="D1472" s="451" t="s">
        <v>4</v>
      </c>
      <c r="E1472" s="451" t="s">
        <v>5</v>
      </c>
      <c r="F1472" s="451" t="s">
        <v>6</v>
      </c>
      <c r="G1472" s="451" t="s">
        <v>7</v>
      </c>
      <c r="H1472" s="451" t="s">
        <v>8</v>
      </c>
      <c r="I1472" s="451" t="s">
        <v>9</v>
      </c>
      <c r="J1472" s="451" t="s">
        <v>10</v>
      </c>
      <c r="K1472" s="451" t="s">
        <v>11</v>
      </c>
      <c r="L1472" s="451" t="s">
        <v>12</v>
      </c>
      <c r="M1472" s="450" t="s">
        <v>13</v>
      </c>
    </row>
    <row r="1473" spans="2:13" ht="15.75">
      <c r="B1473" s="452" t="s">
        <v>14</v>
      </c>
      <c r="C1473" s="463">
        <f>1500*2</f>
        <v>3000</v>
      </c>
      <c r="D1473" s="464">
        <f>1125*2</f>
        <v>2250</v>
      </c>
      <c r="E1473" s="464">
        <f>844*2</f>
        <v>1688</v>
      </c>
      <c r="F1473" s="464">
        <f>633*2</f>
        <v>1266</v>
      </c>
      <c r="G1473" s="464">
        <f>475*2</f>
        <v>950</v>
      </c>
      <c r="H1473" s="464">
        <f>356*2</f>
        <v>712</v>
      </c>
      <c r="I1473" s="464">
        <f>267*2</f>
        <v>534</v>
      </c>
      <c r="J1473" s="464">
        <f>200*2</f>
        <v>400</v>
      </c>
      <c r="K1473" s="464">
        <f>150*2</f>
        <v>300</v>
      </c>
      <c r="L1473" s="464">
        <f>113*2</f>
        <v>226</v>
      </c>
      <c r="M1473" s="465">
        <f>84*2</f>
        <v>168</v>
      </c>
    </row>
    <row r="1474" spans="2:13" ht="15.75">
      <c r="B1474" s="452" t="s">
        <v>15</v>
      </c>
      <c r="C1474" s="464">
        <f>1450*2</f>
        <v>2900</v>
      </c>
      <c r="D1474" s="464">
        <f>1088*2</f>
        <v>2176</v>
      </c>
      <c r="E1474" s="464">
        <f>816*2</f>
        <v>1632</v>
      </c>
      <c r="F1474" s="464">
        <f>612*2</f>
        <v>1224</v>
      </c>
      <c r="G1474" s="464">
        <f>459*2</f>
        <v>918</v>
      </c>
      <c r="H1474" s="464">
        <f>344*2</f>
        <v>688</v>
      </c>
      <c r="I1474" s="464">
        <f>258*2</f>
        <v>516</v>
      </c>
      <c r="J1474" s="464">
        <f>194*2</f>
        <v>388</v>
      </c>
      <c r="K1474" s="464">
        <f>145*2</f>
        <v>290</v>
      </c>
      <c r="L1474" s="464">
        <f>109*2</f>
        <v>218</v>
      </c>
      <c r="M1474" s="465">
        <f>82*2</f>
        <v>164</v>
      </c>
    </row>
    <row r="1475" spans="2:13" ht="15.75">
      <c r="B1475" s="452" t="s">
        <v>16</v>
      </c>
      <c r="C1475" s="464">
        <f>1400*2</f>
        <v>2800</v>
      </c>
      <c r="D1475" s="464">
        <f>1050*2</f>
        <v>2100</v>
      </c>
      <c r="E1475" s="464">
        <f>788*2</f>
        <v>1576</v>
      </c>
      <c r="F1475" s="464">
        <f>591*2</f>
        <v>1182</v>
      </c>
      <c r="G1475" s="464">
        <f>443*2</f>
        <v>886</v>
      </c>
      <c r="H1475" s="464">
        <f>332*2</f>
        <v>664</v>
      </c>
      <c r="I1475" s="464">
        <f>249*2</f>
        <v>498</v>
      </c>
      <c r="J1475" s="464">
        <f>187*2</f>
        <v>374</v>
      </c>
      <c r="K1475" s="464">
        <f>140*2</f>
        <v>280</v>
      </c>
      <c r="L1475" s="464">
        <f>105*2</f>
        <v>210</v>
      </c>
      <c r="M1475" s="465">
        <f>79*2</f>
        <v>158</v>
      </c>
    </row>
    <row r="1476" spans="2:13" ht="15.75">
      <c r="B1476" s="452" t="s">
        <v>17</v>
      </c>
      <c r="C1476" s="456" t="s">
        <v>18</v>
      </c>
      <c r="D1476" s="457"/>
      <c r="E1476" s="457"/>
      <c r="F1476" s="457"/>
      <c r="G1476" s="457"/>
      <c r="H1476" s="457"/>
      <c r="I1476" s="457"/>
      <c r="J1476" s="457"/>
      <c r="K1476" s="457"/>
      <c r="L1476" s="457"/>
      <c r="M1476" s="458"/>
    </row>
    <row r="1477" spans="2:13" ht="15.75">
      <c r="B1477" s="466"/>
      <c r="C1477" s="468"/>
      <c r="D1477" s="468"/>
      <c r="E1477" s="468"/>
      <c r="F1477" s="468"/>
      <c r="G1477" s="468"/>
      <c r="H1477" s="468"/>
      <c r="I1477" s="468"/>
      <c r="J1477" s="468"/>
      <c r="K1477" s="468"/>
      <c r="L1477" s="468"/>
      <c r="M1477" s="468"/>
    </row>
    <row r="1478" spans="2:13" ht="15.75">
      <c r="B1478" s="466"/>
      <c r="C1478" s="462"/>
      <c r="D1478" s="462"/>
      <c r="E1478" s="462"/>
      <c r="F1478" s="462"/>
      <c r="G1478" s="462"/>
      <c r="H1478" s="462"/>
      <c r="I1478" s="462"/>
      <c r="J1478" s="462"/>
      <c r="K1478" s="462"/>
      <c r="L1478" s="462"/>
      <c r="M1478" s="462"/>
    </row>
    <row r="1479" spans="2:13" ht="15.75">
      <c r="B1479" s="447" t="s">
        <v>130</v>
      </c>
      <c r="C1479" s="447"/>
      <c r="D1479" s="447"/>
      <c r="E1479" s="447"/>
      <c r="F1479" s="448"/>
      <c r="G1479" s="448"/>
      <c r="H1479" s="448"/>
      <c r="I1479" s="448"/>
      <c r="J1479" s="448"/>
      <c r="K1479" s="448"/>
      <c r="L1479" s="448"/>
      <c r="M1479" s="448"/>
    </row>
    <row r="1480" spans="2:13" ht="15.75">
      <c r="B1480" s="449" t="s">
        <v>119</v>
      </c>
      <c r="C1480" s="449"/>
      <c r="D1480" s="449"/>
      <c r="E1480" s="449"/>
      <c r="F1480" s="448"/>
      <c r="G1480" s="448"/>
      <c r="H1480" s="448"/>
      <c r="I1480" s="448"/>
      <c r="J1480" s="448"/>
      <c r="K1480" s="448"/>
      <c r="L1480" s="448"/>
      <c r="M1480" s="448"/>
    </row>
    <row r="1481" spans="2:13" ht="15.75">
      <c r="B1481" s="450" t="s">
        <v>2</v>
      </c>
      <c r="C1481" s="451" t="s">
        <v>3</v>
      </c>
      <c r="D1481" s="451" t="s">
        <v>4</v>
      </c>
      <c r="E1481" s="451" t="s">
        <v>5</v>
      </c>
      <c r="F1481" s="451" t="s">
        <v>6</v>
      </c>
      <c r="G1481" s="451" t="s">
        <v>7</v>
      </c>
      <c r="H1481" s="451" t="s">
        <v>8</v>
      </c>
      <c r="I1481" s="451" t="s">
        <v>9</v>
      </c>
      <c r="J1481" s="451" t="s">
        <v>10</v>
      </c>
      <c r="K1481" s="451" t="s">
        <v>11</v>
      </c>
      <c r="L1481" s="451" t="s">
        <v>12</v>
      </c>
      <c r="M1481" s="450" t="s">
        <v>13</v>
      </c>
    </row>
    <row r="1482" spans="2:13" ht="15.75">
      <c r="B1482" s="452" t="s">
        <v>14</v>
      </c>
      <c r="C1482" s="463">
        <v>3360</v>
      </c>
      <c r="D1482" s="464">
        <v>2520</v>
      </c>
      <c r="E1482" s="464">
        <v>1890</v>
      </c>
      <c r="F1482" s="464">
        <v>1418</v>
      </c>
      <c r="G1482" s="464">
        <v>1064</v>
      </c>
      <c r="H1482" s="464">
        <v>798</v>
      </c>
      <c r="I1482" s="464">
        <v>598</v>
      </c>
      <c r="J1482" s="464">
        <v>448</v>
      </c>
      <c r="K1482" s="464">
        <v>336</v>
      </c>
      <c r="L1482" s="464">
        <v>252</v>
      </c>
      <c r="M1482" s="465">
        <v>190</v>
      </c>
    </row>
    <row r="1483" spans="2:13" ht="15.75">
      <c r="B1483" s="452" t="s">
        <v>15</v>
      </c>
      <c r="C1483" s="464">
        <v>2520</v>
      </c>
      <c r="D1483" s="464">
        <v>1890</v>
      </c>
      <c r="E1483" s="464">
        <v>1418</v>
      </c>
      <c r="F1483" s="464">
        <v>1064</v>
      </c>
      <c r="G1483" s="464">
        <v>798</v>
      </c>
      <c r="H1483" s="464">
        <v>598</v>
      </c>
      <c r="I1483" s="464">
        <v>448</v>
      </c>
      <c r="J1483" s="464">
        <v>336</v>
      </c>
      <c r="K1483" s="464">
        <v>252</v>
      </c>
      <c r="L1483" s="464">
        <v>190</v>
      </c>
      <c r="M1483" s="465">
        <v>150</v>
      </c>
    </row>
    <row r="1484" spans="2:13" ht="15.75">
      <c r="B1484" s="452" t="s">
        <v>16</v>
      </c>
      <c r="C1484" s="464">
        <v>1890</v>
      </c>
      <c r="D1484" s="464">
        <v>1418</v>
      </c>
      <c r="E1484" s="464">
        <v>1064</v>
      </c>
      <c r="F1484" s="464">
        <v>798</v>
      </c>
      <c r="G1484" s="464">
        <v>598</v>
      </c>
      <c r="H1484" s="464">
        <v>448</v>
      </c>
      <c r="I1484" s="464">
        <v>336</v>
      </c>
      <c r="J1484" s="464">
        <v>252</v>
      </c>
      <c r="K1484" s="464">
        <v>190</v>
      </c>
      <c r="L1484" s="465">
        <v>150</v>
      </c>
      <c r="M1484" s="465">
        <v>112</v>
      </c>
    </row>
    <row r="1485" spans="2:13" ht="15.75">
      <c r="B1485" s="452" t="s">
        <v>17</v>
      </c>
      <c r="C1485" s="456" t="s">
        <v>18</v>
      </c>
      <c r="D1485" s="457"/>
      <c r="E1485" s="457"/>
      <c r="F1485" s="457"/>
      <c r="G1485" s="457"/>
      <c r="H1485" s="457"/>
      <c r="I1485" s="457"/>
      <c r="J1485" s="457"/>
      <c r="K1485" s="457"/>
      <c r="L1485" s="457"/>
      <c r="M1485" s="458"/>
    </row>
    <row r="1486" spans="2:13" ht="15.75">
      <c r="B1486" s="462"/>
      <c r="C1486" s="462"/>
      <c r="D1486" s="462"/>
      <c r="E1486" s="462"/>
      <c r="F1486" s="448"/>
      <c r="G1486" s="448"/>
      <c r="H1486" s="448"/>
      <c r="I1486" s="448"/>
      <c r="J1486" s="448"/>
      <c r="K1486" s="448"/>
      <c r="L1486" s="448"/>
      <c r="M1486" s="448"/>
    </row>
    <row r="1487" spans="2:13" ht="15.75">
      <c r="B1487" s="449" t="s">
        <v>19</v>
      </c>
      <c r="C1487" s="449"/>
      <c r="D1487" s="449"/>
      <c r="E1487" s="449"/>
      <c r="F1487" s="448"/>
      <c r="G1487" s="448"/>
      <c r="H1487" s="448"/>
      <c r="I1487" s="448"/>
      <c r="J1487" s="448"/>
      <c r="K1487" s="448"/>
      <c r="L1487" s="448"/>
      <c r="M1487" s="448"/>
    </row>
    <row r="1488" spans="2:13" ht="15.75">
      <c r="B1488" s="450" t="s">
        <v>2</v>
      </c>
      <c r="C1488" s="451" t="s">
        <v>3</v>
      </c>
      <c r="D1488" s="451" t="s">
        <v>4</v>
      </c>
      <c r="E1488" s="451" t="s">
        <v>5</v>
      </c>
      <c r="F1488" s="451" t="s">
        <v>6</v>
      </c>
      <c r="G1488" s="451" t="s">
        <v>7</v>
      </c>
      <c r="H1488" s="451" t="s">
        <v>8</v>
      </c>
      <c r="I1488" s="451" t="s">
        <v>9</v>
      </c>
      <c r="J1488" s="451" t="s">
        <v>10</v>
      </c>
      <c r="K1488" s="451" t="s">
        <v>11</v>
      </c>
      <c r="L1488" s="451" t="s">
        <v>12</v>
      </c>
      <c r="M1488" s="450" t="s">
        <v>13</v>
      </c>
    </row>
    <row r="1489" spans="2:13" ht="15.75">
      <c r="B1489" s="452" t="s">
        <v>14</v>
      </c>
      <c r="C1489" s="463">
        <v>4224</v>
      </c>
      <c r="D1489" s="464">
        <v>3168</v>
      </c>
      <c r="E1489" s="464">
        <v>2376</v>
      </c>
      <c r="F1489" s="464">
        <v>1782</v>
      </c>
      <c r="G1489" s="464">
        <v>1336</v>
      </c>
      <c r="H1489" s="464">
        <v>1002</v>
      </c>
      <c r="I1489" s="464">
        <v>752</v>
      </c>
      <c r="J1489" s="464">
        <v>564</v>
      </c>
      <c r="K1489" s="464">
        <v>422</v>
      </c>
      <c r="L1489" s="464">
        <v>318</v>
      </c>
      <c r="M1489" s="465">
        <v>238</v>
      </c>
    </row>
    <row r="1490" spans="2:13" ht="15.75">
      <c r="B1490" s="452" t="s">
        <v>15</v>
      </c>
      <c r="C1490" s="464">
        <v>3168</v>
      </c>
      <c r="D1490" s="464">
        <v>2376</v>
      </c>
      <c r="E1490" s="464">
        <v>1782</v>
      </c>
      <c r="F1490" s="464">
        <v>1336</v>
      </c>
      <c r="G1490" s="464">
        <v>1002</v>
      </c>
      <c r="H1490" s="464">
        <v>752</v>
      </c>
      <c r="I1490" s="464">
        <v>564</v>
      </c>
      <c r="J1490" s="464">
        <v>422</v>
      </c>
      <c r="K1490" s="464">
        <v>318</v>
      </c>
      <c r="L1490" s="464">
        <v>238</v>
      </c>
      <c r="M1490" s="465">
        <v>156</v>
      </c>
    </row>
    <row r="1491" spans="2:13" ht="15.75">
      <c r="B1491" s="452" t="s">
        <v>16</v>
      </c>
      <c r="C1491" s="464">
        <v>2376</v>
      </c>
      <c r="D1491" s="464">
        <v>1782</v>
      </c>
      <c r="E1491" s="464">
        <v>1336</v>
      </c>
      <c r="F1491" s="464">
        <v>1002</v>
      </c>
      <c r="G1491" s="464">
        <v>752</v>
      </c>
      <c r="H1491" s="464">
        <v>564</v>
      </c>
      <c r="I1491" s="464">
        <v>422</v>
      </c>
      <c r="J1491" s="464">
        <v>318</v>
      </c>
      <c r="K1491" s="464">
        <v>238</v>
      </c>
      <c r="L1491" s="464">
        <v>156</v>
      </c>
      <c r="M1491" s="465">
        <v>80</v>
      </c>
    </row>
    <row r="1492" spans="2:13" ht="15.75">
      <c r="B1492" s="452" t="s">
        <v>17</v>
      </c>
      <c r="C1492" s="456" t="s">
        <v>18</v>
      </c>
      <c r="D1492" s="457"/>
      <c r="E1492" s="457"/>
      <c r="F1492" s="457"/>
      <c r="G1492" s="457"/>
      <c r="H1492" s="457"/>
      <c r="I1492" s="457"/>
      <c r="J1492" s="457"/>
      <c r="K1492" s="457"/>
      <c r="L1492" s="457"/>
      <c r="M1492" s="458"/>
    </row>
    <row r="1493" spans="2:13" ht="15.75">
      <c r="B1493" s="462"/>
      <c r="C1493" s="462"/>
      <c r="D1493" s="462"/>
      <c r="E1493" s="462"/>
      <c r="F1493" s="448"/>
      <c r="G1493" s="448"/>
      <c r="H1493" s="448"/>
      <c r="I1493" s="448"/>
      <c r="J1493" s="448"/>
      <c r="K1493" s="448"/>
      <c r="L1493" s="448"/>
      <c r="M1493" s="448"/>
    </row>
    <row r="1494" spans="2:13" ht="15.75">
      <c r="B1494" s="447" t="s">
        <v>131</v>
      </c>
      <c r="C1494" s="447"/>
      <c r="D1494" s="447"/>
      <c r="E1494" s="447"/>
      <c r="F1494" s="448"/>
      <c r="G1494" s="448"/>
      <c r="H1494" s="448"/>
      <c r="I1494" s="448"/>
      <c r="J1494" s="448"/>
      <c r="K1494" s="448"/>
      <c r="L1494" s="448"/>
      <c r="M1494" s="448"/>
    </row>
    <row r="1495" spans="2:13" ht="15.75">
      <c r="B1495" s="449" t="s">
        <v>119</v>
      </c>
      <c r="C1495" s="449"/>
      <c r="D1495" s="449"/>
      <c r="E1495" s="449"/>
      <c r="F1495" s="448"/>
      <c r="G1495" s="448"/>
      <c r="H1495" s="448"/>
      <c r="I1495" s="448"/>
      <c r="J1495" s="448"/>
      <c r="K1495" s="448"/>
      <c r="L1495" s="448"/>
      <c r="M1495" s="448"/>
    </row>
    <row r="1496" spans="2:13" ht="15.75">
      <c r="B1496" s="450" t="s">
        <v>2</v>
      </c>
      <c r="C1496" s="451" t="s">
        <v>3</v>
      </c>
      <c r="D1496" s="451" t="s">
        <v>4</v>
      </c>
      <c r="E1496" s="451" t="s">
        <v>5</v>
      </c>
      <c r="F1496" s="451" t="s">
        <v>6</v>
      </c>
      <c r="G1496" s="451" t="s">
        <v>7</v>
      </c>
      <c r="H1496" s="451" t="s">
        <v>8</v>
      </c>
      <c r="I1496" s="451" t="s">
        <v>9</v>
      </c>
      <c r="J1496" s="451" t="s">
        <v>10</v>
      </c>
      <c r="K1496" s="451" t="s">
        <v>11</v>
      </c>
      <c r="L1496" s="451" t="s">
        <v>12</v>
      </c>
      <c r="M1496" s="450" t="s">
        <v>13</v>
      </c>
    </row>
    <row r="1497" spans="2:13" ht="15.75">
      <c r="B1497" s="452" t="s">
        <v>14</v>
      </c>
      <c r="C1497" s="463">
        <v>3400</v>
      </c>
      <c r="D1497" s="464">
        <v>2560</v>
      </c>
      <c r="E1497" s="464">
        <v>1892</v>
      </c>
      <c r="F1497" s="464">
        <v>1452</v>
      </c>
      <c r="G1497" s="464">
        <v>1092</v>
      </c>
      <c r="H1497" s="464">
        <v>822</v>
      </c>
      <c r="I1497" s="464">
        <v>620</v>
      </c>
      <c r="J1497" s="464">
        <v>466</v>
      </c>
      <c r="K1497" s="464">
        <v>352</v>
      </c>
      <c r="L1497" s="464">
        <v>264</v>
      </c>
      <c r="M1497" s="465">
        <v>200</v>
      </c>
    </row>
    <row r="1498" spans="2:13" ht="15.75">
      <c r="B1498" s="452" t="s">
        <v>15</v>
      </c>
      <c r="C1498" s="464">
        <v>2560</v>
      </c>
      <c r="D1498" s="464">
        <v>1892</v>
      </c>
      <c r="E1498" s="464">
        <v>1452</v>
      </c>
      <c r="F1498" s="464">
        <v>1092</v>
      </c>
      <c r="G1498" s="464">
        <v>822</v>
      </c>
      <c r="H1498" s="464">
        <v>620</v>
      </c>
      <c r="I1498" s="464">
        <v>466</v>
      </c>
      <c r="J1498" s="464">
        <v>352</v>
      </c>
      <c r="K1498" s="464">
        <v>264</v>
      </c>
      <c r="L1498" s="464">
        <v>200</v>
      </c>
      <c r="M1498" s="465">
        <v>158</v>
      </c>
    </row>
    <row r="1499" spans="2:13" ht="15.75">
      <c r="B1499" s="452" t="s">
        <v>16</v>
      </c>
      <c r="C1499" s="464">
        <v>1892</v>
      </c>
      <c r="D1499" s="464">
        <v>1452</v>
      </c>
      <c r="E1499" s="464">
        <v>1092</v>
      </c>
      <c r="F1499" s="464">
        <v>822</v>
      </c>
      <c r="G1499" s="464">
        <v>620</v>
      </c>
      <c r="H1499" s="464">
        <v>466</v>
      </c>
      <c r="I1499" s="464">
        <v>352</v>
      </c>
      <c r="J1499" s="464">
        <v>264</v>
      </c>
      <c r="K1499" s="464">
        <v>200</v>
      </c>
      <c r="L1499" s="464">
        <v>158</v>
      </c>
      <c r="M1499" s="465">
        <v>40</v>
      </c>
    </row>
    <row r="1500" spans="2:13" ht="15.75">
      <c r="B1500" s="452" t="s">
        <v>17</v>
      </c>
      <c r="C1500" s="456" t="s">
        <v>18</v>
      </c>
      <c r="D1500" s="457"/>
      <c r="E1500" s="457"/>
      <c r="F1500" s="457"/>
      <c r="G1500" s="457"/>
      <c r="H1500" s="457"/>
      <c r="I1500" s="457"/>
      <c r="J1500" s="457"/>
      <c r="K1500" s="457"/>
      <c r="L1500" s="457"/>
      <c r="M1500" s="458"/>
    </row>
    <row r="1501" spans="2:13" ht="15.75">
      <c r="B1501" s="462"/>
      <c r="C1501" s="462"/>
      <c r="D1501" s="462"/>
      <c r="E1501" s="462"/>
      <c r="F1501" s="448"/>
      <c r="G1501" s="448"/>
      <c r="H1501" s="448"/>
      <c r="I1501" s="448"/>
      <c r="J1501" s="448"/>
      <c r="K1501" s="448"/>
      <c r="L1501" s="448"/>
      <c r="M1501" s="448"/>
    </row>
    <row r="1502" spans="2:13" ht="15.75">
      <c r="B1502" s="449" t="s">
        <v>19</v>
      </c>
      <c r="C1502" s="449"/>
      <c r="D1502" s="449"/>
      <c r="E1502" s="449"/>
      <c r="F1502" s="448"/>
      <c r="G1502" s="448"/>
      <c r="H1502" s="448"/>
      <c r="I1502" s="448"/>
      <c r="J1502" s="448"/>
      <c r="K1502" s="448"/>
      <c r="L1502" s="448"/>
      <c r="M1502" s="448"/>
    </row>
    <row r="1503" spans="2:13" ht="15.75">
      <c r="B1503" s="450" t="s">
        <v>2</v>
      </c>
      <c r="C1503" s="451" t="s">
        <v>3</v>
      </c>
      <c r="D1503" s="451" t="s">
        <v>4</v>
      </c>
      <c r="E1503" s="451" t="s">
        <v>5</v>
      </c>
      <c r="F1503" s="451" t="s">
        <v>6</v>
      </c>
      <c r="G1503" s="451" t="s">
        <v>7</v>
      </c>
      <c r="H1503" s="451" t="s">
        <v>8</v>
      </c>
      <c r="I1503" s="451" t="s">
        <v>9</v>
      </c>
      <c r="J1503" s="451" t="s">
        <v>10</v>
      </c>
      <c r="K1503" s="451" t="s">
        <v>11</v>
      </c>
      <c r="L1503" s="451" t="s">
        <v>12</v>
      </c>
      <c r="M1503" s="450" t="s">
        <v>13</v>
      </c>
    </row>
    <row r="1504" spans="2:13" ht="15.75">
      <c r="B1504" s="452" t="s">
        <v>14</v>
      </c>
      <c r="C1504" s="463">
        <v>4400</v>
      </c>
      <c r="D1504" s="464">
        <v>3318</v>
      </c>
      <c r="E1504" s="464">
        <v>2502</v>
      </c>
      <c r="F1504" s="464">
        <v>1886</v>
      </c>
      <c r="G1504" s="464">
        <v>1422</v>
      </c>
      <c r="H1504" s="464">
        <v>1072</v>
      </c>
      <c r="I1504" s="464">
        <v>808</v>
      </c>
      <c r="J1504" s="464">
        <v>610</v>
      </c>
      <c r="K1504" s="464">
        <v>460</v>
      </c>
      <c r="L1504" s="464">
        <v>346</v>
      </c>
      <c r="M1504" s="465">
        <v>262</v>
      </c>
    </row>
    <row r="1505" spans="2:13" ht="15.75">
      <c r="B1505" s="452" t="s">
        <v>15</v>
      </c>
      <c r="C1505" s="464">
        <v>3318</v>
      </c>
      <c r="D1505" s="464">
        <v>2502</v>
      </c>
      <c r="E1505" s="464">
        <v>1886</v>
      </c>
      <c r="F1505" s="464">
        <v>1422</v>
      </c>
      <c r="G1505" s="464">
        <v>1072</v>
      </c>
      <c r="H1505" s="464">
        <v>808</v>
      </c>
      <c r="I1505" s="464">
        <v>610</v>
      </c>
      <c r="J1505" s="464">
        <v>460</v>
      </c>
      <c r="K1505" s="464">
        <v>346</v>
      </c>
      <c r="L1505" s="464">
        <v>262</v>
      </c>
      <c r="M1505" s="465">
        <v>212</v>
      </c>
    </row>
    <row r="1506" spans="2:13" ht="15.75">
      <c r="B1506" s="452" t="s">
        <v>16</v>
      </c>
      <c r="C1506" s="464">
        <v>2502</v>
      </c>
      <c r="D1506" s="464">
        <v>1886</v>
      </c>
      <c r="E1506" s="464">
        <v>1422</v>
      </c>
      <c r="F1506" s="464">
        <v>1072</v>
      </c>
      <c r="G1506" s="464">
        <v>808</v>
      </c>
      <c r="H1506" s="464">
        <v>610</v>
      </c>
      <c r="I1506" s="464">
        <v>460</v>
      </c>
      <c r="J1506" s="464">
        <v>346</v>
      </c>
      <c r="K1506" s="464">
        <v>262</v>
      </c>
      <c r="L1506" s="464">
        <v>212</v>
      </c>
      <c r="M1506" s="465">
        <v>52</v>
      </c>
    </row>
    <row r="1507" spans="2:13" ht="15.75">
      <c r="B1507" s="452" t="s">
        <v>17</v>
      </c>
      <c r="C1507" s="456" t="s">
        <v>18</v>
      </c>
      <c r="D1507" s="457"/>
      <c r="E1507" s="457"/>
      <c r="F1507" s="457"/>
      <c r="G1507" s="457"/>
      <c r="H1507" s="457"/>
      <c r="I1507" s="457"/>
      <c r="J1507" s="457"/>
      <c r="K1507" s="457"/>
      <c r="L1507" s="457"/>
      <c r="M1507" s="458"/>
    </row>
    <row r="1508" spans="2:13" ht="15.75">
      <c r="B1508" s="466"/>
      <c r="C1508" s="468"/>
      <c r="D1508" s="468"/>
      <c r="E1508" s="468"/>
      <c r="F1508" s="468"/>
      <c r="G1508" s="468"/>
      <c r="H1508" s="468"/>
      <c r="I1508" s="468"/>
      <c r="J1508" s="468"/>
      <c r="K1508" s="468"/>
      <c r="L1508" s="468"/>
      <c r="M1508" s="468"/>
    </row>
    <row r="1509" spans="2:13" ht="15.75">
      <c r="B1509" s="447" t="s">
        <v>132</v>
      </c>
      <c r="C1509" s="447"/>
      <c r="D1509" s="447"/>
      <c r="E1509" s="447"/>
      <c r="F1509" s="448"/>
      <c r="G1509" s="448"/>
      <c r="H1509" s="448"/>
      <c r="I1509" s="448"/>
      <c r="J1509" s="448"/>
      <c r="K1509" s="448"/>
      <c r="L1509" s="448"/>
      <c r="M1509" s="448"/>
    </row>
    <row r="1510" spans="2:13" ht="15.75">
      <c r="B1510" s="470" t="s">
        <v>46</v>
      </c>
      <c r="C1510" s="449"/>
      <c r="D1510" s="449"/>
      <c r="E1510" s="449"/>
      <c r="F1510" s="448"/>
      <c r="G1510" s="448"/>
      <c r="H1510" s="448"/>
      <c r="I1510" s="448"/>
      <c r="J1510" s="448"/>
      <c r="K1510" s="448"/>
      <c r="L1510" s="448"/>
      <c r="M1510" s="448"/>
    </row>
    <row r="1511" spans="2:13" ht="15.75">
      <c r="B1511" s="450" t="s">
        <v>2</v>
      </c>
      <c r="C1511" s="451" t="s">
        <v>3</v>
      </c>
      <c r="D1511" s="451" t="s">
        <v>4</v>
      </c>
      <c r="E1511" s="451" t="s">
        <v>5</v>
      </c>
      <c r="F1511" s="451" t="s">
        <v>6</v>
      </c>
      <c r="G1511" s="451" t="s">
        <v>7</v>
      </c>
      <c r="H1511" s="451" t="s">
        <v>8</v>
      </c>
      <c r="I1511" s="451" t="s">
        <v>9</v>
      </c>
      <c r="J1511" s="451" t="s">
        <v>10</v>
      </c>
      <c r="K1511" s="451" t="s">
        <v>11</v>
      </c>
      <c r="L1511" s="451" t="s">
        <v>12</v>
      </c>
      <c r="M1511" s="450" t="s">
        <v>13</v>
      </c>
    </row>
    <row r="1512" spans="2:13" ht="15.75">
      <c r="B1512" s="452" t="s">
        <v>14</v>
      </c>
      <c r="C1512" s="463">
        <v>1500</v>
      </c>
      <c r="D1512" s="464">
        <v>1128</v>
      </c>
      <c r="E1512" s="464">
        <v>840</v>
      </c>
      <c r="F1512" s="464">
        <v>630</v>
      </c>
      <c r="G1512" s="464">
        <v>474</v>
      </c>
      <c r="H1512" s="464">
        <v>354</v>
      </c>
      <c r="I1512" s="464">
        <v>264</v>
      </c>
      <c r="J1512" s="464">
        <v>198</v>
      </c>
      <c r="K1512" s="464">
        <v>150</v>
      </c>
      <c r="L1512" s="464">
        <v>114</v>
      </c>
      <c r="M1512" s="465">
        <v>84</v>
      </c>
    </row>
    <row r="1513" spans="2:13" ht="15.75">
      <c r="B1513" s="452" t="s">
        <v>15</v>
      </c>
      <c r="C1513" s="456" t="s">
        <v>18</v>
      </c>
      <c r="D1513" s="457"/>
      <c r="E1513" s="457"/>
      <c r="F1513" s="457"/>
      <c r="G1513" s="457"/>
      <c r="H1513" s="457"/>
      <c r="I1513" s="457"/>
      <c r="J1513" s="457"/>
      <c r="K1513" s="457"/>
      <c r="L1513" s="457"/>
      <c r="M1513" s="458"/>
    </row>
    <row r="1514" spans="2:13" ht="15.75">
      <c r="B1514" s="452" t="s">
        <v>16</v>
      </c>
      <c r="C1514" s="456" t="s">
        <v>18</v>
      </c>
      <c r="D1514" s="457"/>
      <c r="E1514" s="457"/>
      <c r="F1514" s="457"/>
      <c r="G1514" s="457"/>
      <c r="H1514" s="457"/>
      <c r="I1514" s="457"/>
      <c r="J1514" s="457"/>
      <c r="K1514" s="457"/>
      <c r="L1514" s="457"/>
      <c r="M1514" s="458"/>
    </row>
    <row r="1515" spans="2:13" ht="15.75">
      <c r="B1515" s="452" t="s">
        <v>17</v>
      </c>
      <c r="C1515" s="456" t="s">
        <v>18</v>
      </c>
      <c r="D1515" s="457"/>
      <c r="E1515" s="457"/>
      <c r="F1515" s="457"/>
      <c r="G1515" s="457"/>
      <c r="H1515" s="457"/>
      <c r="I1515" s="457"/>
      <c r="J1515" s="457"/>
      <c r="K1515" s="457"/>
      <c r="L1515" s="457"/>
      <c r="M1515" s="458"/>
    </row>
    <row r="1516" spans="2:13" ht="15.75">
      <c r="B1516" s="466"/>
      <c r="C1516" s="468"/>
      <c r="D1516" s="468"/>
      <c r="E1516" s="468"/>
      <c r="F1516" s="468"/>
      <c r="G1516" s="468"/>
      <c r="H1516" s="468"/>
      <c r="I1516" s="468"/>
      <c r="J1516" s="468"/>
      <c r="K1516" s="468"/>
      <c r="L1516" s="468"/>
      <c r="M1516" s="468"/>
    </row>
    <row r="1517" spans="2:13" ht="15.75">
      <c r="B1517" s="447" t="s">
        <v>133</v>
      </c>
      <c r="C1517" s="447"/>
      <c r="D1517" s="447"/>
      <c r="E1517" s="447"/>
      <c r="F1517" s="448"/>
      <c r="G1517" s="448"/>
      <c r="H1517" s="448"/>
      <c r="I1517" s="448"/>
      <c r="J1517" s="448"/>
      <c r="K1517" s="448"/>
      <c r="L1517" s="448"/>
      <c r="M1517" s="448"/>
    </row>
    <row r="1518" spans="2:13" ht="15.75">
      <c r="B1518" s="449" t="s">
        <v>39</v>
      </c>
      <c r="C1518" s="449"/>
      <c r="D1518" s="449"/>
      <c r="E1518" s="449"/>
      <c r="F1518" s="448"/>
      <c r="G1518" s="448"/>
      <c r="H1518" s="448"/>
      <c r="I1518" s="448"/>
      <c r="J1518" s="448"/>
      <c r="K1518" s="448"/>
      <c r="L1518" s="448"/>
      <c r="M1518" s="448"/>
    </row>
    <row r="1519" spans="2:13" ht="15.75">
      <c r="B1519" s="450" t="s">
        <v>2</v>
      </c>
      <c r="C1519" s="450" t="s">
        <v>3</v>
      </c>
      <c r="D1519" s="450" t="s">
        <v>4</v>
      </c>
      <c r="E1519" s="450" t="s">
        <v>5</v>
      </c>
      <c r="F1519" s="450" t="s">
        <v>6</v>
      </c>
      <c r="G1519" s="450" t="s">
        <v>7</v>
      </c>
      <c r="H1519" s="450" t="s">
        <v>8</v>
      </c>
      <c r="I1519" s="450" t="s">
        <v>9</v>
      </c>
      <c r="J1519" s="450" t="s">
        <v>10</v>
      </c>
      <c r="K1519" s="450" t="s">
        <v>11</v>
      </c>
      <c r="L1519" s="450" t="s">
        <v>12</v>
      </c>
      <c r="M1519" s="450" t="s">
        <v>13</v>
      </c>
    </row>
    <row r="1520" spans="2:13" ht="15.75">
      <c r="B1520" s="471" t="s">
        <v>14</v>
      </c>
      <c r="C1520" s="472">
        <f>2500*2</f>
        <v>5000</v>
      </c>
      <c r="D1520" s="472">
        <f>1875*2</f>
        <v>3750</v>
      </c>
      <c r="E1520" s="472">
        <f>1406*2</f>
        <v>2812</v>
      </c>
      <c r="F1520" s="472">
        <f>1055*2</f>
        <v>2110</v>
      </c>
      <c r="G1520" s="472">
        <f>791*2</f>
        <v>1582</v>
      </c>
      <c r="H1520" s="472">
        <f>593*2</f>
        <v>1186</v>
      </c>
      <c r="I1520" s="472">
        <f>445*2</f>
        <v>890</v>
      </c>
      <c r="J1520" s="472">
        <f>334*2</f>
        <v>668</v>
      </c>
      <c r="K1520" s="472">
        <f>250*2</f>
        <v>500</v>
      </c>
      <c r="L1520" s="472">
        <f>188*2</f>
        <v>376</v>
      </c>
      <c r="M1520" s="472">
        <f>141*2</f>
        <v>282</v>
      </c>
    </row>
    <row r="1521" spans="2:13" ht="15.75">
      <c r="B1521" s="471" t="s">
        <v>15</v>
      </c>
      <c r="C1521" s="472">
        <f>2400*2</f>
        <v>4800</v>
      </c>
      <c r="D1521" s="472">
        <f>1800*2</f>
        <v>3600</v>
      </c>
      <c r="E1521" s="472">
        <f>1350*2</f>
        <v>2700</v>
      </c>
      <c r="F1521" s="472">
        <f>1013*2</f>
        <v>2026</v>
      </c>
      <c r="G1521" s="472">
        <f>759*2</f>
        <v>1518</v>
      </c>
      <c r="H1521" s="472">
        <f>570*2</f>
        <v>1140</v>
      </c>
      <c r="I1521" s="472">
        <f>427*2</f>
        <v>854</v>
      </c>
      <c r="J1521" s="472">
        <f>320*2</f>
        <v>640</v>
      </c>
      <c r="K1521" s="472">
        <f>240*2</f>
        <v>480</v>
      </c>
      <c r="L1521" s="472">
        <f>180*2</f>
        <v>360</v>
      </c>
      <c r="M1521" s="472">
        <f>135*2</f>
        <v>270</v>
      </c>
    </row>
    <row r="1522" spans="2:13" ht="15.75">
      <c r="B1522" s="471" t="s">
        <v>16</v>
      </c>
      <c r="C1522" s="472">
        <f>2300*2</f>
        <v>4600</v>
      </c>
      <c r="D1522" s="472">
        <f>1725*2</f>
        <v>3450</v>
      </c>
      <c r="E1522" s="472">
        <f>1294*2</f>
        <v>2588</v>
      </c>
      <c r="F1522" s="472">
        <f>970*2</f>
        <v>1940</v>
      </c>
      <c r="G1522" s="472">
        <f>728*2</f>
        <v>1456</v>
      </c>
      <c r="H1522" s="472">
        <f>546*2</f>
        <v>1092</v>
      </c>
      <c r="I1522" s="472">
        <f>409*2</f>
        <v>818</v>
      </c>
      <c r="J1522" s="472">
        <f>307*2</f>
        <v>614</v>
      </c>
      <c r="K1522" s="472">
        <f>230*2</f>
        <v>460</v>
      </c>
      <c r="L1522" s="472">
        <f>173*2</f>
        <v>346</v>
      </c>
      <c r="M1522" s="472">
        <f>130*2</f>
        <v>260</v>
      </c>
    </row>
    <row r="1523" spans="2:13" ht="15.75">
      <c r="B1523" s="471" t="s">
        <v>17</v>
      </c>
      <c r="C1523" s="472">
        <f>2200*2</f>
        <v>4400</v>
      </c>
      <c r="D1523" s="472">
        <f>1650*2</f>
        <v>3300</v>
      </c>
      <c r="E1523" s="472">
        <f>1238*2</f>
        <v>2476</v>
      </c>
      <c r="F1523" s="472">
        <f>928*2</f>
        <v>1856</v>
      </c>
      <c r="G1523" s="472">
        <f>696*2</f>
        <v>1392</v>
      </c>
      <c r="H1523" s="472">
        <f>522*2</f>
        <v>1044</v>
      </c>
      <c r="I1523" s="472">
        <f>392*2</f>
        <v>784</v>
      </c>
      <c r="J1523" s="472">
        <f>294*2</f>
        <v>588</v>
      </c>
      <c r="K1523" s="472">
        <f>220*2</f>
        <v>440</v>
      </c>
      <c r="L1523" s="472">
        <f>165*2</f>
        <v>330</v>
      </c>
      <c r="M1523" s="472">
        <f>124*2</f>
        <v>248</v>
      </c>
    </row>
    <row r="1524" spans="2:13" ht="15.75">
      <c r="B1524" s="462"/>
      <c r="C1524" s="462"/>
      <c r="D1524" s="462"/>
      <c r="E1524" s="462"/>
      <c r="F1524" s="448"/>
      <c r="G1524" s="448"/>
      <c r="H1524" s="448"/>
      <c r="I1524" s="448"/>
      <c r="J1524" s="448"/>
      <c r="K1524" s="448"/>
      <c r="L1524" s="448"/>
      <c r="M1524" s="448"/>
    </row>
    <row r="1525" spans="2:13" ht="15.75">
      <c r="B1525" s="449" t="s">
        <v>19</v>
      </c>
      <c r="C1525" s="449"/>
      <c r="D1525" s="449"/>
      <c r="E1525" s="449"/>
      <c r="F1525" s="448"/>
      <c r="G1525" s="448"/>
      <c r="H1525" s="448"/>
      <c r="I1525" s="448"/>
      <c r="J1525" s="448"/>
      <c r="K1525" s="448"/>
      <c r="L1525" s="448"/>
      <c r="M1525" s="448"/>
    </row>
    <row r="1526" spans="2:13" ht="15.75">
      <c r="B1526" s="450" t="s">
        <v>2</v>
      </c>
      <c r="C1526" s="450" t="s">
        <v>3</v>
      </c>
      <c r="D1526" s="450" t="s">
        <v>4</v>
      </c>
      <c r="E1526" s="450" t="s">
        <v>5</v>
      </c>
      <c r="F1526" s="450" t="s">
        <v>6</v>
      </c>
      <c r="G1526" s="450" t="s">
        <v>7</v>
      </c>
      <c r="H1526" s="450" t="s">
        <v>8</v>
      </c>
      <c r="I1526" s="450" t="s">
        <v>9</v>
      </c>
      <c r="J1526" s="450" t="s">
        <v>10</v>
      </c>
      <c r="K1526" s="450" t="s">
        <v>11</v>
      </c>
      <c r="L1526" s="450" t="s">
        <v>12</v>
      </c>
      <c r="M1526" s="450" t="s">
        <v>13</v>
      </c>
    </row>
    <row r="1527" spans="2:13" ht="15.75">
      <c r="B1527" s="471" t="s">
        <v>14</v>
      </c>
      <c r="C1527" s="472">
        <f>3500*2</f>
        <v>7000</v>
      </c>
      <c r="D1527" s="472">
        <f>2625*2</f>
        <v>5250</v>
      </c>
      <c r="E1527" s="472">
        <f>1969*2</f>
        <v>3938</v>
      </c>
      <c r="F1527" s="472">
        <f>1477*2</f>
        <v>2954</v>
      </c>
      <c r="G1527" s="472">
        <f>1107*2</f>
        <v>2214</v>
      </c>
      <c r="H1527" s="472">
        <f>831*2</f>
        <v>1662</v>
      </c>
      <c r="I1527" s="472">
        <f>623*2</f>
        <v>1246</v>
      </c>
      <c r="J1527" s="472">
        <f>467*2</f>
        <v>934</v>
      </c>
      <c r="K1527" s="472">
        <f>350*2</f>
        <v>700</v>
      </c>
      <c r="L1527" s="472">
        <f>263*2</f>
        <v>526</v>
      </c>
      <c r="M1527" s="472">
        <f>197*2</f>
        <v>394</v>
      </c>
    </row>
    <row r="1528" spans="2:13" ht="15.75">
      <c r="B1528" s="471" t="s">
        <v>15</v>
      </c>
      <c r="C1528" s="472">
        <f>3400*2</f>
        <v>6800</v>
      </c>
      <c r="D1528" s="472">
        <f>2550*2</f>
        <v>5100</v>
      </c>
      <c r="E1528" s="472">
        <f>1913*2</f>
        <v>3826</v>
      </c>
      <c r="F1528" s="472">
        <f>1434*2</f>
        <v>2868</v>
      </c>
      <c r="G1528" s="472">
        <f>1076*2</f>
        <v>2152</v>
      </c>
      <c r="H1528" s="472">
        <f>807*2</f>
        <v>1614</v>
      </c>
      <c r="I1528" s="472">
        <f>605*2</f>
        <v>1210</v>
      </c>
      <c r="J1528" s="472">
        <f>454*2</f>
        <v>908</v>
      </c>
      <c r="K1528" s="472">
        <f>340*2</f>
        <v>680</v>
      </c>
      <c r="L1528" s="472">
        <f>255*2</f>
        <v>510</v>
      </c>
      <c r="M1528" s="472">
        <f>191*2</f>
        <v>382</v>
      </c>
    </row>
    <row r="1529" spans="2:13" ht="15.75">
      <c r="B1529" s="471" t="s">
        <v>16</v>
      </c>
      <c r="C1529" s="472">
        <f>3200*2</f>
        <v>6400</v>
      </c>
      <c r="D1529" s="472">
        <f>2400*2</f>
        <v>4800</v>
      </c>
      <c r="E1529" s="472">
        <f>1800*2</f>
        <v>3600</v>
      </c>
      <c r="F1529" s="472">
        <f>1350*2</f>
        <v>2700</v>
      </c>
      <c r="G1529" s="472">
        <f>1013*2</f>
        <v>2026</v>
      </c>
      <c r="H1529" s="472">
        <f>759*2</f>
        <v>1518</v>
      </c>
      <c r="I1529" s="472">
        <f>570*2</f>
        <v>1140</v>
      </c>
      <c r="J1529" s="472">
        <f>427*2</f>
        <v>854</v>
      </c>
      <c r="K1529" s="472">
        <f>320*2</f>
        <v>640</v>
      </c>
      <c r="L1529" s="472">
        <f>240*2</f>
        <v>480</v>
      </c>
      <c r="M1529" s="472">
        <f>180*2</f>
        <v>360</v>
      </c>
    </row>
    <row r="1530" spans="2:13" ht="15.75">
      <c r="B1530" s="471" t="s">
        <v>17</v>
      </c>
      <c r="C1530" s="472">
        <f>3100*2</f>
        <v>6200</v>
      </c>
      <c r="D1530" s="472">
        <f>2325*2</f>
        <v>4650</v>
      </c>
      <c r="E1530" s="472">
        <f>1744*2</f>
        <v>3488</v>
      </c>
      <c r="F1530" s="472">
        <f>1308*2</f>
        <v>2616</v>
      </c>
      <c r="G1530" s="472">
        <f>981*2</f>
        <v>1962</v>
      </c>
      <c r="H1530" s="472">
        <f>736*2</f>
        <v>1472</v>
      </c>
      <c r="I1530" s="472">
        <f>552*2</f>
        <v>1104</v>
      </c>
      <c r="J1530" s="472">
        <f>414*2</f>
        <v>828</v>
      </c>
      <c r="K1530" s="472">
        <f>310*2</f>
        <v>620</v>
      </c>
      <c r="L1530" s="472">
        <f>233*2</f>
        <v>466</v>
      </c>
      <c r="M1530" s="472">
        <f>175*2</f>
        <v>350</v>
      </c>
    </row>
    <row r="1531" spans="2:13" ht="15.75">
      <c r="B1531" s="466"/>
      <c r="C1531" s="468"/>
      <c r="D1531" s="468"/>
      <c r="E1531" s="468"/>
      <c r="F1531" s="468"/>
      <c r="G1531" s="468"/>
      <c r="H1531" s="468"/>
      <c r="I1531" s="468"/>
      <c r="J1531" s="468"/>
      <c r="K1531" s="468"/>
      <c r="L1531" s="468"/>
      <c r="M1531" s="468"/>
    </row>
    <row r="1532" spans="2:13" ht="15.75">
      <c r="B1532" s="447" t="s">
        <v>134</v>
      </c>
      <c r="C1532" s="447"/>
      <c r="D1532" s="447"/>
      <c r="E1532" s="447"/>
      <c r="F1532" s="448"/>
      <c r="G1532" s="448"/>
      <c r="H1532" s="448"/>
      <c r="I1532" s="448"/>
      <c r="J1532" s="448"/>
      <c r="K1532" s="448"/>
      <c r="L1532" s="448"/>
      <c r="M1532" s="448"/>
    </row>
    <row r="1533" spans="2:13" ht="15.75">
      <c r="B1533" s="449" t="s">
        <v>39</v>
      </c>
      <c r="C1533" s="449"/>
      <c r="D1533" s="449"/>
      <c r="E1533" s="449"/>
      <c r="F1533" s="448"/>
      <c r="G1533" s="448"/>
      <c r="H1533" s="448"/>
      <c r="I1533" s="448"/>
      <c r="J1533" s="448"/>
      <c r="K1533" s="448"/>
      <c r="L1533" s="448"/>
      <c r="M1533" s="448"/>
    </row>
    <row r="1534" spans="2:13" ht="15.75">
      <c r="B1534" s="450" t="s">
        <v>2</v>
      </c>
      <c r="C1534" s="451" t="s">
        <v>3</v>
      </c>
      <c r="D1534" s="451" t="s">
        <v>4</v>
      </c>
      <c r="E1534" s="451" t="s">
        <v>5</v>
      </c>
      <c r="F1534" s="451" t="s">
        <v>6</v>
      </c>
      <c r="G1534" s="451" t="s">
        <v>7</v>
      </c>
      <c r="H1534" s="451" t="s">
        <v>8</v>
      </c>
      <c r="I1534" s="451" t="s">
        <v>9</v>
      </c>
      <c r="J1534" s="451" t="s">
        <v>10</v>
      </c>
      <c r="K1534" s="451" t="s">
        <v>11</v>
      </c>
      <c r="L1534" s="451" t="s">
        <v>12</v>
      </c>
      <c r="M1534" s="450" t="s">
        <v>13</v>
      </c>
    </row>
    <row r="1535" spans="2:13" ht="15.75">
      <c r="B1535" s="452" t="s">
        <v>14</v>
      </c>
      <c r="C1535" s="453">
        <f>570*2</f>
        <v>1140</v>
      </c>
      <c r="D1535" s="454">
        <f>428*2</f>
        <v>856</v>
      </c>
      <c r="E1535" s="454">
        <f>321*2</f>
        <v>642</v>
      </c>
      <c r="F1535" s="454">
        <f>240*2</f>
        <v>480</v>
      </c>
      <c r="G1535" s="454">
        <f>180*2</f>
        <v>360</v>
      </c>
      <c r="H1535" s="454">
        <f>135*2</f>
        <v>270</v>
      </c>
      <c r="I1535" s="454">
        <f>101*2</f>
        <v>202</v>
      </c>
      <c r="J1535" s="454">
        <f>76*2</f>
        <v>152</v>
      </c>
      <c r="K1535" s="454">
        <f>57*2</f>
        <v>114</v>
      </c>
      <c r="L1535" s="454">
        <f>43*2</f>
        <v>86</v>
      </c>
      <c r="M1535" s="454">
        <f>32*2</f>
        <v>64</v>
      </c>
    </row>
    <row r="1536" spans="2:13" ht="15.75">
      <c r="B1536" s="452" t="s">
        <v>15</v>
      </c>
      <c r="C1536" s="453"/>
      <c r="D1536" s="454"/>
      <c r="E1536" s="454"/>
      <c r="F1536" s="454"/>
      <c r="G1536" s="454"/>
      <c r="H1536" s="455"/>
      <c r="I1536" s="454"/>
      <c r="J1536" s="454"/>
      <c r="K1536" s="454"/>
      <c r="L1536" s="454"/>
      <c r="M1536" s="454"/>
    </row>
    <row r="1537" spans="2:13" ht="15.75">
      <c r="B1537" s="452" t="s">
        <v>16</v>
      </c>
      <c r="C1537" s="456" t="s">
        <v>18</v>
      </c>
      <c r="D1537" s="457"/>
      <c r="E1537" s="457"/>
      <c r="F1537" s="457"/>
      <c r="G1537" s="457"/>
      <c r="H1537" s="457"/>
      <c r="I1537" s="457"/>
      <c r="J1537" s="457"/>
      <c r="K1537" s="457"/>
      <c r="L1537" s="457"/>
      <c r="M1537" s="458"/>
    </row>
    <row r="1538" spans="2:13" ht="15.75">
      <c r="B1538" s="452" t="s">
        <v>17</v>
      </c>
      <c r="C1538" s="459" t="s">
        <v>18</v>
      </c>
      <c r="D1538" s="460"/>
      <c r="E1538" s="460"/>
      <c r="F1538" s="460"/>
      <c r="G1538" s="460"/>
      <c r="H1538" s="460"/>
      <c r="I1538" s="460"/>
      <c r="J1538" s="460"/>
      <c r="K1538" s="460"/>
      <c r="L1538" s="460"/>
      <c r="M1538" s="461"/>
    </row>
    <row r="1539" spans="2:13" ht="15.75">
      <c r="B1539" s="462"/>
      <c r="C1539" s="462"/>
      <c r="D1539" s="462"/>
      <c r="E1539" s="462"/>
      <c r="F1539" s="448"/>
      <c r="G1539" s="448"/>
      <c r="H1539" s="448"/>
      <c r="I1539" s="448"/>
      <c r="J1539" s="448"/>
      <c r="K1539" s="448"/>
      <c r="L1539" s="448"/>
      <c r="M1539" s="448"/>
    </row>
    <row r="1540" spans="2:13" ht="15.75">
      <c r="B1540" s="449" t="s">
        <v>19</v>
      </c>
      <c r="C1540" s="449"/>
      <c r="D1540" s="449"/>
      <c r="E1540" s="449"/>
      <c r="F1540" s="448"/>
      <c r="G1540" s="448"/>
      <c r="H1540" s="448"/>
      <c r="I1540" s="448"/>
      <c r="J1540" s="448"/>
      <c r="K1540" s="448"/>
      <c r="L1540" s="448"/>
      <c r="M1540" s="448"/>
    </row>
    <row r="1541" spans="2:13" ht="15.75">
      <c r="B1541" s="450" t="s">
        <v>2</v>
      </c>
      <c r="C1541" s="451" t="s">
        <v>3</v>
      </c>
      <c r="D1541" s="451" t="s">
        <v>4</v>
      </c>
      <c r="E1541" s="451" t="s">
        <v>5</v>
      </c>
      <c r="F1541" s="451" t="s">
        <v>6</v>
      </c>
      <c r="G1541" s="451" t="s">
        <v>7</v>
      </c>
      <c r="H1541" s="451" t="s">
        <v>8</v>
      </c>
      <c r="I1541" s="451" t="s">
        <v>9</v>
      </c>
      <c r="J1541" s="451" t="s">
        <v>10</v>
      </c>
      <c r="K1541" s="451" t="s">
        <v>11</v>
      </c>
      <c r="L1541" s="451" t="s">
        <v>12</v>
      </c>
      <c r="M1541" s="450" t="s">
        <v>13</v>
      </c>
    </row>
    <row r="1542" spans="2:13" ht="15.75">
      <c r="B1542" s="452" t="s">
        <v>14</v>
      </c>
      <c r="C1542" s="463">
        <f>971*2</f>
        <v>1942</v>
      </c>
      <c r="D1542" s="464">
        <f>728*2</f>
        <v>1456</v>
      </c>
      <c r="E1542" s="464">
        <f>546*2</f>
        <v>1092</v>
      </c>
      <c r="F1542" s="464">
        <f>410*2</f>
        <v>820</v>
      </c>
      <c r="G1542" s="464">
        <f>307*2</f>
        <v>614</v>
      </c>
      <c r="H1542" s="464">
        <f>230*2</f>
        <v>460</v>
      </c>
      <c r="I1542" s="464">
        <f>173*2</f>
        <v>346</v>
      </c>
      <c r="J1542" s="464">
        <f>130*2</f>
        <v>260</v>
      </c>
      <c r="K1542" s="464">
        <f>97*2</f>
        <v>194</v>
      </c>
      <c r="L1542" s="464">
        <f>73*2</f>
        <v>146</v>
      </c>
      <c r="M1542" s="465">
        <f>55*2</f>
        <v>110</v>
      </c>
    </row>
    <row r="1543" spans="2:13" ht="15.75">
      <c r="B1543" s="452" t="s">
        <v>15</v>
      </c>
      <c r="C1543" s="463"/>
      <c r="D1543" s="464"/>
      <c r="E1543" s="464"/>
      <c r="F1543" s="464"/>
      <c r="G1543" s="464"/>
      <c r="H1543" s="464"/>
      <c r="I1543" s="464"/>
      <c r="J1543" s="464"/>
      <c r="K1543" s="464"/>
      <c r="L1543" s="464"/>
      <c r="M1543" s="465"/>
    </row>
    <row r="1544" spans="2:13" ht="15.75">
      <c r="B1544" s="452" t="s">
        <v>16</v>
      </c>
      <c r="C1544" s="456" t="s">
        <v>18</v>
      </c>
      <c r="D1544" s="457"/>
      <c r="E1544" s="457"/>
      <c r="F1544" s="457"/>
      <c r="G1544" s="457"/>
      <c r="H1544" s="457"/>
      <c r="I1544" s="457"/>
      <c r="J1544" s="457"/>
      <c r="K1544" s="457"/>
      <c r="L1544" s="457"/>
      <c r="M1544" s="458"/>
    </row>
    <row r="1545" spans="2:13" ht="15.75">
      <c r="B1545" s="452" t="s">
        <v>17</v>
      </c>
      <c r="C1545" s="459" t="s">
        <v>18</v>
      </c>
      <c r="D1545" s="460"/>
      <c r="E1545" s="460"/>
      <c r="F1545" s="460"/>
      <c r="G1545" s="460"/>
      <c r="H1545" s="460"/>
      <c r="I1545" s="460"/>
      <c r="J1545" s="460"/>
      <c r="K1545" s="460"/>
      <c r="L1545" s="460"/>
      <c r="M1545" s="461"/>
    </row>
    <row r="1546" spans="2:13" ht="15.75">
      <c r="B1546" s="466"/>
      <c r="C1546" s="468"/>
      <c r="D1546" s="468"/>
      <c r="E1546" s="468"/>
      <c r="F1546" s="468"/>
      <c r="G1546" s="468"/>
      <c r="H1546" s="468"/>
      <c r="I1546" s="468"/>
      <c r="J1546" s="468"/>
      <c r="K1546" s="468"/>
      <c r="L1546" s="468"/>
      <c r="M1546" s="468"/>
    </row>
    <row r="1547" spans="2:13" ht="15.75">
      <c r="B1547" s="466"/>
      <c r="C1547" s="468"/>
      <c r="D1547" s="468"/>
      <c r="E1547" s="468"/>
      <c r="F1547" s="468"/>
      <c r="G1547" s="468"/>
      <c r="H1547" s="468"/>
      <c r="I1547" s="468"/>
      <c r="J1547" s="468"/>
      <c r="K1547" s="468"/>
      <c r="L1547" s="468"/>
      <c r="M1547" s="468"/>
    </row>
    <row r="1548" spans="2:13" ht="15.75">
      <c r="B1548" s="447" t="s">
        <v>135</v>
      </c>
      <c r="C1548" s="447"/>
      <c r="D1548" s="447"/>
      <c r="E1548" s="447"/>
      <c r="F1548" s="448"/>
      <c r="G1548" s="448"/>
      <c r="H1548" s="448"/>
      <c r="I1548" s="448"/>
      <c r="J1548" s="448"/>
      <c r="K1548" s="448"/>
      <c r="L1548" s="448"/>
      <c r="M1548" s="448"/>
    </row>
    <row r="1549" spans="2:13" ht="15.75">
      <c r="B1549" s="470" t="s">
        <v>46</v>
      </c>
      <c r="C1549" s="449"/>
      <c r="D1549" s="449"/>
      <c r="E1549" s="449"/>
      <c r="F1549" s="448"/>
      <c r="G1549" s="448"/>
      <c r="H1549" s="448"/>
      <c r="I1549" s="448"/>
      <c r="J1549" s="448"/>
      <c r="K1549" s="448"/>
      <c r="L1549" s="448"/>
      <c r="M1549" s="448"/>
    </row>
    <row r="1550" spans="2:13" ht="15.75">
      <c r="B1550" s="450" t="s">
        <v>2</v>
      </c>
      <c r="C1550" s="451" t="s">
        <v>3</v>
      </c>
      <c r="D1550" s="451" t="s">
        <v>4</v>
      </c>
      <c r="E1550" s="451" t="s">
        <v>5</v>
      </c>
      <c r="F1550" s="451" t="s">
        <v>6</v>
      </c>
      <c r="G1550" s="451" t="s">
        <v>7</v>
      </c>
      <c r="H1550" s="451" t="s">
        <v>8</v>
      </c>
      <c r="I1550" s="451" t="s">
        <v>9</v>
      </c>
      <c r="J1550" s="451" t="s">
        <v>10</v>
      </c>
      <c r="K1550" s="451" t="s">
        <v>11</v>
      </c>
      <c r="L1550" s="451" t="s">
        <v>12</v>
      </c>
      <c r="M1550" s="450" t="s">
        <v>13</v>
      </c>
    </row>
    <row r="1551" spans="2:13" ht="15.75">
      <c r="B1551" s="452" t="s">
        <v>14</v>
      </c>
      <c r="C1551" s="463">
        <f>776*2</f>
        <v>1552</v>
      </c>
      <c r="D1551" s="464">
        <f>621*2</f>
        <v>1242</v>
      </c>
      <c r="E1551" s="464">
        <f>504*2</f>
        <v>1008</v>
      </c>
      <c r="F1551" s="464">
        <f>466*2</f>
        <v>932</v>
      </c>
      <c r="G1551" s="464">
        <f>388*2</f>
        <v>776</v>
      </c>
      <c r="H1551" s="464">
        <f>194*2</f>
        <v>388</v>
      </c>
      <c r="I1551" s="464">
        <f>78*2</f>
        <v>156</v>
      </c>
      <c r="J1551" s="464">
        <f>62*2</f>
        <v>124</v>
      </c>
      <c r="K1551" s="464">
        <f>46*2</f>
        <v>92</v>
      </c>
      <c r="L1551" s="464">
        <f>31*2</f>
        <v>62</v>
      </c>
      <c r="M1551" s="465">
        <f>27*2</f>
        <v>54</v>
      </c>
    </row>
    <row r="1552" spans="2:13" ht="15.75">
      <c r="B1552" s="452" t="s">
        <v>15</v>
      </c>
      <c r="C1552" s="463">
        <f>543*2</f>
        <v>1086</v>
      </c>
      <c r="D1552" s="464">
        <f>435*2</f>
        <v>870</v>
      </c>
      <c r="E1552" s="464">
        <f>353*2</f>
        <v>706</v>
      </c>
      <c r="F1552" s="464">
        <f>326*2</f>
        <v>652</v>
      </c>
      <c r="G1552" s="464">
        <f>271*2</f>
        <v>542</v>
      </c>
      <c r="H1552" s="464">
        <f>136*2</f>
        <v>272</v>
      </c>
      <c r="I1552" s="464">
        <f>54*2</f>
        <v>108</v>
      </c>
      <c r="J1552" s="464">
        <f>43*2</f>
        <v>86</v>
      </c>
      <c r="K1552" s="464">
        <f>33*2</f>
        <v>66</v>
      </c>
      <c r="L1552" s="464">
        <f>22*2</f>
        <v>44</v>
      </c>
      <c r="M1552" s="465">
        <f>19*2</f>
        <v>38</v>
      </c>
    </row>
    <row r="1553" spans="2:13" ht="15.75">
      <c r="B1553" s="452" t="s">
        <v>16</v>
      </c>
      <c r="C1553" s="463">
        <f>349*2</f>
        <v>698</v>
      </c>
      <c r="D1553" s="464">
        <f>279*2</f>
        <v>558</v>
      </c>
      <c r="E1553" s="464">
        <f>227*2</f>
        <v>454</v>
      </c>
      <c r="F1553" s="464">
        <f>210*2</f>
        <v>420</v>
      </c>
      <c r="G1553" s="464">
        <f>175*2</f>
        <v>350</v>
      </c>
      <c r="H1553" s="464">
        <f>87*2</f>
        <v>174</v>
      </c>
      <c r="I1553" s="464">
        <f>35*2</f>
        <v>70</v>
      </c>
      <c r="J1553" s="464">
        <f>28*2</f>
        <v>56</v>
      </c>
      <c r="K1553" s="464">
        <f>20.9*2</f>
        <v>41.8</v>
      </c>
      <c r="L1553" s="464">
        <f>14*2</f>
        <v>28</v>
      </c>
      <c r="M1553" s="465">
        <f>12*2</f>
        <v>24</v>
      </c>
    </row>
    <row r="1554" spans="2:13" ht="15.75">
      <c r="B1554" s="452" t="s">
        <v>17</v>
      </c>
      <c r="C1554" s="463">
        <f>194*2</f>
        <v>388</v>
      </c>
      <c r="D1554" s="464">
        <f>155*2</f>
        <v>310</v>
      </c>
      <c r="E1554" s="464">
        <f>126*2</f>
        <v>252</v>
      </c>
      <c r="F1554" s="464">
        <f>116*2</f>
        <v>232</v>
      </c>
      <c r="G1554" s="464">
        <f>97*2</f>
        <v>194</v>
      </c>
      <c r="H1554" s="464">
        <f>49*2</f>
        <v>98</v>
      </c>
      <c r="I1554" s="464">
        <f>19*2</f>
        <v>38</v>
      </c>
      <c r="J1554" s="464">
        <f>16*2</f>
        <v>32</v>
      </c>
      <c r="K1554" s="464">
        <f>12*2</f>
        <v>24</v>
      </c>
      <c r="L1554" s="464">
        <f>8*2</f>
        <v>16</v>
      </c>
      <c r="M1554" s="465">
        <f>7*2</f>
        <v>14</v>
      </c>
    </row>
    <row r="1555" spans="2:13" ht="15.75">
      <c r="B1555" s="466"/>
      <c r="C1555" s="468"/>
      <c r="D1555" s="468"/>
      <c r="E1555" s="468"/>
      <c r="F1555" s="468"/>
      <c r="G1555" s="468"/>
      <c r="H1555" s="468"/>
      <c r="I1555" s="468"/>
      <c r="J1555" s="468"/>
      <c r="K1555" s="468"/>
      <c r="L1555" s="468"/>
      <c r="M1555" s="468"/>
    </row>
    <row r="1556" spans="2:13" ht="15.75">
      <c r="B1556" s="447" t="s">
        <v>136</v>
      </c>
      <c r="C1556" s="447"/>
      <c r="D1556" s="447"/>
      <c r="E1556" s="447"/>
      <c r="F1556" s="448"/>
      <c r="G1556" s="448"/>
      <c r="H1556" s="448"/>
      <c r="I1556" s="448"/>
      <c r="J1556" s="448"/>
      <c r="K1556" s="448"/>
      <c r="L1556" s="448"/>
      <c r="M1556" s="448"/>
    </row>
    <row r="1557" spans="2:13" ht="15.75">
      <c r="B1557" s="449" t="s">
        <v>39</v>
      </c>
      <c r="C1557" s="449"/>
      <c r="D1557" s="449"/>
      <c r="E1557" s="449"/>
      <c r="F1557" s="448"/>
      <c r="G1557" s="448"/>
      <c r="H1557" s="448"/>
      <c r="I1557" s="448"/>
      <c r="J1557" s="448"/>
      <c r="K1557" s="448"/>
      <c r="L1557" s="448"/>
      <c r="M1557" s="448"/>
    </row>
    <row r="1558" spans="2:13" ht="15.75">
      <c r="B1558" s="450" t="s">
        <v>2</v>
      </c>
      <c r="C1558" s="451" t="s">
        <v>3</v>
      </c>
      <c r="D1558" s="451" t="s">
        <v>4</v>
      </c>
      <c r="E1558" s="451" t="s">
        <v>5</v>
      </c>
      <c r="F1558" s="451" t="s">
        <v>6</v>
      </c>
      <c r="G1558" s="451" t="s">
        <v>7</v>
      </c>
      <c r="H1558" s="451" t="s">
        <v>8</v>
      </c>
      <c r="I1558" s="451" t="s">
        <v>9</v>
      </c>
      <c r="J1558" s="451" t="s">
        <v>10</v>
      </c>
      <c r="K1558" s="451" t="s">
        <v>11</v>
      </c>
      <c r="L1558" s="451" t="s">
        <v>12</v>
      </c>
      <c r="M1558" s="450" t="s">
        <v>13</v>
      </c>
    </row>
    <row r="1559" spans="2:13" ht="15.75">
      <c r="B1559" s="452" t="s">
        <v>14</v>
      </c>
      <c r="C1559" s="463">
        <f>1055*2</f>
        <v>2110</v>
      </c>
      <c r="D1559" s="464">
        <f>956*2</f>
        <v>1912</v>
      </c>
      <c r="E1559" s="464">
        <f>864*2</f>
        <v>1728</v>
      </c>
      <c r="F1559" s="464">
        <f>764*2</f>
        <v>1528</v>
      </c>
      <c r="G1559" s="464">
        <f>711*2</f>
        <v>1422</v>
      </c>
      <c r="H1559" s="464">
        <f>635*2</f>
        <v>1270</v>
      </c>
      <c r="I1559" s="464">
        <f>459*2</f>
        <v>918</v>
      </c>
      <c r="J1559" s="464">
        <f>344*2</f>
        <v>688</v>
      </c>
      <c r="K1559" s="464">
        <f>268*2</f>
        <v>536</v>
      </c>
      <c r="L1559" s="464">
        <f>191*2</f>
        <v>382</v>
      </c>
      <c r="M1559" s="465">
        <f>61*2</f>
        <v>122</v>
      </c>
    </row>
    <row r="1560" spans="2:13" ht="15.75">
      <c r="B1560" s="452" t="s">
        <v>15</v>
      </c>
      <c r="C1560" s="464">
        <f>802*2</f>
        <v>1604</v>
      </c>
      <c r="D1560" s="464">
        <f>726*2</f>
        <v>1452</v>
      </c>
      <c r="E1560" s="464">
        <f>656*2</f>
        <v>1312</v>
      </c>
      <c r="F1560" s="464">
        <f>581*2</f>
        <v>1162</v>
      </c>
      <c r="G1560" s="464">
        <f>540*2</f>
        <v>1080</v>
      </c>
      <c r="H1560" s="464">
        <f>482*2</f>
        <v>964</v>
      </c>
      <c r="I1560" s="464">
        <f>348*2</f>
        <v>696</v>
      </c>
      <c r="J1560" s="464">
        <f>261*2</f>
        <v>522</v>
      </c>
      <c r="K1560" s="464">
        <f>203*2</f>
        <v>406</v>
      </c>
      <c r="L1560" s="464">
        <f>145*2</f>
        <v>290</v>
      </c>
      <c r="M1560" s="465">
        <f>46*2</f>
        <v>92</v>
      </c>
    </row>
    <row r="1561" spans="2:13" ht="15.75">
      <c r="B1561" s="452" t="s">
        <v>16</v>
      </c>
      <c r="C1561" s="456" t="s">
        <v>18</v>
      </c>
      <c r="D1561" s="457"/>
      <c r="E1561" s="457"/>
      <c r="F1561" s="457"/>
      <c r="G1561" s="457"/>
      <c r="H1561" s="457"/>
      <c r="I1561" s="457"/>
      <c r="J1561" s="457"/>
      <c r="K1561" s="457"/>
      <c r="L1561" s="457"/>
      <c r="M1561" s="458"/>
    </row>
    <row r="1562" spans="2:13" ht="15.75">
      <c r="B1562" s="452" t="s">
        <v>17</v>
      </c>
      <c r="C1562" s="456" t="s">
        <v>18</v>
      </c>
      <c r="D1562" s="457"/>
      <c r="E1562" s="457"/>
      <c r="F1562" s="457"/>
      <c r="G1562" s="457"/>
      <c r="H1562" s="457"/>
      <c r="I1562" s="457"/>
      <c r="J1562" s="457"/>
      <c r="K1562" s="457"/>
      <c r="L1562" s="457"/>
      <c r="M1562" s="458"/>
    </row>
    <row r="1563" spans="2:13" ht="15.75">
      <c r="B1563" s="462"/>
      <c r="C1563" s="462"/>
      <c r="D1563" s="462"/>
      <c r="E1563" s="462"/>
      <c r="F1563" s="448"/>
      <c r="G1563" s="448"/>
      <c r="H1563" s="448"/>
      <c r="I1563" s="448"/>
      <c r="J1563" s="448"/>
      <c r="K1563" s="448"/>
      <c r="L1563" s="448"/>
      <c r="M1563" s="448"/>
    </row>
    <row r="1564" spans="2:13" ht="15.75">
      <c r="B1564" s="449" t="s">
        <v>19</v>
      </c>
      <c r="C1564" s="449"/>
      <c r="D1564" s="449"/>
      <c r="E1564" s="449"/>
      <c r="F1564" s="448"/>
      <c r="G1564" s="448"/>
      <c r="H1564" s="448"/>
      <c r="I1564" s="448"/>
      <c r="J1564" s="448"/>
      <c r="K1564" s="448"/>
      <c r="L1564" s="448"/>
      <c r="M1564" s="448"/>
    </row>
    <row r="1565" spans="2:13" ht="15.75">
      <c r="B1565" s="450" t="s">
        <v>2</v>
      </c>
      <c r="C1565" s="451" t="s">
        <v>3</v>
      </c>
      <c r="D1565" s="451" t="s">
        <v>4</v>
      </c>
      <c r="E1565" s="451" t="s">
        <v>5</v>
      </c>
      <c r="F1565" s="451" t="s">
        <v>6</v>
      </c>
      <c r="G1565" s="451" t="s">
        <v>7</v>
      </c>
      <c r="H1565" s="451" t="s">
        <v>8</v>
      </c>
      <c r="I1565" s="451" t="s">
        <v>9</v>
      </c>
      <c r="J1565" s="451" t="s">
        <v>10</v>
      </c>
      <c r="K1565" s="451" t="s">
        <v>11</v>
      </c>
      <c r="L1565" s="451" t="s">
        <v>12</v>
      </c>
      <c r="M1565" s="450" t="s">
        <v>13</v>
      </c>
    </row>
    <row r="1566" spans="2:13" ht="15.75">
      <c r="B1566" s="452" t="s">
        <v>14</v>
      </c>
      <c r="C1566" s="463">
        <f>1436*2</f>
        <v>2872</v>
      </c>
      <c r="D1566" s="464">
        <f>1301*2</f>
        <v>2602</v>
      </c>
      <c r="E1566" s="464">
        <f>1176*2</f>
        <v>2352</v>
      </c>
      <c r="F1566" s="464">
        <f>1041*2</f>
        <v>2082</v>
      </c>
      <c r="G1566" s="464">
        <f>968*2</f>
        <v>1936</v>
      </c>
      <c r="H1566" s="464">
        <f>864*2</f>
        <v>1728</v>
      </c>
      <c r="I1566" s="464">
        <f>624*2</f>
        <v>1248</v>
      </c>
      <c r="J1566" s="464">
        <f>468*2</f>
        <v>936</v>
      </c>
      <c r="K1566" s="464">
        <f>364*2</f>
        <v>728</v>
      </c>
      <c r="L1566" s="464">
        <f>260*2</f>
        <v>520</v>
      </c>
      <c r="M1566" s="465">
        <f>83*2</f>
        <v>166</v>
      </c>
    </row>
    <row r="1567" spans="2:13" ht="15.75">
      <c r="B1567" s="452" t="s">
        <v>15</v>
      </c>
      <c r="C1567" s="464">
        <f>1077*2</f>
        <v>2154</v>
      </c>
      <c r="D1567" s="464">
        <f>976*2</f>
        <v>1952</v>
      </c>
      <c r="E1567" s="464">
        <f>882*2</f>
        <v>1764</v>
      </c>
      <c r="F1567" s="464">
        <f>781*2</f>
        <v>1562</v>
      </c>
      <c r="G1567" s="464">
        <f>726*2</f>
        <v>1452</v>
      </c>
      <c r="H1567" s="464">
        <f>648*2</f>
        <v>1296</v>
      </c>
      <c r="I1567" s="464">
        <f>468*2</f>
        <v>936</v>
      </c>
      <c r="J1567" s="464">
        <f>351*2</f>
        <v>702</v>
      </c>
      <c r="K1567" s="464">
        <f>273*2</f>
        <v>546</v>
      </c>
      <c r="L1567" s="464">
        <f>195*2</f>
        <v>390</v>
      </c>
      <c r="M1567" s="465">
        <f>62*2</f>
        <v>124</v>
      </c>
    </row>
    <row r="1568" spans="2:13" ht="15.75">
      <c r="B1568" s="452" t="s">
        <v>16</v>
      </c>
      <c r="C1568" s="456" t="s">
        <v>18</v>
      </c>
      <c r="D1568" s="457"/>
      <c r="E1568" s="457"/>
      <c r="F1568" s="457"/>
      <c r="G1568" s="457"/>
      <c r="H1568" s="457"/>
      <c r="I1568" s="457"/>
      <c r="J1568" s="457"/>
      <c r="K1568" s="457"/>
      <c r="L1568" s="457"/>
      <c r="M1568" s="458"/>
    </row>
    <row r="1569" spans="2:13" ht="15.75">
      <c r="B1569" s="452" t="s">
        <v>17</v>
      </c>
      <c r="C1569" s="456" t="s">
        <v>18</v>
      </c>
      <c r="D1569" s="457"/>
      <c r="E1569" s="457"/>
      <c r="F1569" s="457"/>
      <c r="G1569" s="457"/>
      <c r="H1569" s="457"/>
      <c r="I1569" s="457"/>
      <c r="J1569" s="457"/>
      <c r="K1569" s="457"/>
      <c r="L1569" s="457"/>
      <c r="M1569" s="458"/>
    </row>
    <row r="1570" spans="2:13" ht="15.75">
      <c r="B1570" s="466"/>
      <c r="C1570" s="468"/>
      <c r="D1570" s="468"/>
      <c r="E1570" s="468"/>
      <c r="F1570" s="468"/>
      <c r="G1570" s="468"/>
      <c r="H1570" s="468"/>
      <c r="I1570" s="468"/>
      <c r="J1570" s="468"/>
      <c r="K1570" s="468"/>
      <c r="L1570" s="468"/>
      <c r="M1570" s="468"/>
    </row>
    <row r="1571" spans="2:13" ht="15.75">
      <c r="B1571" s="466"/>
      <c r="C1571" s="468"/>
      <c r="D1571" s="468"/>
      <c r="E1571" s="468"/>
      <c r="F1571" s="468"/>
      <c r="G1571" s="468"/>
      <c r="H1571" s="468"/>
      <c r="I1571" s="468"/>
      <c r="J1571" s="468"/>
      <c r="K1571" s="468"/>
      <c r="L1571" s="468"/>
      <c r="M1571" s="468"/>
    </row>
    <row r="1572" spans="2:13" ht="15.75">
      <c r="B1572" s="447" t="s">
        <v>137</v>
      </c>
      <c r="C1572" s="447"/>
      <c r="D1572" s="447"/>
      <c r="E1572" s="447"/>
      <c r="F1572" s="448"/>
      <c r="G1572" s="448"/>
      <c r="H1572" s="448"/>
      <c r="I1572" s="448"/>
      <c r="J1572" s="448"/>
      <c r="K1572" s="448"/>
      <c r="L1572" s="448"/>
      <c r="M1572" s="448"/>
    </row>
    <row r="1573" spans="2:13" ht="15.75">
      <c r="B1573" s="449" t="s">
        <v>39</v>
      </c>
      <c r="C1573" s="449"/>
      <c r="D1573" s="449"/>
      <c r="E1573" s="449"/>
      <c r="F1573" s="448"/>
      <c r="G1573" s="448"/>
      <c r="H1573" s="448"/>
      <c r="I1573" s="448"/>
      <c r="J1573" s="448"/>
      <c r="K1573" s="448"/>
      <c r="L1573" s="448"/>
      <c r="M1573" s="448"/>
    </row>
    <row r="1574" spans="2:13" ht="15.75">
      <c r="B1574" s="450" t="s">
        <v>2</v>
      </c>
      <c r="C1574" s="450" t="s">
        <v>3</v>
      </c>
      <c r="D1574" s="450" t="s">
        <v>4</v>
      </c>
      <c r="E1574" s="450" t="s">
        <v>5</v>
      </c>
      <c r="F1574" s="450" t="s">
        <v>6</v>
      </c>
      <c r="G1574" s="450" t="s">
        <v>7</v>
      </c>
      <c r="H1574" s="450" t="s">
        <v>8</v>
      </c>
      <c r="I1574" s="450" t="s">
        <v>9</v>
      </c>
      <c r="J1574" s="450" t="s">
        <v>10</v>
      </c>
      <c r="K1574" s="450" t="s">
        <v>11</v>
      </c>
      <c r="L1574" s="450" t="s">
        <v>12</v>
      </c>
      <c r="M1574" s="450" t="s">
        <v>13</v>
      </c>
    </row>
    <row r="1575" spans="2:13" ht="15.75">
      <c r="B1575" s="471" t="s">
        <v>14</v>
      </c>
      <c r="C1575" s="472">
        <f>1758*2</f>
        <v>3516</v>
      </c>
      <c r="D1575" s="472">
        <f>1406*2</f>
        <v>2812</v>
      </c>
      <c r="E1575" s="472">
        <f>1143*2</f>
        <v>2286</v>
      </c>
      <c r="F1575" s="472">
        <f>1055*2</f>
        <v>2110</v>
      </c>
      <c r="G1575" s="472">
        <f>879*2</f>
        <v>1758</v>
      </c>
      <c r="H1575" s="472">
        <f>440*2</f>
        <v>880</v>
      </c>
      <c r="I1575" s="472">
        <f>176*2</f>
        <v>352</v>
      </c>
      <c r="J1575" s="472">
        <f>141*2</f>
        <v>282</v>
      </c>
      <c r="K1575" s="472">
        <f>105*2</f>
        <v>210</v>
      </c>
      <c r="L1575" s="472">
        <f>70*2</f>
        <v>140</v>
      </c>
      <c r="M1575" s="472">
        <f>62*2</f>
        <v>124</v>
      </c>
    </row>
    <row r="1576" spans="2:13" ht="15.75">
      <c r="B1576" s="471" t="s">
        <v>15</v>
      </c>
      <c r="C1576" s="472">
        <f>1231*2</f>
        <v>2462</v>
      </c>
      <c r="D1576" s="472">
        <f>985*2</f>
        <v>1970</v>
      </c>
      <c r="E1576" s="472">
        <f>800*2</f>
        <v>1600</v>
      </c>
      <c r="F1576" s="472">
        <f>739*2</f>
        <v>1478</v>
      </c>
      <c r="G1576" s="472">
        <f>616*2</f>
        <v>1232</v>
      </c>
      <c r="H1576" s="472">
        <f>308*2</f>
        <v>616</v>
      </c>
      <c r="I1576" s="472">
        <f>123*2</f>
        <v>246</v>
      </c>
      <c r="J1576" s="472">
        <f>98*2</f>
        <v>196</v>
      </c>
      <c r="K1576" s="472">
        <f>74*2</f>
        <v>148</v>
      </c>
      <c r="L1576" s="472">
        <f>49*2</f>
        <v>98</v>
      </c>
      <c r="M1576" s="472">
        <f>43*2</f>
        <v>86</v>
      </c>
    </row>
    <row r="1577" spans="2:13" ht="15.75">
      <c r="B1577" s="471" t="s">
        <v>16</v>
      </c>
      <c r="C1577" s="472">
        <f>791*2</f>
        <v>1582</v>
      </c>
      <c r="D1577" s="472">
        <f>633*2</f>
        <v>1266</v>
      </c>
      <c r="E1577" s="472">
        <f>514*2</f>
        <v>1028</v>
      </c>
      <c r="F1577" s="472">
        <f>475*2</f>
        <v>950</v>
      </c>
      <c r="G1577" s="472">
        <f>395*2</f>
        <v>790</v>
      </c>
      <c r="H1577" s="472">
        <f>198*2</f>
        <v>396</v>
      </c>
      <c r="I1577" s="472">
        <f>79*2</f>
        <v>158</v>
      </c>
      <c r="J1577" s="472">
        <f>63*2</f>
        <v>126</v>
      </c>
      <c r="K1577" s="472">
        <f>47*2</f>
        <v>94</v>
      </c>
      <c r="L1577" s="472">
        <f>32*2</f>
        <v>64</v>
      </c>
      <c r="M1577" s="472">
        <f>28*2</f>
        <v>56</v>
      </c>
    </row>
    <row r="1578" spans="2:13" ht="15.75">
      <c r="B1578" s="471" t="s">
        <v>17</v>
      </c>
      <c r="C1578" s="472">
        <f>439*2</f>
        <v>878</v>
      </c>
      <c r="D1578" s="472">
        <f>352*2</f>
        <v>704</v>
      </c>
      <c r="E1578" s="472">
        <f>286*2</f>
        <v>572</v>
      </c>
      <c r="F1578" s="472">
        <f>264*2</f>
        <v>528</v>
      </c>
      <c r="G1578" s="472">
        <f>220*2</f>
        <v>440</v>
      </c>
      <c r="H1578" s="472">
        <f>110*2</f>
        <v>220</v>
      </c>
      <c r="I1578" s="472">
        <f>44*2</f>
        <v>88</v>
      </c>
      <c r="J1578" s="472">
        <f>35*2</f>
        <v>70</v>
      </c>
      <c r="K1578" s="472">
        <f>26*2</f>
        <v>52</v>
      </c>
      <c r="L1578" s="472">
        <f>18*2</f>
        <v>36</v>
      </c>
      <c r="M1578" s="472">
        <f>15*2</f>
        <v>30</v>
      </c>
    </row>
    <row r="1579" spans="2:13" ht="15.75">
      <c r="B1579" s="462"/>
      <c r="C1579" s="462"/>
      <c r="D1579" s="462"/>
      <c r="E1579" s="462"/>
      <c r="F1579" s="448"/>
      <c r="G1579" s="448"/>
      <c r="H1579" s="448"/>
      <c r="I1579" s="448"/>
      <c r="J1579" s="448"/>
      <c r="K1579" s="448"/>
      <c r="L1579" s="448"/>
      <c r="M1579" s="448"/>
    </row>
    <row r="1580" spans="2:13" ht="15.75">
      <c r="B1580" s="449" t="s">
        <v>19</v>
      </c>
      <c r="C1580" s="449"/>
      <c r="D1580" s="449"/>
      <c r="E1580" s="449"/>
      <c r="F1580" s="448"/>
      <c r="G1580" s="448"/>
      <c r="H1580" s="448"/>
      <c r="I1580" s="448"/>
      <c r="J1580" s="448"/>
      <c r="K1580" s="448"/>
      <c r="L1580" s="448"/>
      <c r="M1580" s="448"/>
    </row>
    <row r="1581" spans="2:13" ht="15.75">
      <c r="B1581" s="450" t="s">
        <v>2</v>
      </c>
      <c r="C1581" s="450" t="s">
        <v>3</v>
      </c>
      <c r="D1581" s="450" t="s">
        <v>4</v>
      </c>
      <c r="E1581" s="450" t="s">
        <v>5</v>
      </c>
      <c r="F1581" s="450" t="s">
        <v>6</v>
      </c>
      <c r="G1581" s="450" t="s">
        <v>7</v>
      </c>
      <c r="H1581" s="450" t="s">
        <v>8</v>
      </c>
      <c r="I1581" s="450" t="s">
        <v>9</v>
      </c>
      <c r="J1581" s="450" t="s">
        <v>10</v>
      </c>
      <c r="K1581" s="450" t="s">
        <v>11</v>
      </c>
      <c r="L1581" s="450" t="s">
        <v>12</v>
      </c>
      <c r="M1581" s="450" t="s">
        <v>13</v>
      </c>
    </row>
    <row r="1582" spans="2:13" ht="15.75">
      <c r="B1582" s="471" t="s">
        <v>14</v>
      </c>
      <c r="C1582" s="472">
        <f>2925*2</f>
        <v>5850</v>
      </c>
      <c r="D1582" s="472">
        <f>2340*2</f>
        <v>4680</v>
      </c>
      <c r="E1582" s="472">
        <f>1901*2</f>
        <v>3802</v>
      </c>
      <c r="F1582" s="472">
        <f>1755*2</f>
        <v>3510</v>
      </c>
      <c r="G1582" s="472">
        <f>1463*2</f>
        <v>2926</v>
      </c>
      <c r="H1582" s="472">
        <f>731*2</f>
        <v>1462</v>
      </c>
      <c r="I1582" s="472">
        <f>293*2</f>
        <v>586</v>
      </c>
      <c r="J1582" s="472">
        <f>234*2</f>
        <v>468</v>
      </c>
      <c r="K1582" s="472">
        <f>176*2</f>
        <v>352</v>
      </c>
      <c r="L1582" s="472">
        <f>117*2</f>
        <v>234</v>
      </c>
      <c r="M1582" s="472">
        <f>102*2</f>
        <v>204</v>
      </c>
    </row>
    <row r="1583" spans="2:13" ht="15.75">
      <c r="B1583" s="471" t="s">
        <v>15</v>
      </c>
      <c r="C1583" s="472">
        <f>2048*2</f>
        <v>4096</v>
      </c>
      <c r="D1583" s="472">
        <f>1638.4*2</f>
        <v>3276.8</v>
      </c>
      <c r="E1583" s="472">
        <f>1331*2</f>
        <v>2662</v>
      </c>
      <c r="F1583" s="472">
        <f>1229*2</f>
        <v>2458</v>
      </c>
      <c r="G1583" s="472">
        <f>1023*2</f>
        <v>2046</v>
      </c>
      <c r="H1583" s="472">
        <f>512*2</f>
        <v>1024</v>
      </c>
      <c r="I1583" s="472">
        <f>205*2</f>
        <v>410</v>
      </c>
      <c r="J1583" s="472">
        <f>164*2</f>
        <v>328</v>
      </c>
      <c r="K1583" s="472">
        <f>123*2</f>
        <v>246</v>
      </c>
      <c r="L1583" s="472">
        <f>82*2</f>
        <v>164</v>
      </c>
      <c r="M1583" s="472">
        <f>72*2</f>
        <v>144</v>
      </c>
    </row>
    <row r="1584" spans="2:13" ht="15.75">
      <c r="B1584" s="471" t="s">
        <v>16</v>
      </c>
      <c r="C1584" s="472">
        <f>1316*2</f>
        <v>2632</v>
      </c>
      <c r="D1584" s="472">
        <f>1052.8*2</f>
        <v>2105.6</v>
      </c>
      <c r="E1584" s="472">
        <f>856*2</f>
        <v>1712</v>
      </c>
      <c r="F1584" s="472">
        <f>790*2</f>
        <v>1580</v>
      </c>
      <c r="G1584" s="472">
        <f>658*2</f>
        <v>1316</v>
      </c>
      <c r="H1584" s="472">
        <f>329*2</f>
        <v>658</v>
      </c>
      <c r="I1584" s="472">
        <f>132*2</f>
        <v>264</v>
      </c>
      <c r="J1584" s="472">
        <f>105*2</f>
        <v>210</v>
      </c>
      <c r="K1584" s="472">
        <f>79*2</f>
        <v>158</v>
      </c>
      <c r="L1584" s="472">
        <f>53*2</f>
        <v>106</v>
      </c>
      <c r="M1584" s="472">
        <f>46*2</f>
        <v>92</v>
      </c>
    </row>
    <row r="1585" spans="2:13" ht="15.75">
      <c r="B1585" s="471" t="s">
        <v>17</v>
      </c>
      <c r="C1585" s="472">
        <f>731*2</f>
        <v>1462</v>
      </c>
      <c r="D1585" s="472">
        <f>584.8*2</f>
        <v>1169.5999999999999</v>
      </c>
      <c r="E1585" s="472">
        <f>475*2</f>
        <v>950</v>
      </c>
      <c r="F1585" s="472">
        <f>439*2</f>
        <v>878</v>
      </c>
      <c r="G1585" s="472">
        <f>366*2</f>
        <v>732</v>
      </c>
      <c r="H1585" s="472">
        <f>183*2</f>
        <v>366</v>
      </c>
      <c r="I1585" s="472">
        <f>73*2</f>
        <v>146</v>
      </c>
      <c r="J1585" s="472">
        <f>59*2</f>
        <v>118</v>
      </c>
      <c r="K1585" s="472">
        <f>44*2</f>
        <v>88</v>
      </c>
      <c r="L1585" s="472">
        <f>29*2</f>
        <v>58</v>
      </c>
      <c r="M1585" s="472">
        <f>26*2</f>
        <v>52</v>
      </c>
    </row>
    <row r="1586" spans="2:13" ht="15.75">
      <c r="B1586" s="466"/>
      <c r="C1586" s="468"/>
      <c r="D1586" s="468"/>
      <c r="E1586" s="468"/>
      <c r="F1586" s="468"/>
      <c r="G1586" s="468"/>
      <c r="H1586" s="468"/>
      <c r="I1586" s="468"/>
      <c r="J1586" s="468"/>
      <c r="K1586" s="468"/>
      <c r="L1586" s="468"/>
      <c r="M1586" s="468"/>
    </row>
    <row r="1587" spans="2:13" ht="15.75">
      <c r="B1587" s="466"/>
      <c r="C1587" s="468"/>
      <c r="D1587" s="468"/>
      <c r="E1587" s="468"/>
      <c r="F1587" s="468"/>
      <c r="G1587" s="468"/>
      <c r="H1587" s="468"/>
      <c r="I1587" s="468"/>
      <c r="J1587" s="468"/>
      <c r="K1587" s="468"/>
      <c r="L1587" s="468"/>
      <c r="M1587" s="468"/>
    </row>
    <row r="1588" spans="2:13" ht="15.75">
      <c r="B1588" s="447" t="s">
        <v>138</v>
      </c>
      <c r="C1588" s="447"/>
      <c r="D1588" s="447"/>
      <c r="E1588" s="447"/>
      <c r="F1588" s="448"/>
      <c r="G1588" s="448"/>
      <c r="H1588" s="448"/>
      <c r="I1588" s="448"/>
      <c r="J1588" s="448"/>
      <c r="K1588" s="448"/>
      <c r="L1588" s="448"/>
      <c r="M1588" s="448"/>
    </row>
    <row r="1589" spans="2:13" ht="15.75">
      <c r="B1589" s="449" t="s">
        <v>39</v>
      </c>
      <c r="C1589" s="449"/>
      <c r="D1589" s="449"/>
      <c r="E1589" s="449"/>
      <c r="F1589" s="448"/>
      <c r="G1589" s="448"/>
      <c r="H1589" s="448"/>
      <c r="I1589" s="448"/>
      <c r="J1589" s="448"/>
      <c r="K1589" s="448"/>
      <c r="L1589" s="448"/>
      <c r="M1589" s="448"/>
    </row>
    <row r="1590" spans="2:13" ht="15.75">
      <c r="B1590" s="450" t="s">
        <v>2</v>
      </c>
      <c r="C1590" s="451" t="s">
        <v>3</v>
      </c>
      <c r="D1590" s="451" t="s">
        <v>4</v>
      </c>
      <c r="E1590" s="451" t="s">
        <v>5</v>
      </c>
      <c r="F1590" s="451" t="s">
        <v>6</v>
      </c>
      <c r="G1590" s="451" t="s">
        <v>7</v>
      </c>
      <c r="H1590" s="451" t="s">
        <v>8</v>
      </c>
      <c r="I1590" s="451" t="s">
        <v>9</v>
      </c>
      <c r="J1590" s="451" t="s">
        <v>10</v>
      </c>
      <c r="K1590" s="451" t="s">
        <v>11</v>
      </c>
      <c r="L1590" s="451" t="s">
        <v>12</v>
      </c>
      <c r="M1590" s="450" t="s">
        <v>13</v>
      </c>
    </row>
    <row r="1591" spans="2:13" ht="15.75">
      <c r="B1591" s="452" t="s">
        <v>14</v>
      </c>
      <c r="C1591" s="453">
        <f>690*2</f>
        <v>1380</v>
      </c>
      <c r="D1591" s="454">
        <f>517*2</f>
        <v>1034</v>
      </c>
      <c r="E1591" s="454">
        <f>388*2</f>
        <v>776</v>
      </c>
      <c r="F1591" s="454">
        <f>291*2</f>
        <v>582</v>
      </c>
      <c r="G1591" s="454">
        <f>218*2</f>
        <v>436</v>
      </c>
      <c r="H1591" s="454">
        <f>164*2</f>
        <v>328</v>
      </c>
      <c r="I1591" s="454">
        <f>123*2</f>
        <v>246</v>
      </c>
      <c r="J1591" s="454">
        <f>92*2</f>
        <v>184</v>
      </c>
      <c r="K1591" s="454">
        <f>69*2</f>
        <v>138</v>
      </c>
      <c r="L1591" s="454">
        <f>52*2</f>
        <v>104</v>
      </c>
      <c r="M1591" s="454">
        <f>39*2</f>
        <v>78</v>
      </c>
    </row>
    <row r="1592" spans="2:13" ht="15.75">
      <c r="B1592" s="452" t="s">
        <v>15</v>
      </c>
      <c r="C1592" s="453"/>
      <c r="D1592" s="454"/>
      <c r="E1592" s="454"/>
      <c r="F1592" s="454"/>
      <c r="G1592" s="454"/>
      <c r="H1592" s="455"/>
      <c r="I1592" s="454"/>
      <c r="J1592" s="454"/>
      <c r="K1592" s="454"/>
      <c r="L1592" s="454"/>
      <c r="M1592" s="454"/>
    </row>
    <row r="1593" spans="2:13" ht="15.75">
      <c r="B1593" s="452" t="s">
        <v>16</v>
      </c>
      <c r="C1593" s="456" t="s">
        <v>18</v>
      </c>
      <c r="D1593" s="457"/>
      <c r="E1593" s="457"/>
      <c r="F1593" s="457"/>
      <c r="G1593" s="457"/>
      <c r="H1593" s="457"/>
      <c r="I1593" s="457"/>
      <c r="J1593" s="457"/>
      <c r="K1593" s="457"/>
      <c r="L1593" s="457"/>
      <c r="M1593" s="458"/>
    </row>
    <row r="1594" spans="2:13" ht="15.75">
      <c r="B1594" s="452" t="s">
        <v>17</v>
      </c>
      <c r="C1594" s="459" t="s">
        <v>18</v>
      </c>
      <c r="D1594" s="460"/>
      <c r="E1594" s="460"/>
      <c r="F1594" s="460"/>
      <c r="G1594" s="460"/>
      <c r="H1594" s="460"/>
      <c r="I1594" s="460"/>
      <c r="J1594" s="460"/>
      <c r="K1594" s="460"/>
      <c r="L1594" s="460"/>
      <c r="M1594" s="461"/>
    </row>
    <row r="1595" spans="2:13" ht="15.75">
      <c r="B1595" s="462"/>
      <c r="C1595" s="462"/>
      <c r="D1595" s="462"/>
      <c r="E1595" s="462"/>
      <c r="F1595" s="448"/>
      <c r="G1595" s="448"/>
      <c r="H1595" s="448"/>
      <c r="I1595" s="448"/>
      <c r="J1595" s="448"/>
      <c r="K1595" s="448"/>
      <c r="L1595" s="448"/>
      <c r="M1595" s="448"/>
    </row>
    <row r="1596" spans="2:13" ht="15.75">
      <c r="B1596" s="449" t="s">
        <v>19</v>
      </c>
      <c r="C1596" s="449"/>
      <c r="D1596" s="449"/>
      <c r="E1596" s="449"/>
      <c r="F1596" s="448"/>
      <c r="G1596" s="448"/>
      <c r="H1596" s="448"/>
      <c r="I1596" s="448"/>
      <c r="J1596" s="448"/>
      <c r="K1596" s="448"/>
      <c r="L1596" s="448"/>
      <c r="M1596" s="448"/>
    </row>
    <row r="1597" spans="2:13" ht="15.75">
      <c r="B1597" s="450" t="s">
        <v>2</v>
      </c>
      <c r="C1597" s="451" t="s">
        <v>3</v>
      </c>
      <c r="D1597" s="451" t="s">
        <v>4</v>
      </c>
      <c r="E1597" s="451" t="s">
        <v>5</v>
      </c>
      <c r="F1597" s="451" t="s">
        <v>6</v>
      </c>
      <c r="G1597" s="451" t="s">
        <v>7</v>
      </c>
      <c r="H1597" s="451" t="s">
        <v>8</v>
      </c>
      <c r="I1597" s="451" t="s">
        <v>9</v>
      </c>
      <c r="J1597" s="451" t="s">
        <v>10</v>
      </c>
      <c r="K1597" s="451" t="s">
        <v>11</v>
      </c>
      <c r="L1597" s="451" t="s">
        <v>12</v>
      </c>
      <c r="M1597" s="450" t="s">
        <v>13</v>
      </c>
    </row>
    <row r="1598" spans="2:13" ht="15.75">
      <c r="B1598" s="452" t="s">
        <v>14</v>
      </c>
      <c r="C1598" s="463">
        <f>1031*2</f>
        <v>2062</v>
      </c>
      <c r="D1598" s="464">
        <f>773*2</f>
        <v>1546</v>
      </c>
      <c r="E1598" s="464">
        <f>580*2</f>
        <v>1160</v>
      </c>
      <c r="F1598" s="464">
        <f>435*2</f>
        <v>870</v>
      </c>
      <c r="G1598" s="464">
        <f>326*2</f>
        <v>652</v>
      </c>
      <c r="H1598" s="464">
        <f>245*2</f>
        <v>490</v>
      </c>
      <c r="I1598" s="464">
        <f>183*2</f>
        <v>366</v>
      </c>
      <c r="J1598" s="464">
        <f>138*2</f>
        <v>276</v>
      </c>
      <c r="K1598" s="464">
        <f>103*2</f>
        <v>206</v>
      </c>
      <c r="L1598" s="464">
        <f>77*2</f>
        <v>154</v>
      </c>
      <c r="M1598" s="465">
        <f>58*2</f>
        <v>116</v>
      </c>
    </row>
    <row r="1599" spans="2:13" ht="15.75">
      <c r="B1599" s="452" t="s">
        <v>15</v>
      </c>
      <c r="C1599" s="463"/>
      <c r="D1599" s="464"/>
      <c r="E1599" s="464"/>
      <c r="F1599" s="464"/>
      <c r="G1599" s="464"/>
      <c r="H1599" s="464"/>
      <c r="I1599" s="464"/>
      <c r="J1599" s="464"/>
      <c r="K1599" s="464"/>
      <c r="L1599" s="464"/>
      <c r="M1599" s="465"/>
    </row>
    <row r="1600" spans="2:13" ht="15.75">
      <c r="B1600" s="452" t="s">
        <v>16</v>
      </c>
      <c r="C1600" s="456" t="s">
        <v>18</v>
      </c>
      <c r="D1600" s="457"/>
      <c r="E1600" s="457"/>
      <c r="F1600" s="457"/>
      <c r="G1600" s="457"/>
      <c r="H1600" s="457"/>
      <c r="I1600" s="457"/>
      <c r="J1600" s="457"/>
      <c r="K1600" s="457"/>
      <c r="L1600" s="457"/>
      <c r="M1600" s="458"/>
    </row>
    <row r="1601" spans="2:13" ht="15.75">
      <c r="B1601" s="452" t="s">
        <v>17</v>
      </c>
      <c r="C1601" s="459" t="s">
        <v>18</v>
      </c>
      <c r="D1601" s="460"/>
      <c r="E1601" s="460"/>
      <c r="F1601" s="460"/>
      <c r="G1601" s="460"/>
      <c r="H1601" s="460"/>
      <c r="I1601" s="460"/>
      <c r="J1601" s="460"/>
      <c r="K1601" s="460"/>
      <c r="L1601" s="460"/>
      <c r="M1601" s="461"/>
    </row>
    <row r="1602" spans="2:13" ht="15.75">
      <c r="B1602" s="466"/>
      <c r="C1602" s="468"/>
      <c r="D1602" s="468"/>
      <c r="E1602" s="468"/>
      <c r="F1602" s="468"/>
      <c r="G1602" s="468"/>
      <c r="H1602" s="468"/>
      <c r="I1602" s="468"/>
      <c r="J1602" s="468"/>
      <c r="K1602" s="468"/>
      <c r="L1602" s="468"/>
      <c r="M1602" s="468"/>
    </row>
    <row r="1603" spans="2:13" ht="15.75">
      <c r="B1603" s="447" t="s">
        <v>139</v>
      </c>
      <c r="C1603" s="447"/>
      <c r="D1603" s="447"/>
      <c r="E1603" s="447"/>
      <c r="F1603" s="448"/>
      <c r="G1603" s="448"/>
      <c r="H1603" s="448"/>
      <c r="I1603" s="448"/>
      <c r="J1603" s="448"/>
      <c r="K1603" s="448"/>
      <c r="L1603" s="448"/>
      <c r="M1603" s="448"/>
    </row>
    <row r="1604" spans="2:13" ht="15.75">
      <c r="B1604" s="449" t="s">
        <v>39</v>
      </c>
      <c r="C1604" s="449"/>
      <c r="D1604" s="449"/>
      <c r="E1604" s="449"/>
      <c r="F1604" s="448"/>
      <c r="G1604" s="448"/>
      <c r="H1604" s="448"/>
      <c r="I1604" s="448"/>
      <c r="J1604" s="448"/>
      <c r="K1604" s="448"/>
      <c r="L1604" s="448"/>
      <c r="M1604" s="448"/>
    </row>
    <row r="1605" spans="2:13" ht="15.75">
      <c r="B1605" s="450" t="s">
        <v>2</v>
      </c>
      <c r="C1605" s="451" t="s">
        <v>3</v>
      </c>
      <c r="D1605" s="451" t="s">
        <v>4</v>
      </c>
      <c r="E1605" s="451" t="s">
        <v>5</v>
      </c>
      <c r="F1605" s="451" t="s">
        <v>6</v>
      </c>
      <c r="G1605" s="451" t="s">
        <v>7</v>
      </c>
      <c r="H1605" s="451" t="s">
        <v>8</v>
      </c>
      <c r="I1605" s="451" t="s">
        <v>9</v>
      </c>
      <c r="J1605" s="451" t="s">
        <v>10</v>
      </c>
      <c r="K1605" s="451" t="s">
        <v>11</v>
      </c>
      <c r="L1605" s="451" t="s">
        <v>12</v>
      </c>
      <c r="M1605" s="450" t="s">
        <v>13</v>
      </c>
    </row>
    <row r="1606" spans="2:13" ht="15.75">
      <c r="B1606" s="452" t="s">
        <v>14</v>
      </c>
      <c r="C1606" s="463">
        <f>613*2</f>
        <v>1226</v>
      </c>
      <c r="D1606" s="464">
        <f>460*2</f>
        <v>920</v>
      </c>
      <c r="E1606" s="464">
        <f>345*2</f>
        <v>690</v>
      </c>
      <c r="F1606" s="464">
        <f>259*2</f>
        <v>518</v>
      </c>
      <c r="G1606" s="464">
        <f>194*2</f>
        <v>388</v>
      </c>
      <c r="H1606" s="464">
        <f>146*2</f>
        <v>292</v>
      </c>
      <c r="I1606" s="464">
        <f>109*2</f>
        <v>218</v>
      </c>
      <c r="J1606" s="464">
        <f>82*2</f>
        <v>164</v>
      </c>
      <c r="K1606" s="464">
        <f>61*2</f>
        <v>122</v>
      </c>
      <c r="L1606" s="464">
        <f>46*2</f>
        <v>92</v>
      </c>
      <c r="M1606" s="465">
        <f>35*2</f>
        <v>70</v>
      </c>
    </row>
    <row r="1607" spans="2:13" ht="15.75">
      <c r="B1607" s="452" t="s">
        <v>15</v>
      </c>
      <c r="C1607" s="464">
        <f>453*2</f>
        <v>906</v>
      </c>
      <c r="D1607" s="464">
        <f>340*2</f>
        <v>680</v>
      </c>
      <c r="E1607" s="464">
        <f>255*2</f>
        <v>510</v>
      </c>
      <c r="F1607" s="464">
        <f>191*2</f>
        <v>382</v>
      </c>
      <c r="G1607" s="464">
        <f>143*2</f>
        <v>286</v>
      </c>
      <c r="H1607" s="464">
        <f>108*2</f>
        <v>216</v>
      </c>
      <c r="I1607" s="464">
        <f>81*2</f>
        <v>162</v>
      </c>
      <c r="J1607" s="464">
        <f>61*2</f>
        <v>122</v>
      </c>
      <c r="K1607" s="464">
        <f>45*2</f>
        <v>90</v>
      </c>
      <c r="L1607" s="464">
        <f>34*2</f>
        <v>68</v>
      </c>
      <c r="M1607" s="465">
        <f>26*2</f>
        <v>52</v>
      </c>
    </row>
    <row r="1608" spans="2:13" ht="15.75">
      <c r="B1608" s="452" t="s">
        <v>16</v>
      </c>
      <c r="C1608" s="464">
        <f>272*2</f>
        <v>544</v>
      </c>
      <c r="D1608" s="464">
        <f>204*2</f>
        <v>408</v>
      </c>
      <c r="E1608" s="464">
        <f>153*2</f>
        <v>306</v>
      </c>
      <c r="F1608" s="464">
        <f>115*2</f>
        <v>230</v>
      </c>
      <c r="G1608" s="464">
        <f>86*2</f>
        <v>172</v>
      </c>
      <c r="H1608" s="464">
        <f>65*2</f>
        <v>130</v>
      </c>
      <c r="I1608" s="464">
        <f>48*2</f>
        <v>96</v>
      </c>
      <c r="J1608" s="464">
        <f>36*2</f>
        <v>72</v>
      </c>
      <c r="K1608" s="464">
        <f>27*2</f>
        <v>54</v>
      </c>
      <c r="L1608" s="464">
        <f>20*2</f>
        <v>40</v>
      </c>
      <c r="M1608" s="465">
        <f>15*2</f>
        <v>30</v>
      </c>
    </row>
    <row r="1609" spans="2:13" ht="15.75">
      <c r="B1609" s="452" t="s">
        <v>17</v>
      </c>
      <c r="C1609" s="456" t="s">
        <v>18</v>
      </c>
      <c r="D1609" s="457"/>
      <c r="E1609" s="457"/>
      <c r="F1609" s="457"/>
      <c r="G1609" s="457"/>
      <c r="H1609" s="457"/>
      <c r="I1609" s="457"/>
      <c r="J1609" s="457"/>
      <c r="K1609" s="457"/>
      <c r="L1609" s="457"/>
      <c r="M1609" s="458"/>
    </row>
    <row r="1610" spans="2:13" ht="15.75">
      <c r="B1610" s="462"/>
      <c r="C1610" s="462"/>
      <c r="D1610" s="462"/>
      <c r="E1610" s="462"/>
      <c r="F1610" s="448"/>
      <c r="G1610" s="448"/>
      <c r="H1610" s="448"/>
      <c r="I1610" s="448"/>
      <c r="J1610" s="448"/>
      <c r="K1610" s="448"/>
      <c r="L1610" s="448"/>
      <c r="M1610" s="448"/>
    </row>
    <row r="1611" spans="2:13" ht="15.75">
      <c r="B1611" s="449" t="s">
        <v>19</v>
      </c>
      <c r="C1611" s="449"/>
      <c r="D1611" s="449"/>
      <c r="E1611" s="449"/>
      <c r="F1611" s="448"/>
      <c r="G1611" s="448"/>
      <c r="H1611" s="448"/>
      <c r="I1611" s="448"/>
      <c r="J1611" s="448"/>
      <c r="K1611" s="448"/>
      <c r="L1611" s="448"/>
      <c r="M1611" s="448"/>
    </row>
    <row r="1612" spans="2:13" ht="15.75">
      <c r="B1612" s="450" t="s">
        <v>2</v>
      </c>
      <c r="C1612" s="451" t="s">
        <v>3</v>
      </c>
      <c r="D1612" s="451" t="s">
        <v>4</v>
      </c>
      <c r="E1612" s="451" t="s">
        <v>5</v>
      </c>
      <c r="F1612" s="451" t="s">
        <v>6</v>
      </c>
      <c r="G1612" s="451" t="s">
        <v>7</v>
      </c>
      <c r="H1612" s="451" t="s">
        <v>8</v>
      </c>
      <c r="I1612" s="451" t="s">
        <v>9</v>
      </c>
      <c r="J1612" s="451" t="s">
        <v>10</v>
      </c>
      <c r="K1612" s="451" t="s">
        <v>11</v>
      </c>
      <c r="L1612" s="451" t="s">
        <v>12</v>
      </c>
      <c r="M1612" s="450" t="s">
        <v>13</v>
      </c>
    </row>
    <row r="1613" spans="2:13" ht="15.75">
      <c r="B1613" s="452" t="s">
        <v>14</v>
      </c>
      <c r="C1613" s="463">
        <f>920*2</f>
        <v>1840</v>
      </c>
      <c r="D1613" s="464">
        <f>690*2</f>
        <v>1380</v>
      </c>
      <c r="E1613" s="464">
        <f>517*2</f>
        <v>1034</v>
      </c>
      <c r="F1613" s="464">
        <f>388*2</f>
        <v>776</v>
      </c>
      <c r="G1613" s="464">
        <f>291*2</f>
        <v>582</v>
      </c>
      <c r="H1613" s="464">
        <f>218*2</f>
        <v>436</v>
      </c>
      <c r="I1613" s="464">
        <f>164*2</f>
        <v>328</v>
      </c>
      <c r="J1613" s="464">
        <f>123*2</f>
        <v>246</v>
      </c>
      <c r="K1613" s="464">
        <f>92*2</f>
        <v>184</v>
      </c>
      <c r="L1613" s="464">
        <f>69*2</f>
        <v>138</v>
      </c>
      <c r="M1613" s="465">
        <f>52*2</f>
        <v>104</v>
      </c>
    </row>
    <row r="1614" spans="2:13" ht="15.75">
      <c r="B1614" s="452" t="s">
        <v>15</v>
      </c>
      <c r="C1614" s="464">
        <f>680*2</f>
        <v>1360</v>
      </c>
      <c r="D1614" s="464">
        <f>510*2</f>
        <v>1020</v>
      </c>
      <c r="E1614" s="464">
        <f>383*2</f>
        <v>766</v>
      </c>
      <c r="F1614" s="464">
        <f>287*2</f>
        <v>574</v>
      </c>
      <c r="G1614" s="464">
        <f>215*2</f>
        <v>430</v>
      </c>
      <c r="H1614" s="464">
        <f>161*2</f>
        <v>322</v>
      </c>
      <c r="I1614" s="464">
        <f>121*2</f>
        <v>242</v>
      </c>
      <c r="J1614" s="464">
        <f>91*2</f>
        <v>182</v>
      </c>
      <c r="K1614" s="464">
        <f>68*2</f>
        <v>136</v>
      </c>
      <c r="L1614" s="464">
        <f>51*2</f>
        <v>102</v>
      </c>
      <c r="M1614" s="465">
        <f>38*2</f>
        <v>76</v>
      </c>
    </row>
    <row r="1615" spans="2:13" ht="15.75">
      <c r="B1615" s="452" t="s">
        <v>16</v>
      </c>
      <c r="C1615" s="464">
        <f>408*2</f>
        <v>816</v>
      </c>
      <c r="D1615" s="464">
        <f>306*2</f>
        <v>612</v>
      </c>
      <c r="E1615" s="464">
        <f>230*2</f>
        <v>460</v>
      </c>
      <c r="F1615" s="464">
        <f>172*2</f>
        <v>344</v>
      </c>
      <c r="G1615" s="464">
        <f>129*2</f>
        <v>258</v>
      </c>
      <c r="H1615" s="464">
        <f>97*2</f>
        <v>194</v>
      </c>
      <c r="I1615" s="464">
        <f>73*2</f>
        <v>146</v>
      </c>
      <c r="J1615" s="464">
        <f>54*2</f>
        <v>108</v>
      </c>
      <c r="K1615" s="464">
        <f>41*2</f>
        <v>82</v>
      </c>
      <c r="L1615" s="464">
        <f>31*2</f>
        <v>62</v>
      </c>
      <c r="M1615" s="465">
        <f>23*2</f>
        <v>46</v>
      </c>
    </row>
    <row r="1616" spans="2:13" ht="15.75">
      <c r="B1616" s="452" t="s">
        <v>17</v>
      </c>
      <c r="C1616" s="456" t="s">
        <v>18</v>
      </c>
      <c r="D1616" s="457"/>
      <c r="E1616" s="457"/>
      <c r="F1616" s="457"/>
      <c r="G1616" s="457"/>
      <c r="H1616" s="457"/>
      <c r="I1616" s="457"/>
      <c r="J1616" s="457"/>
      <c r="K1616" s="457"/>
      <c r="L1616" s="457"/>
      <c r="M1616" s="458"/>
    </row>
    <row r="1617" spans="2:13" ht="15.75">
      <c r="B1617" s="466"/>
      <c r="C1617" s="468"/>
      <c r="D1617" s="468"/>
      <c r="E1617" s="468"/>
      <c r="F1617" s="468"/>
      <c r="G1617" s="468"/>
      <c r="H1617" s="468"/>
      <c r="I1617" s="468"/>
      <c r="J1617" s="468"/>
      <c r="K1617" s="468"/>
      <c r="L1617" s="468"/>
      <c r="M1617" s="468"/>
    </row>
    <row r="1618" spans="2:13" ht="15.75">
      <c r="B1618" s="447" t="s">
        <v>140</v>
      </c>
      <c r="C1618" s="447"/>
      <c r="D1618" s="447"/>
      <c r="E1618" s="447"/>
      <c r="F1618" s="448"/>
      <c r="G1618" s="448"/>
      <c r="H1618" s="448"/>
      <c r="I1618" s="448"/>
      <c r="J1618" s="448"/>
      <c r="K1618" s="448"/>
      <c r="L1618" s="448"/>
      <c r="M1618" s="448"/>
    </row>
    <row r="1619" spans="2:13" ht="15.75">
      <c r="B1619" s="449" t="s">
        <v>39</v>
      </c>
      <c r="C1619" s="449"/>
      <c r="D1619" s="449"/>
      <c r="E1619" s="449"/>
      <c r="F1619" s="448"/>
      <c r="G1619" s="448"/>
      <c r="H1619" s="448"/>
      <c r="I1619" s="448"/>
      <c r="J1619" s="448"/>
      <c r="K1619" s="448"/>
      <c r="L1619" s="448"/>
      <c r="M1619" s="448"/>
    </row>
    <row r="1620" spans="2:13" ht="15.75">
      <c r="B1620" s="450" t="s">
        <v>2</v>
      </c>
      <c r="C1620" s="450" t="s">
        <v>3</v>
      </c>
      <c r="D1620" s="450" t="s">
        <v>4</v>
      </c>
      <c r="E1620" s="450" t="s">
        <v>5</v>
      </c>
      <c r="F1620" s="450" t="s">
        <v>6</v>
      </c>
      <c r="G1620" s="450" t="s">
        <v>7</v>
      </c>
      <c r="H1620" s="450" t="s">
        <v>8</v>
      </c>
      <c r="I1620" s="450" t="s">
        <v>9</v>
      </c>
      <c r="J1620" s="450" t="s">
        <v>10</v>
      </c>
      <c r="K1620" s="450" t="s">
        <v>11</v>
      </c>
      <c r="L1620" s="450" t="s">
        <v>12</v>
      </c>
      <c r="M1620" s="450" t="s">
        <v>13</v>
      </c>
    </row>
    <row r="1621" spans="2:13" ht="15.75">
      <c r="B1621" s="471" t="s">
        <v>14</v>
      </c>
      <c r="C1621" s="472">
        <f>5125*2</f>
        <v>10250</v>
      </c>
      <c r="D1621" s="472">
        <f>4125*2</f>
        <v>8250</v>
      </c>
      <c r="E1621" s="472">
        <f>31325*2</f>
        <v>62650</v>
      </c>
      <c r="F1621" s="472">
        <f>2125*2</f>
        <v>4250</v>
      </c>
      <c r="G1621" s="472">
        <f>1125*2</f>
        <v>2250</v>
      </c>
      <c r="H1621" s="472">
        <f>725*2</f>
        <v>1450</v>
      </c>
      <c r="I1621" s="472">
        <f>525*2</f>
        <v>1050</v>
      </c>
      <c r="J1621" s="472">
        <f>325*2</f>
        <v>650</v>
      </c>
      <c r="K1621" s="472">
        <f>115*2</f>
        <v>230</v>
      </c>
      <c r="L1621" s="472">
        <f>125*2</f>
        <v>250</v>
      </c>
      <c r="M1621" s="472">
        <f>75*2</f>
        <v>150</v>
      </c>
    </row>
    <row r="1622" spans="2:13" ht="15.75">
      <c r="B1622" s="471" t="s">
        <v>15</v>
      </c>
      <c r="C1622" s="472">
        <f>4125*2</f>
        <v>8250</v>
      </c>
      <c r="D1622" s="472">
        <f>3125*2</f>
        <v>6250</v>
      </c>
      <c r="E1622" s="472">
        <f>2125*2</f>
        <v>4250</v>
      </c>
      <c r="F1622" s="472">
        <f>1125*2</f>
        <v>2250</v>
      </c>
      <c r="G1622" s="472">
        <f>725*2</f>
        <v>1450</v>
      </c>
      <c r="H1622" s="472">
        <f>525*2</f>
        <v>1050</v>
      </c>
      <c r="I1622" s="472">
        <f>325*2</f>
        <v>650</v>
      </c>
      <c r="J1622" s="472">
        <f>225*2</f>
        <v>450</v>
      </c>
      <c r="K1622" s="472">
        <f>125*2</f>
        <v>250</v>
      </c>
      <c r="L1622" s="472">
        <f>75*2</f>
        <v>150</v>
      </c>
      <c r="M1622" s="472">
        <f>50*2</f>
        <v>100</v>
      </c>
    </row>
    <row r="1623" spans="2:13" ht="15.75">
      <c r="B1623" s="471" t="s">
        <v>16</v>
      </c>
      <c r="C1623" s="472">
        <f>3125*2</f>
        <v>6250</v>
      </c>
      <c r="D1623" s="472">
        <f>2125*2</f>
        <v>4250</v>
      </c>
      <c r="E1623" s="472">
        <f>1125*2</f>
        <v>2250</v>
      </c>
      <c r="F1623" s="472">
        <f>725*2</f>
        <v>1450</v>
      </c>
      <c r="G1623" s="472">
        <f>525*2</f>
        <v>1050</v>
      </c>
      <c r="H1623" s="472">
        <f>325*2</f>
        <v>650</v>
      </c>
      <c r="I1623" s="472">
        <f>225*2</f>
        <v>450</v>
      </c>
      <c r="J1623" s="472">
        <f>125*2</f>
        <v>250</v>
      </c>
      <c r="K1623" s="472">
        <f>75*2</f>
        <v>150</v>
      </c>
      <c r="L1623" s="472">
        <f>50*2</f>
        <v>100</v>
      </c>
      <c r="M1623" s="472">
        <f>40*2</f>
        <v>80</v>
      </c>
    </row>
    <row r="1624" spans="2:13" ht="15.75">
      <c r="B1624" s="471" t="s">
        <v>17</v>
      </c>
      <c r="C1624" s="472">
        <f>2125*2</f>
        <v>4250</v>
      </c>
      <c r="D1624" s="472">
        <f>1125*2</f>
        <v>2250</v>
      </c>
      <c r="E1624" s="472">
        <f>725*2</f>
        <v>1450</v>
      </c>
      <c r="F1624" s="472">
        <f>526*2</f>
        <v>1052</v>
      </c>
      <c r="G1624" s="472">
        <f>325*2</f>
        <v>650</v>
      </c>
      <c r="H1624" s="472">
        <f>225*2</f>
        <v>450</v>
      </c>
      <c r="I1624" s="472">
        <f>125*2</f>
        <v>250</v>
      </c>
      <c r="J1624" s="472">
        <f>75*2</f>
        <v>150</v>
      </c>
      <c r="K1624" s="472">
        <f>50*2</f>
        <v>100</v>
      </c>
      <c r="L1624" s="472">
        <f>40*2</f>
        <v>80</v>
      </c>
      <c r="M1624" s="472">
        <f>25*2</f>
        <v>50</v>
      </c>
    </row>
    <row r="1625" spans="2:13" ht="15.75">
      <c r="B1625" s="462"/>
      <c r="C1625" s="462"/>
      <c r="D1625" s="462"/>
      <c r="E1625" s="462"/>
      <c r="F1625" s="448"/>
      <c r="G1625" s="448"/>
      <c r="H1625" s="448"/>
      <c r="I1625" s="448"/>
      <c r="J1625" s="448"/>
      <c r="K1625" s="448"/>
      <c r="L1625" s="448"/>
      <c r="M1625" s="448"/>
    </row>
    <row r="1626" spans="2:13" ht="15.75">
      <c r="B1626" s="449" t="s">
        <v>19</v>
      </c>
      <c r="C1626" s="449"/>
      <c r="D1626" s="449"/>
      <c r="E1626" s="449"/>
      <c r="F1626" s="448"/>
      <c r="G1626" s="448"/>
      <c r="H1626" s="448"/>
      <c r="I1626" s="448"/>
      <c r="J1626" s="448"/>
      <c r="K1626" s="448"/>
      <c r="L1626" s="448"/>
      <c r="M1626" s="448"/>
    </row>
    <row r="1627" spans="2:13" ht="15.75">
      <c r="B1627" s="450" t="s">
        <v>2</v>
      </c>
      <c r="C1627" s="450" t="s">
        <v>3</v>
      </c>
      <c r="D1627" s="450" t="s">
        <v>4</v>
      </c>
      <c r="E1627" s="450" t="s">
        <v>5</v>
      </c>
      <c r="F1627" s="450" t="s">
        <v>6</v>
      </c>
      <c r="G1627" s="450" t="s">
        <v>7</v>
      </c>
      <c r="H1627" s="450" t="s">
        <v>8</v>
      </c>
      <c r="I1627" s="450" t="s">
        <v>9</v>
      </c>
      <c r="J1627" s="450" t="s">
        <v>10</v>
      </c>
      <c r="K1627" s="450" t="s">
        <v>11</v>
      </c>
      <c r="L1627" s="450" t="s">
        <v>12</v>
      </c>
      <c r="M1627" s="450" t="s">
        <v>13</v>
      </c>
    </row>
    <row r="1628" spans="2:13" ht="15.75">
      <c r="B1628" s="471" t="s">
        <v>14</v>
      </c>
      <c r="C1628" s="472">
        <f>6000*2</f>
        <v>12000</v>
      </c>
      <c r="D1628" s="472">
        <f>5000*2</f>
        <v>10000</v>
      </c>
      <c r="E1628" s="472">
        <f>4000*2</f>
        <v>8000</v>
      </c>
      <c r="F1628" s="472">
        <f>3000*2</f>
        <v>6000</v>
      </c>
      <c r="G1628" s="472">
        <f>2000*2</f>
        <v>4000</v>
      </c>
      <c r="H1628" s="472">
        <f>1500*2</f>
        <v>3000</v>
      </c>
      <c r="I1628" s="472">
        <f>1000*2</f>
        <v>2000</v>
      </c>
      <c r="J1628" s="472">
        <f>500*2</f>
        <v>1000</v>
      </c>
      <c r="K1628" s="472">
        <f>300*2</f>
        <v>600</v>
      </c>
      <c r="L1628" s="472">
        <f>200*2</f>
        <v>400</v>
      </c>
      <c r="M1628" s="472">
        <f>100*2</f>
        <v>200</v>
      </c>
    </row>
    <row r="1629" spans="2:13" ht="15.75">
      <c r="B1629" s="471" t="s">
        <v>15</v>
      </c>
      <c r="C1629" s="472">
        <f>5000*2</f>
        <v>10000</v>
      </c>
      <c r="D1629" s="472">
        <f>4000*2</f>
        <v>8000</v>
      </c>
      <c r="E1629" s="472">
        <f>3000*2</f>
        <v>6000</v>
      </c>
      <c r="F1629" s="472">
        <f>2000*2</f>
        <v>4000</v>
      </c>
      <c r="G1629" s="472">
        <f>1500*2</f>
        <v>3000</v>
      </c>
      <c r="H1629" s="472">
        <f>1000*2</f>
        <v>2000</v>
      </c>
      <c r="I1629" s="472">
        <f>500*2</f>
        <v>1000</v>
      </c>
      <c r="J1629" s="472">
        <f>300*2</f>
        <v>600</v>
      </c>
      <c r="K1629" s="472">
        <f>200*2</f>
        <v>400</v>
      </c>
      <c r="L1629" s="472">
        <f>100*2</f>
        <v>200</v>
      </c>
      <c r="M1629" s="472">
        <f>75*2</f>
        <v>150</v>
      </c>
    </row>
    <row r="1630" spans="2:13" ht="15.75">
      <c r="B1630" s="471" t="s">
        <v>16</v>
      </c>
      <c r="C1630" s="472">
        <f>4000*2</f>
        <v>8000</v>
      </c>
      <c r="D1630" s="472">
        <f>3000*2</f>
        <v>6000</v>
      </c>
      <c r="E1630" s="472">
        <f>2000*2</f>
        <v>4000</v>
      </c>
      <c r="F1630" s="472">
        <f>1500*2</f>
        <v>3000</v>
      </c>
      <c r="G1630" s="472">
        <f>1000*2</f>
        <v>2000</v>
      </c>
      <c r="H1630" s="472">
        <f>500*2</f>
        <v>1000</v>
      </c>
      <c r="I1630" s="472">
        <f>300*2</f>
        <v>600</v>
      </c>
      <c r="J1630" s="472">
        <f>200*2</f>
        <v>400</v>
      </c>
      <c r="K1630" s="472">
        <f>100*2</f>
        <v>200</v>
      </c>
      <c r="L1630" s="472">
        <f>75*2</f>
        <v>150</v>
      </c>
      <c r="M1630" s="472">
        <f>40*2</f>
        <v>80</v>
      </c>
    </row>
    <row r="1631" spans="2:13" ht="15.75">
      <c r="B1631" s="471" t="s">
        <v>17</v>
      </c>
      <c r="C1631" s="472">
        <f>3000*2</f>
        <v>6000</v>
      </c>
      <c r="D1631" s="472">
        <f>2000*2</f>
        <v>4000</v>
      </c>
      <c r="E1631" s="472">
        <f>1500*2</f>
        <v>3000</v>
      </c>
      <c r="F1631" s="472">
        <f>1000*2</f>
        <v>2000</v>
      </c>
      <c r="G1631" s="472">
        <f>500*2</f>
        <v>1000</v>
      </c>
      <c r="H1631" s="472">
        <f>300*2</f>
        <v>600</v>
      </c>
      <c r="I1631" s="472">
        <f>200*2</f>
        <v>400</v>
      </c>
      <c r="J1631" s="472">
        <f>100*2</f>
        <v>200</v>
      </c>
      <c r="K1631" s="472">
        <f>75*2</f>
        <v>150</v>
      </c>
      <c r="L1631" s="472">
        <f>40*2</f>
        <v>80</v>
      </c>
      <c r="M1631" s="472">
        <f>25*2</f>
        <v>50</v>
      </c>
    </row>
    <row r="1632" spans="2:13" ht="15.75">
      <c r="B1632" s="466"/>
      <c r="C1632" s="468"/>
      <c r="D1632" s="468"/>
      <c r="E1632" s="468"/>
      <c r="F1632" s="468"/>
      <c r="G1632" s="468"/>
      <c r="H1632" s="468"/>
      <c r="I1632" s="468"/>
      <c r="J1632" s="468"/>
      <c r="K1632" s="468"/>
      <c r="L1632" s="468"/>
      <c r="M1632" s="468"/>
    </row>
    <row r="1633" spans="2:13" ht="15.75">
      <c r="B1633" s="466"/>
      <c r="C1633" s="468"/>
      <c r="D1633" s="468"/>
      <c r="E1633" s="468"/>
      <c r="F1633" s="468"/>
      <c r="G1633" s="468"/>
      <c r="H1633" s="468"/>
      <c r="I1633" s="468"/>
      <c r="J1633" s="468"/>
      <c r="K1633" s="468"/>
      <c r="L1633" s="468"/>
      <c r="M1633" s="468"/>
    </row>
    <row r="1634" spans="2:13" ht="15.75">
      <c r="B1634" s="466"/>
      <c r="C1634" s="468"/>
      <c r="D1634" s="468"/>
      <c r="E1634" s="468"/>
      <c r="F1634" s="468"/>
      <c r="G1634" s="468"/>
      <c r="H1634" s="468"/>
      <c r="I1634" s="468"/>
      <c r="J1634" s="468"/>
      <c r="K1634" s="468"/>
      <c r="L1634" s="468"/>
      <c r="M1634" s="468"/>
    </row>
    <row r="1635" spans="2:13" ht="15.75">
      <c r="B1635" s="447" t="s">
        <v>141</v>
      </c>
      <c r="C1635" s="447"/>
      <c r="D1635" s="447"/>
      <c r="E1635" s="447"/>
      <c r="F1635" s="448"/>
      <c r="G1635" s="448"/>
      <c r="H1635" s="448"/>
      <c r="I1635" s="448"/>
      <c r="J1635" s="448"/>
      <c r="K1635" s="448"/>
      <c r="L1635" s="448"/>
      <c r="M1635" s="448"/>
    </row>
    <row r="1636" spans="2:13" ht="15.75">
      <c r="B1636" s="449" t="s">
        <v>39</v>
      </c>
      <c r="C1636" s="449"/>
      <c r="D1636" s="449"/>
      <c r="E1636" s="449"/>
      <c r="F1636" s="448"/>
      <c r="G1636" s="448"/>
      <c r="H1636" s="448"/>
      <c r="I1636" s="448"/>
      <c r="J1636" s="448"/>
      <c r="K1636" s="448"/>
      <c r="L1636" s="448"/>
      <c r="M1636" s="448"/>
    </row>
    <row r="1637" spans="2:13" ht="15.75">
      <c r="B1637" s="450" t="s">
        <v>2</v>
      </c>
      <c r="C1637" s="450" t="s">
        <v>3</v>
      </c>
      <c r="D1637" s="450" t="s">
        <v>4</v>
      </c>
      <c r="E1637" s="450" t="s">
        <v>5</v>
      </c>
      <c r="F1637" s="450" t="s">
        <v>6</v>
      </c>
      <c r="G1637" s="450" t="s">
        <v>7</v>
      </c>
      <c r="H1637" s="450" t="s">
        <v>8</v>
      </c>
      <c r="I1637" s="450" t="s">
        <v>9</v>
      </c>
      <c r="J1637" s="450" t="s">
        <v>10</v>
      </c>
      <c r="K1637" s="450" t="s">
        <v>11</v>
      </c>
      <c r="L1637" s="450" t="s">
        <v>12</v>
      </c>
      <c r="M1637" s="450" t="s">
        <v>13</v>
      </c>
    </row>
    <row r="1638" spans="2:13" ht="15.75">
      <c r="B1638" s="471" t="s">
        <v>14</v>
      </c>
      <c r="C1638" s="472">
        <f>5125*2.5</f>
        <v>12812.5</v>
      </c>
      <c r="D1638" s="472">
        <f>4125*2.5</f>
        <v>10312.5</v>
      </c>
      <c r="E1638" s="472">
        <v>7812.5</v>
      </c>
      <c r="F1638" s="472">
        <f>2125*2.5</f>
        <v>5312.5</v>
      </c>
      <c r="G1638" s="472">
        <f>1125*2.5</f>
        <v>2812.5</v>
      </c>
      <c r="H1638" s="472">
        <f>725*2.5</f>
        <v>1812.5</v>
      </c>
      <c r="I1638" s="472">
        <f>525*2.5</f>
        <v>1312.5</v>
      </c>
      <c r="J1638" s="472">
        <f>325*2.5</f>
        <v>812.5</v>
      </c>
      <c r="K1638" s="472">
        <f>115*2.5</f>
        <v>287.5</v>
      </c>
      <c r="L1638" s="472">
        <f>125*2.5</f>
        <v>312.5</v>
      </c>
      <c r="M1638" s="472">
        <f>75*2.5</f>
        <v>187.5</v>
      </c>
    </row>
    <row r="1639" spans="2:13" ht="15.75">
      <c r="B1639" s="471" t="s">
        <v>15</v>
      </c>
      <c r="C1639" s="472">
        <f>4125*2.5</f>
        <v>10312.5</v>
      </c>
      <c r="D1639" s="472">
        <f>3125*2.5</f>
        <v>7812.5</v>
      </c>
      <c r="E1639" s="472">
        <f>2125*2.5</f>
        <v>5312.5</v>
      </c>
      <c r="F1639" s="472">
        <f>1125*2.5</f>
        <v>2812.5</v>
      </c>
      <c r="G1639" s="472">
        <f>725*2.5</f>
        <v>1812.5</v>
      </c>
      <c r="H1639" s="472">
        <f>525*2.5</f>
        <v>1312.5</v>
      </c>
      <c r="I1639" s="472">
        <f>325*2.5</f>
        <v>812.5</v>
      </c>
      <c r="J1639" s="472">
        <f>225*2.5</f>
        <v>562.5</v>
      </c>
      <c r="K1639" s="472">
        <f>125*2.5</f>
        <v>312.5</v>
      </c>
      <c r="L1639" s="472">
        <f>75*2.5</f>
        <v>187.5</v>
      </c>
      <c r="M1639" s="472">
        <f>50*2.5</f>
        <v>125</v>
      </c>
    </row>
    <row r="1640" spans="2:13" ht="15.75">
      <c r="B1640" s="471" t="s">
        <v>16</v>
      </c>
      <c r="C1640" s="472">
        <f>3125*2.5</f>
        <v>7812.5</v>
      </c>
      <c r="D1640" s="472">
        <f>2125*2.5</f>
        <v>5312.5</v>
      </c>
      <c r="E1640" s="472">
        <f>1125*2.5</f>
        <v>2812.5</v>
      </c>
      <c r="F1640" s="472">
        <f>725*2.5</f>
        <v>1812.5</v>
      </c>
      <c r="G1640" s="472">
        <f>525*2.5</f>
        <v>1312.5</v>
      </c>
      <c r="H1640" s="472">
        <f>325*2.5</f>
        <v>812.5</v>
      </c>
      <c r="I1640" s="472">
        <f>225*2.5</f>
        <v>562.5</v>
      </c>
      <c r="J1640" s="472">
        <f>125*2.5</f>
        <v>312.5</v>
      </c>
      <c r="K1640" s="472">
        <f>75*2.5</f>
        <v>187.5</v>
      </c>
      <c r="L1640" s="472">
        <f>50*2.5</f>
        <v>125</v>
      </c>
      <c r="M1640" s="472">
        <f>40*2.5</f>
        <v>100</v>
      </c>
    </row>
    <row r="1641" spans="2:13" ht="15.75">
      <c r="B1641" s="471" t="s">
        <v>17</v>
      </c>
      <c r="C1641" s="472">
        <f>2125*2.5</f>
        <v>5312.5</v>
      </c>
      <c r="D1641" s="472">
        <f>1125*2.5</f>
        <v>2812.5</v>
      </c>
      <c r="E1641" s="472">
        <f>725*2.5</f>
        <v>1812.5</v>
      </c>
      <c r="F1641" s="472">
        <f>526*2.5</f>
        <v>1315</v>
      </c>
      <c r="G1641" s="472">
        <f>325*2.5</f>
        <v>812.5</v>
      </c>
      <c r="H1641" s="472">
        <f>225*2.5</f>
        <v>562.5</v>
      </c>
      <c r="I1641" s="472">
        <f>125*2.5</f>
        <v>312.5</v>
      </c>
      <c r="J1641" s="472">
        <f>75*2.5</f>
        <v>187.5</v>
      </c>
      <c r="K1641" s="472">
        <f>50*2.5</f>
        <v>125</v>
      </c>
      <c r="L1641" s="472">
        <f>40*2.5</f>
        <v>100</v>
      </c>
      <c r="M1641" s="472">
        <f>25*2.5</f>
        <v>62.5</v>
      </c>
    </row>
    <row r="1642" spans="2:13" ht="15.75">
      <c r="B1642" s="462"/>
      <c r="C1642" s="462"/>
      <c r="D1642" s="462"/>
      <c r="E1642" s="462"/>
      <c r="F1642" s="448"/>
      <c r="G1642" s="448"/>
      <c r="H1642" s="448"/>
      <c r="I1642" s="448"/>
      <c r="J1642" s="448"/>
      <c r="K1642" s="448"/>
      <c r="L1642" s="448"/>
      <c r="M1642" s="448"/>
    </row>
    <row r="1643" spans="2:13" ht="15.75">
      <c r="B1643" s="449" t="s">
        <v>19</v>
      </c>
      <c r="C1643" s="449"/>
      <c r="D1643" s="449"/>
      <c r="E1643" s="449"/>
      <c r="F1643" s="448"/>
      <c r="G1643" s="448"/>
      <c r="H1643" s="448"/>
      <c r="I1643" s="448"/>
      <c r="J1643" s="448"/>
      <c r="K1643" s="448"/>
      <c r="L1643" s="448"/>
      <c r="M1643" s="448"/>
    </row>
    <row r="1644" spans="2:13" ht="15.75">
      <c r="B1644" s="450" t="s">
        <v>2</v>
      </c>
      <c r="C1644" s="450" t="s">
        <v>3</v>
      </c>
      <c r="D1644" s="450" t="s">
        <v>4</v>
      </c>
      <c r="E1644" s="450" t="s">
        <v>5</v>
      </c>
      <c r="F1644" s="450" t="s">
        <v>6</v>
      </c>
      <c r="G1644" s="450" t="s">
        <v>7</v>
      </c>
      <c r="H1644" s="450" t="s">
        <v>8</v>
      </c>
      <c r="I1644" s="450" t="s">
        <v>9</v>
      </c>
      <c r="J1644" s="450" t="s">
        <v>10</v>
      </c>
      <c r="K1644" s="450" t="s">
        <v>11</v>
      </c>
      <c r="L1644" s="450" t="s">
        <v>12</v>
      </c>
      <c r="M1644" s="450" t="s">
        <v>13</v>
      </c>
    </row>
    <row r="1645" spans="2:13" ht="15.75">
      <c r="B1645" s="471" t="s">
        <v>14</v>
      </c>
      <c r="C1645" s="472">
        <f>6000*2.5</f>
        <v>15000</v>
      </c>
      <c r="D1645" s="472">
        <f>5000*2.5</f>
        <v>12500</v>
      </c>
      <c r="E1645" s="472">
        <f>4000*2.5</f>
        <v>10000</v>
      </c>
      <c r="F1645" s="472">
        <f>3000*2.5</f>
        <v>7500</v>
      </c>
      <c r="G1645" s="472">
        <f>2000*2.5</f>
        <v>5000</v>
      </c>
      <c r="H1645" s="472">
        <f>1500*2.5</f>
        <v>3750</v>
      </c>
      <c r="I1645" s="472">
        <f>1000*2.5</f>
        <v>2500</v>
      </c>
      <c r="J1645" s="472">
        <f>500*2.5</f>
        <v>1250</v>
      </c>
      <c r="K1645" s="472">
        <f>300*2.5</f>
        <v>750</v>
      </c>
      <c r="L1645" s="472">
        <f>200*2.5</f>
        <v>500</v>
      </c>
      <c r="M1645" s="472">
        <f>100*2.5</f>
        <v>250</v>
      </c>
    </row>
    <row r="1646" spans="2:13" ht="15.75">
      <c r="B1646" s="471" t="s">
        <v>15</v>
      </c>
      <c r="C1646" s="472">
        <f>5000*2.5</f>
        <v>12500</v>
      </c>
      <c r="D1646" s="472">
        <f>4000*2.5</f>
        <v>10000</v>
      </c>
      <c r="E1646" s="472">
        <f>3000*2.5</f>
        <v>7500</v>
      </c>
      <c r="F1646" s="472">
        <f>2000*2.5</f>
        <v>5000</v>
      </c>
      <c r="G1646" s="472">
        <f>1500*2.5</f>
        <v>3750</v>
      </c>
      <c r="H1646" s="472">
        <f>1000*2.5</f>
        <v>2500</v>
      </c>
      <c r="I1646" s="472">
        <f>500*2.5</f>
        <v>1250</v>
      </c>
      <c r="J1646" s="472">
        <f>300*2.5</f>
        <v>750</v>
      </c>
      <c r="K1646" s="472">
        <f>200*2.5</f>
        <v>500</v>
      </c>
      <c r="L1646" s="472">
        <f>100*2.5</f>
        <v>250</v>
      </c>
      <c r="M1646" s="472">
        <f>75*2.5</f>
        <v>187.5</v>
      </c>
    </row>
    <row r="1647" spans="2:13" ht="15.75">
      <c r="B1647" s="471" t="s">
        <v>16</v>
      </c>
      <c r="C1647" s="472">
        <f>4000*2.5</f>
        <v>10000</v>
      </c>
      <c r="D1647" s="472">
        <f>3000*2.5</f>
        <v>7500</v>
      </c>
      <c r="E1647" s="472">
        <f>2000*2.5</f>
        <v>5000</v>
      </c>
      <c r="F1647" s="472">
        <f>1500*2.5</f>
        <v>3750</v>
      </c>
      <c r="G1647" s="472">
        <f>1000*2.5</f>
        <v>2500</v>
      </c>
      <c r="H1647" s="472">
        <f>500*2.5</f>
        <v>1250</v>
      </c>
      <c r="I1647" s="472">
        <f>300*2.5</f>
        <v>750</v>
      </c>
      <c r="J1647" s="472">
        <f>200*2.5</f>
        <v>500</v>
      </c>
      <c r="K1647" s="472">
        <f>100*2.5</f>
        <v>250</v>
      </c>
      <c r="L1647" s="472">
        <f>75*2.5</f>
        <v>187.5</v>
      </c>
      <c r="M1647" s="472">
        <f>40*2.5</f>
        <v>100</v>
      </c>
    </row>
    <row r="1648" spans="2:13" ht="15.75">
      <c r="B1648" s="471" t="s">
        <v>17</v>
      </c>
      <c r="C1648" s="472">
        <f>3000*2.5</f>
        <v>7500</v>
      </c>
      <c r="D1648" s="472">
        <f>2000*2.5</f>
        <v>5000</v>
      </c>
      <c r="E1648" s="472">
        <f>1500*2.5</f>
        <v>3750</v>
      </c>
      <c r="F1648" s="472">
        <f>1000*2.5</f>
        <v>2500</v>
      </c>
      <c r="G1648" s="472">
        <f>500*2.5</f>
        <v>1250</v>
      </c>
      <c r="H1648" s="472">
        <f>300*2.5</f>
        <v>750</v>
      </c>
      <c r="I1648" s="472">
        <f>200*2.5</f>
        <v>500</v>
      </c>
      <c r="J1648" s="472">
        <f>100*2.5</f>
        <v>250</v>
      </c>
      <c r="K1648" s="472">
        <f>75*2.5</f>
        <v>187.5</v>
      </c>
      <c r="L1648" s="472">
        <f>40*2.5</f>
        <v>100</v>
      </c>
      <c r="M1648" s="472">
        <f>25*2.5</f>
        <v>62.5</v>
      </c>
    </row>
    <row r="1649" spans="2:13" ht="15.75">
      <c r="B1649" s="466"/>
      <c r="C1649" s="468"/>
      <c r="D1649" s="468"/>
      <c r="E1649" s="468"/>
      <c r="F1649" s="468"/>
      <c r="G1649" s="468"/>
      <c r="H1649" s="468"/>
      <c r="I1649" s="468"/>
      <c r="J1649" s="468"/>
      <c r="K1649" s="468"/>
      <c r="L1649" s="468"/>
      <c r="M1649" s="468"/>
    </row>
    <row r="1650" spans="2:13" ht="15.75">
      <c r="B1650" s="466"/>
      <c r="C1650" s="468"/>
      <c r="D1650" s="468"/>
      <c r="E1650" s="468"/>
      <c r="F1650" s="468"/>
      <c r="G1650" s="468"/>
      <c r="H1650" s="468"/>
      <c r="I1650" s="468"/>
      <c r="J1650" s="468"/>
      <c r="K1650" s="468"/>
      <c r="L1650" s="468"/>
      <c r="M1650" s="468"/>
    </row>
    <row r="1651" spans="2:13" ht="15.75">
      <c r="B1651" s="447" t="s">
        <v>142</v>
      </c>
      <c r="C1651" s="447"/>
      <c r="D1651" s="447"/>
      <c r="E1651" s="447"/>
      <c r="F1651" s="448"/>
      <c r="G1651" s="448"/>
      <c r="H1651" s="448"/>
      <c r="I1651" s="448"/>
      <c r="J1651" s="448"/>
      <c r="K1651" s="448"/>
      <c r="L1651" s="448"/>
      <c r="M1651" s="448"/>
    </row>
    <row r="1652" spans="2:13" ht="15.75">
      <c r="B1652" s="449" t="s">
        <v>39</v>
      </c>
      <c r="C1652" s="449"/>
      <c r="D1652" s="449"/>
      <c r="E1652" s="449"/>
      <c r="F1652" s="448"/>
      <c r="G1652" s="448"/>
      <c r="H1652" s="448"/>
      <c r="I1652" s="448"/>
      <c r="J1652" s="448"/>
      <c r="K1652" s="448"/>
      <c r="L1652" s="448"/>
      <c r="M1652" s="448"/>
    </row>
    <row r="1653" spans="2:13" ht="15.75">
      <c r="B1653" s="450" t="s">
        <v>2</v>
      </c>
      <c r="C1653" s="451" t="s">
        <v>3</v>
      </c>
      <c r="D1653" s="451" t="s">
        <v>4</v>
      </c>
      <c r="E1653" s="451" t="s">
        <v>5</v>
      </c>
      <c r="F1653" s="451" t="s">
        <v>6</v>
      </c>
      <c r="G1653" s="451" t="s">
        <v>7</v>
      </c>
      <c r="H1653" s="451" t="s">
        <v>8</v>
      </c>
      <c r="I1653" s="451" t="s">
        <v>9</v>
      </c>
      <c r="J1653" s="451" t="s">
        <v>10</v>
      </c>
      <c r="K1653" s="451" t="s">
        <v>11</v>
      </c>
      <c r="L1653" s="451" t="s">
        <v>12</v>
      </c>
      <c r="M1653" s="450" t="s">
        <v>13</v>
      </c>
    </row>
    <row r="1654" spans="2:13" ht="15.75">
      <c r="B1654" s="452" t="s">
        <v>14</v>
      </c>
      <c r="C1654" s="453">
        <f>175*2</f>
        <v>350</v>
      </c>
      <c r="D1654" s="454">
        <f>131*2</f>
        <v>262</v>
      </c>
      <c r="E1654" s="454">
        <f>98*2</f>
        <v>196</v>
      </c>
      <c r="F1654" s="454">
        <f>74*2</f>
        <v>148</v>
      </c>
      <c r="G1654" s="454">
        <f>55*2</f>
        <v>110</v>
      </c>
      <c r="H1654" s="454">
        <f>41*2</f>
        <v>82</v>
      </c>
      <c r="I1654" s="454">
        <f>31*2</f>
        <v>62</v>
      </c>
      <c r="J1654" s="454">
        <f>24*2</f>
        <v>48</v>
      </c>
      <c r="K1654" s="454">
        <f>17*2</f>
        <v>34</v>
      </c>
      <c r="L1654" s="454">
        <f>13*2</f>
        <v>26</v>
      </c>
      <c r="M1654" s="454">
        <f>10*2</f>
        <v>20</v>
      </c>
    </row>
    <row r="1655" spans="2:13" ht="15.75">
      <c r="B1655" s="452" t="s">
        <v>15</v>
      </c>
      <c r="C1655" s="453"/>
      <c r="D1655" s="454"/>
      <c r="E1655" s="454"/>
      <c r="F1655" s="454"/>
      <c r="G1655" s="454"/>
      <c r="H1655" s="455"/>
      <c r="I1655" s="454"/>
      <c r="J1655" s="454"/>
      <c r="K1655" s="454"/>
      <c r="L1655" s="454"/>
      <c r="M1655" s="454"/>
    </row>
    <row r="1656" spans="2:13" ht="15.75">
      <c r="B1656" s="452" t="s">
        <v>16</v>
      </c>
      <c r="C1656" s="456" t="s">
        <v>18</v>
      </c>
      <c r="D1656" s="457"/>
      <c r="E1656" s="457"/>
      <c r="F1656" s="457"/>
      <c r="G1656" s="457"/>
      <c r="H1656" s="457"/>
      <c r="I1656" s="457"/>
      <c r="J1656" s="457"/>
      <c r="K1656" s="457"/>
      <c r="L1656" s="457"/>
      <c r="M1656" s="458"/>
    </row>
    <row r="1657" spans="2:13" ht="15.75">
      <c r="B1657" s="452" t="s">
        <v>17</v>
      </c>
      <c r="C1657" s="459" t="s">
        <v>18</v>
      </c>
      <c r="D1657" s="460"/>
      <c r="E1657" s="460"/>
      <c r="F1657" s="460"/>
      <c r="G1657" s="460"/>
      <c r="H1657" s="460"/>
      <c r="I1657" s="460"/>
      <c r="J1657" s="460"/>
      <c r="K1657" s="460"/>
      <c r="L1657" s="460"/>
      <c r="M1657" s="461"/>
    </row>
    <row r="1658" spans="2:13" ht="15.75">
      <c r="B1658" s="462"/>
      <c r="C1658" s="462"/>
      <c r="D1658" s="462"/>
      <c r="E1658" s="462"/>
      <c r="F1658" s="448"/>
      <c r="G1658" s="448"/>
      <c r="H1658" s="448"/>
      <c r="I1658" s="448"/>
      <c r="J1658" s="448"/>
      <c r="K1658" s="448"/>
      <c r="L1658" s="448"/>
      <c r="M1658" s="448"/>
    </row>
    <row r="1659" spans="2:13" ht="15.75">
      <c r="B1659" s="449" t="s">
        <v>19</v>
      </c>
      <c r="C1659" s="449"/>
      <c r="D1659" s="449"/>
      <c r="E1659" s="449"/>
      <c r="F1659" s="448"/>
      <c r="G1659" s="448"/>
      <c r="H1659" s="448"/>
      <c r="I1659" s="448"/>
      <c r="J1659" s="448"/>
      <c r="K1659" s="448"/>
      <c r="L1659" s="448"/>
      <c r="M1659" s="448"/>
    </row>
    <row r="1660" spans="2:13" ht="15.75">
      <c r="B1660" s="450" t="s">
        <v>2</v>
      </c>
      <c r="C1660" s="451" t="s">
        <v>3</v>
      </c>
      <c r="D1660" s="451" t="s">
        <v>4</v>
      </c>
      <c r="E1660" s="451" t="s">
        <v>5</v>
      </c>
      <c r="F1660" s="451" t="s">
        <v>6</v>
      </c>
      <c r="G1660" s="451" t="s">
        <v>7</v>
      </c>
      <c r="H1660" s="451" t="s">
        <v>8</v>
      </c>
      <c r="I1660" s="451" t="s">
        <v>9</v>
      </c>
      <c r="J1660" s="451" t="s">
        <v>10</v>
      </c>
      <c r="K1660" s="451" t="s">
        <v>11</v>
      </c>
      <c r="L1660" s="451" t="s">
        <v>12</v>
      </c>
      <c r="M1660" s="450" t="s">
        <v>13</v>
      </c>
    </row>
    <row r="1661" spans="2:13" ht="15.75">
      <c r="B1661" s="452" t="s">
        <v>14</v>
      </c>
      <c r="C1661" s="463">
        <f>759*2</f>
        <v>1518</v>
      </c>
      <c r="D1661" s="464">
        <f>570*2</f>
        <v>1140</v>
      </c>
      <c r="E1661" s="464">
        <f>427*2</f>
        <v>854</v>
      </c>
      <c r="F1661" s="464">
        <f>320*2</f>
        <v>640</v>
      </c>
      <c r="G1661" s="464">
        <f>240*2</f>
        <v>480</v>
      </c>
      <c r="H1661" s="464">
        <f>180*2</f>
        <v>360</v>
      </c>
      <c r="I1661" s="464">
        <f>135*2</f>
        <v>270</v>
      </c>
      <c r="J1661" s="464">
        <f>101*2</f>
        <v>202</v>
      </c>
      <c r="K1661" s="464">
        <f>76*2</f>
        <v>152</v>
      </c>
      <c r="L1661" s="464">
        <f>57*2</f>
        <v>114</v>
      </c>
      <c r="M1661" s="465">
        <f>43*2</f>
        <v>86</v>
      </c>
    </row>
    <row r="1662" spans="2:13" ht="15.75">
      <c r="B1662" s="452" t="s">
        <v>15</v>
      </c>
      <c r="C1662" s="463"/>
      <c r="D1662" s="464"/>
      <c r="E1662" s="464"/>
      <c r="F1662" s="464"/>
      <c r="G1662" s="464"/>
      <c r="H1662" s="464"/>
      <c r="I1662" s="464"/>
      <c r="J1662" s="464"/>
      <c r="K1662" s="464"/>
      <c r="L1662" s="464"/>
      <c r="M1662" s="465"/>
    </row>
    <row r="1663" spans="2:13" ht="15.75">
      <c r="B1663" s="452" t="s">
        <v>16</v>
      </c>
      <c r="C1663" s="456" t="s">
        <v>18</v>
      </c>
      <c r="D1663" s="457"/>
      <c r="E1663" s="457"/>
      <c r="F1663" s="457"/>
      <c r="G1663" s="457"/>
      <c r="H1663" s="457"/>
      <c r="I1663" s="457"/>
      <c r="J1663" s="457"/>
      <c r="K1663" s="457"/>
      <c r="L1663" s="457"/>
      <c r="M1663" s="458"/>
    </row>
    <row r="1664" spans="2:13" ht="15.75">
      <c r="B1664" s="452" t="s">
        <v>17</v>
      </c>
      <c r="C1664" s="459" t="s">
        <v>18</v>
      </c>
      <c r="D1664" s="460"/>
      <c r="E1664" s="460"/>
      <c r="F1664" s="460"/>
      <c r="G1664" s="460"/>
      <c r="H1664" s="460"/>
      <c r="I1664" s="460"/>
      <c r="J1664" s="460"/>
      <c r="K1664" s="460"/>
      <c r="L1664" s="460"/>
      <c r="M1664" s="461"/>
    </row>
    <row r="1665" spans="2:13" ht="15.75">
      <c r="B1665" s="466"/>
      <c r="C1665" s="468"/>
      <c r="D1665" s="468"/>
      <c r="E1665" s="468"/>
      <c r="F1665" s="468"/>
      <c r="G1665" s="468"/>
      <c r="H1665" s="468"/>
      <c r="I1665" s="468"/>
      <c r="J1665" s="468"/>
      <c r="K1665" s="468"/>
      <c r="L1665" s="468"/>
      <c r="M1665" s="468"/>
    </row>
    <row r="1666" spans="2:13" ht="15.75">
      <c r="B1666" s="447" t="s">
        <v>143</v>
      </c>
      <c r="C1666" s="447"/>
      <c r="D1666" s="447"/>
      <c r="E1666" s="447"/>
      <c r="F1666" s="448"/>
      <c r="G1666" s="448"/>
      <c r="H1666" s="448"/>
      <c r="I1666" s="448"/>
      <c r="J1666" s="448"/>
      <c r="K1666" s="448"/>
      <c r="L1666" s="448"/>
      <c r="M1666" s="448"/>
    </row>
    <row r="1667" spans="2:13" ht="15.75">
      <c r="B1667" s="449" t="s">
        <v>39</v>
      </c>
      <c r="C1667" s="449"/>
      <c r="D1667" s="449"/>
      <c r="E1667" s="449"/>
      <c r="F1667" s="448"/>
      <c r="G1667" s="448"/>
      <c r="H1667" s="448"/>
      <c r="I1667" s="448"/>
      <c r="J1667" s="448"/>
      <c r="K1667" s="448"/>
      <c r="L1667" s="448"/>
      <c r="M1667" s="448"/>
    </row>
    <row r="1668" spans="2:13" ht="15.75">
      <c r="B1668" s="450" t="s">
        <v>2</v>
      </c>
      <c r="C1668" s="451" t="s">
        <v>3</v>
      </c>
      <c r="D1668" s="451" t="s">
        <v>4</v>
      </c>
      <c r="E1668" s="451" t="s">
        <v>5</v>
      </c>
      <c r="F1668" s="451" t="s">
        <v>6</v>
      </c>
      <c r="G1668" s="451" t="s">
        <v>7</v>
      </c>
      <c r="H1668" s="451" t="s">
        <v>8</v>
      </c>
      <c r="I1668" s="451" t="s">
        <v>9</v>
      </c>
      <c r="J1668" s="451" t="s">
        <v>10</v>
      </c>
      <c r="K1668" s="451" t="s">
        <v>11</v>
      </c>
      <c r="L1668" s="451" t="s">
        <v>12</v>
      </c>
      <c r="M1668" s="450" t="s">
        <v>13</v>
      </c>
    </row>
    <row r="1669" spans="2:13" ht="15.75">
      <c r="B1669" s="452" t="s">
        <v>14</v>
      </c>
      <c r="C1669" s="463">
        <f>2500*2</f>
        <v>5000</v>
      </c>
      <c r="D1669" s="464">
        <f>2000*2</f>
        <v>4000</v>
      </c>
      <c r="E1669" s="464">
        <f>1700*2</f>
        <v>3400</v>
      </c>
      <c r="F1669" s="464">
        <f>1400*2</f>
        <v>2800</v>
      </c>
      <c r="G1669" s="464">
        <f>1100*2</f>
        <v>2200</v>
      </c>
      <c r="H1669" s="464">
        <f>900*2</f>
        <v>1800</v>
      </c>
      <c r="I1669" s="464">
        <f>700*2</f>
        <v>1400</v>
      </c>
      <c r="J1669" s="464">
        <f>600*2</f>
        <v>1200</v>
      </c>
      <c r="K1669" s="464">
        <f>500*2</f>
        <v>1000</v>
      </c>
      <c r="L1669" s="464">
        <f>300*2</f>
        <v>600</v>
      </c>
      <c r="M1669" s="465">
        <f>150*2</f>
        <v>300</v>
      </c>
    </row>
    <row r="1670" spans="2:13" ht="15.75">
      <c r="B1670" s="452" t="s">
        <v>15</v>
      </c>
      <c r="C1670" s="464">
        <f>2000*2</f>
        <v>4000</v>
      </c>
      <c r="D1670" s="464">
        <f>1700*2</f>
        <v>3400</v>
      </c>
      <c r="E1670" s="464">
        <f>1400*2</f>
        <v>2800</v>
      </c>
      <c r="F1670" s="464">
        <f>1100*2</f>
        <v>2200</v>
      </c>
      <c r="G1670" s="464">
        <f>900*2</f>
        <v>1800</v>
      </c>
      <c r="H1670" s="464">
        <f>700*2</f>
        <v>1400</v>
      </c>
      <c r="I1670" s="464">
        <f>600*2</f>
        <v>1200</v>
      </c>
      <c r="J1670" s="464">
        <f>500*2</f>
        <v>1000</v>
      </c>
      <c r="K1670" s="464">
        <f>300*2</f>
        <v>600</v>
      </c>
      <c r="L1670" s="464">
        <f>150*2</f>
        <v>300</v>
      </c>
      <c r="M1670" s="465">
        <f>100*2</f>
        <v>200</v>
      </c>
    </row>
    <row r="1671" spans="2:13" ht="15.75">
      <c r="B1671" s="452" t="s">
        <v>16</v>
      </c>
      <c r="C1671" s="464">
        <f>1700*2</f>
        <v>3400</v>
      </c>
      <c r="D1671" s="464">
        <f>1400*2</f>
        <v>2800</v>
      </c>
      <c r="E1671" s="464">
        <f>1100*2</f>
        <v>2200</v>
      </c>
      <c r="F1671" s="464">
        <f>900*2</f>
        <v>1800</v>
      </c>
      <c r="G1671" s="464">
        <f>700*2</f>
        <v>1400</v>
      </c>
      <c r="H1671" s="464">
        <f>600*2</f>
        <v>1200</v>
      </c>
      <c r="I1671" s="464">
        <f>500*2</f>
        <v>1000</v>
      </c>
      <c r="J1671" s="464">
        <f>300*2</f>
        <v>600</v>
      </c>
      <c r="K1671" s="464">
        <f>150*2</f>
        <v>300</v>
      </c>
      <c r="L1671" s="464">
        <f>100*2</f>
        <v>200</v>
      </c>
      <c r="M1671" s="465">
        <f>70*2</f>
        <v>140</v>
      </c>
    </row>
    <row r="1672" spans="2:13" ht="15.75">
      <c r="B1672" s="452" t="s">
        <v>17</v>
      </c>
      <c r="C1672" s="456" t="s">
        <v>18</v>
      </c>
      <c r="D1672" s="457"/>
      <c r="E1672" s="457"/>
      <c r="F1672" s="457"/>
      <c r="G1672" s="457"/>
      <c r="H1672" s="457"/>
      <c r="I1672" s="457"/>
      <c r="J1672" s="457"/>
      <c r="K1672" s="457"/>
      <c r="L1672" s="457"/>
      <c r="M1672" s="458"/>
    </row>
    <row r="1673" spans="2:13" ht="15.75">
      <c r="B1673" s="462"/>
      <c r="C1673" s="462"/>
      <c r="D1673" s="462"/>
      <c r="E1673" s="462"/>
      <c r="F1673" s="448"/>
      <c r="G1673" s="448"/>
      <c r="H1673" s="448"/>
      <c r="I1673" s="448"/>
      <c r="J1673" s="448"/>
      <c r="K1673" s="448"/>
      <c r="L1673" s="448"/>
      <c r="M1673" s="448"/>
    </row>
    <row r="1674" spans="2:13" ht="15.75">
      <c r="B1674" s="449" t="s">
        <v>19</v>
      </c>
      <c r="C1674" s="449"/>
      <c r="D1674" s="449"/>
      <c r="E1674" s="449"/>
      <c r="F1674" s="448"/>
      <c r="G1674" s="448"/>
      <c r="H1674" s="448"/>
      <c r="I1674" s="448"/>
      <c r="J1674" s="448"/>
      <c r="K1674" s="448"/>
      <c r="L1674" s="448"/>
      <c r="M1674" s="448"/>
    </row>
    <row r="1675" spans="2:13" ht="15.75">
      <c r="B1675" s="450" t="s">
        <v>2</v>
      </c>
      <c r="C1675" s="451" t="s">
        <v>3</v>
      </c>
      <c r="D1675" s="451" t="s">
        <v>4</v>
      </c>
      <c r="E1675" s="451" t="s">
        <v>5</v>
      </c>
      <c r="F1675" s="451" t="s">
        <v>6</v>
      </c>
      <c r="G1675" s="451" t="s">
        <v>7</v>
      </c>
      <c r="H1675" s="451" t="s">
        <v>8</v>
      </c>
      <c r="I1675" s="451" t="s">
        <v>9</v>
      </c>
      <c r="J1675" s="451" t="s">
        <v>10</v>
      </c>
      <c r="K1675" s="451" t="s">
        <v>11</v>
      </c>
      <c r="L1675" s="451" t="s">
        <v>12</v>
      </c>
      <c r="M1675" s="450" t="s">
        <v>13</v>
      </c>
    </row>
    <row r="1676" spans="2:13" ht="15.75">
      <c r="B1676" s="452" t="s">
        <v>14</v>
      </c>
      <c r="C1676" s="463">
        <f>3700*2</f>
        <v>7400</v>
      </c>
      <c r="D1676" s="464">
        <f>3000*2</f>
        <v>6000</v>
      </c>
      <c r="E1676" s="464">
        <f>2500*2</f>
        <v>5000</v>
      </c>
      <c r="F1676" s="464">
        <f>2000*2</f>
        <v>4000</v>
      </c>
      <c r="G1676" s="464">
        <f>1500*2</f>
        <v>3000</v>
      </c>
      <c r="H1676" s="464">
        <f>1000*2</f>
        <v>2000</v>
      </c>
      <c r="I1676" s="464">
        <f>800*2</f>
        <v>1600</v>
      </c>
      <c r="J1676" s="464">
        <f>600*2</f>
        <v>1200</v>
      </c>
      <c r="K1676" s="464">
        <f>500*2</f>
        <v>1000</v>
      </c>
      <c r="L1676" s="464">
        <f>300*2</f>
        <v>600</v>
      </c>
      <c r="M1676" s="465">
        <f>150*2</f>
        <v>300</v>
      </c>
    </row>
    <row r="1677" spans="2:13" ht="15.75">
      <c r="B1677" s="452" t="s">
        <v>15</v>
      </c>
      <c r="C1677" s="464">
        <f>3000*2</f>
        <v>6000</v>
      </c>
      <c r="D1677" s="464">
        <f>2500*2</f>
        <v>5000</v>
      </c>
      <c r="E1677" s="464">
        <f>2000*2</f>
        <v>4000</v>
      </c>
      <c r="F1677" s="464">
        <f>1500*2</f>
        <v>3000</v>
      </c>
      <c r="G1677" s="464">
        <f>1000*2</f>
        <v>2000</v>
      </c>
      <c r="H1677" s="464">
        <f>800*2</f>
        <v>1600</v>
      </c>
      <c r="I1677" s="464">
        <f>600*2</f>
        <v>1200</v>
      </c>
      <c r="J1677" s="464">
        <f>500*2</f>
        <v>1000</v>
      </c>
      <c r="K1677" s="464">
        <f>300*2</f>
        <v>600</v>
      </c>
      <c r="L1677" s="464">
        <f>150*2</f>
        <v>300</v>
      </c>
      <c r="M1677" s="465">
        <f>100*2</f>
        <v>200</v>
      </c>
    </row>
    <row r="1678" spans="2:13" ht="15.75">
      <c r="B1678" s="452" t="s">
        <v>16</v>
      </c>
      <c r="C1678" s="464">
        <f>2500*2</f>
        <v>5000</v>
      </c>
      <c r="D1678" s="464">
        <f>2000*2</f>
        <v>4000</v>
      </c>
      <c r="E1678" s="464">
        <f>1500*2</f>
        <v>3000</v>
      </c>
      <c r="F1678" s="464">
        <f>1000*2</f>
        <v>2000</v>
      </c>
      <c r="G1678" s="464">
        <f>800*2</f>
        <v>1600</v>
      </c>
      <c r="H1678" s="464">
        <f>600*2</f>
        <v>1200</v>
      </c>
      <c r="I1678" s="464">
        <f>500*2</f>
        <v>1000</v>
      </c>
      <c r="J1678" s="464">
        <f>300*2</f>
        <v>600</v>
      </c>
      <c r="K1678" s="464">
        <f>150*2</f>
        <v>300</v>
      </c>
      <c r="L1678" s="464">
        <f>100*2</f>
        <v>200</v>
      </c>
      <c r="M1678" s="465">
        <f>80*2</f>
        <v>160</v>
      </c>
    </row>
    <row r="1679" spans="2:13" ht="15.75">
      <c r="B1679" s="452" t="s">
        <v>17</v>
      </c>
      <c r="C1679" s="456" t="s">
        <v>18</v>
      </c>
      <c r="D1679" s="457"/>
      <c r="E1679" s="457"/>
      <c r="F1679" s="457"/>
      <c r="G1679" s="457"/>
      <c r="H1679" s="457"/>
      <c r="I1679" s="457"/>
      <c r="J1679" s="457"/>
      <c r="K1679" s="457"/>
      <c r="L1679" s="457"/>
      <c r="M1679" s="458"/>
    </row>
    <row r="1680" spans="2:13" ht="15.75">
      <c r="B1680" s="466"/>
      <c r="C1680" s="468"/>
      <c r="D1680" s="468"/>
      <c r="E1680" s="468"/>
      <c r="F1680" s="468"/>
      <c r="G1680" s="468"/>
      <c r="H1680" s="468"/>
      <c r="I1680" s="468"/>
      <c r="J1680" s="468"/>
      <c r="K1680" s="468"/>
      <c r="L1680" s="468"/>
      <c r="M1680" s="468"/>
    </row>
    <row r="1681" spans="2:13" ht="15.75">
      <c r="B1681" s="447" t="s">
        <v>144</v>
      </c>
      <c r="C1681" s="447"/>
      <c r="D1681" s="447"/>
      <c r="E1681" s="447"/>
      <c r="F1681" s="448"/>
      <c r="G1681" s="448"/>
      <c r="H1681" s="448"/>
      <c r="I1681" s="448"/>
      <c r="J1681" s="448"/>
      <c r="K1681" s="448"/>
      <c r="L1681" s="448"/>
      <c r="M1681" s="448"/>
    </row>
    <row r="1682" spans="2:13" ht="15.75">
      <c r="B1682" s="470" t="s">
        <v>46</v>
      </c>
      <c r="C1682" s="449"/>
      <c r="D1682" s="449"/>
      <c r="E1682" s="449"/>
      <c r="F1682" s="448"/>
      <c r="G1682" s="448"/>
      <c r="H1682" s="448"/>
      <c r="I1682" s="448"/>
      <c r="J1682" s="448"/>
      <c r="K1682" s="448"/>
      <c r="L1682" s="448"/>
      <c r="M1682" s="448"/>
    </row>
    <row r="1683" spans="2:13" ht="15.75">
      <c r="B1683" s="450" t="s">
        <v>2</v>
      </c>
      <c r="C1683" s="451" t="s">
        <v>3</v>
      </c>
      <c r="D1683" s="451" t="s">
        <v>4</v>
      </c>
      <c r="E1683" s="451" t="s">
        <v>5</v>
      </c>
      <c r="F1683" s="451" t="s">
        <v>6</v>
      </c>
      <c r="G1683" s="451" t="s">
        <v>7</v>
      </c>
      <c r="H1683" s="451" t="s">
        <v>8</v>
      </c>
      <c r="I1683" s="451" t="s">
        <v>9</v>
      </c>
      <c r="J1683" s="451" t="s">
        <v>10</v>
      </c>
      <c r="K1683" s="451" t="s">
        <v>11</v>
      </c>
      <c r="L1683" s="451" t="s">
        <v>12</v>
      </c>
      <c r="M1683" s="450" t="s">
        <v>13</v>
      </c>
    </row>
    <row r="1684" spans="2:13" ht="15.75">
      <c r="B1684" s="452" t="s">
        <v>14</v>
      </c>
      <c r="C1684" s="463">
        <f>921*2</f>
        <v>1842</v>
      </c>
      <c r="D1684" s="464">
        <f>737*2</f>
        <v>1474</v>
      </c>
      <c r="E1684" s="464">
        <f>599*2</f>
        <v>1198</v>
      </c>
      <c r="F1684" s="464">
        <f>553*2</f>
        <v>1106</v>
      </c>
      <c r="G1684" s="464">
        <f>461*2</f>
        <v>922</v>
      </c>
      <c r="H1684" s="464">
        <f>230*2</f>
        <v>460</v>
      </c>
      <c r="I1684" s="464">
        <f>92*2</f>
        <v>184</v>
      </c>
      <c r="J1684" s="464">
        <f>74*2</f>
        <v>148</v>
      </c>
      <c r="K1684" s="464">
        <f>55*2</f>
        <v>110</v>
      </c>
      <c r="L1684" s="464">
        <f>37*2</f>
        <v>74</v>
      </c>
      <c r="M1684" s="465">
        <f>32*2</f>
        <v>64</v>
      </c>
    </row>
    <row r="1685" spans="2:13" ht="15.75">
      <c r="B1685" s="452" t="s">
        <v>15</v>
      </c>
      <c r="C1685" s="463">
        <f>645*2</f>
        <v>1290</v>
      </c>
      <c r="D1685" s="464">
        <f>516*2</f>
        <v>1032</v>
      </c>
      <c r="E1685" s="464">
        <f>419*2</f>
        <v>838</v>
      </c>
      <c r="F1685" s="464">
        <f>387*2</f>
        <v>774</v>
      </c>
      <c r="G1685" s="464">
        <f>322*2</f>
        <v>644</v>
      </c>
      <c r="H1685" s="464">
        <f>161*2</f>
        <v>322</v>
      </c>
      <c r="I1685" s="464">
        <f>64*2</f>
        <v>128</v>
      </c>
      <c r="J1685" s="464">
        <f>52*2</f>
        <v>104</v>
      </c>
      <c r="K1685" s="464">
        <f>39*2</f>
        <v>78</v>
      </c>
      <c r="L1685" s="464">
        <f>26*2</f>
        <v>52</v>
      </c>
      <c r="M1685" s="465">
        <f>23*2</f>
        <v>46</v>
      </c>
    </row>
    <row r="1686" spans="2:13" ht="15.75">
      <c r="B1686" s="452" t="s">
        <v>16</v>
      </c>
      <c r="C1686" s="463">
        <f>414*2</f>
        <v>828</v>
      </c>
      <c r="D1686" s="464">
        <f>332*2</f>
        <v>664</v>
      </c>
      <c r="E1686" s="464">
        <f>269*2</f>
        <v>538</v>
      </c>
      <c r="F1686" s="464">
        <f>249*2</f>
        <v>498</v>
      </c>
      <c r="G1686" s="464">
        <f>207*2</f>
        <v>414</v>
      </c>
      <c r="H1686" s="464">
        <f>104*2</f>
        <v>208</v>
      </c>
      <c r="I1686" s="464">
        <f>41*2</f>
        <v>82</v>
      </c>
      <c r="J1686" s="464">
        <f>33*2</f>
        <v>66</v>
      </c>
      <c r="K1686" s="464">
        <f>25*2</f>
        <v>50</v>
      </c>
      <c r="L1686" s="464">
        <f>17*2</f>
        <v>34</v>
      </c>
      <c r="M1686" s="465">
        <f>15*2</f>
        <v>30</v>
      </c>
    </row>
    <row r="1687" spans="2:13" ht="15.75">
      <c r="B1687" s="452" t="s">
        <v>17</v>
      </c>
      <c r="C1687" s="456" t="s">
        <v>18</v>
      </c>
      <c r="D1687" s="457"/>
      <c r="E1687" s="457"/>
      <c r="F1687" s="457"/>
      <c r="G1687" s="457"/>
      <c r="H1687" s="457"/>
      <c r="I1687" s="457"/>
      <c r="J1687" s="457"/>
      <c r="K1687" s="457"/>
      <c r="L1687" s="457"/>
      <c r="M1687" s="458"/>
    </row>
    <row r="1688" spans="2:13" ht="15.75">
      <c r="B1688" s="466"/>
      <c r="C1688" s="468"/>
      <c r="D1688" s="468"/>
      <c r="E1688" s="468"/>
      <c r="F1688" s="468"/>
      <c r="G1688" s="468"/>
      <c r="H1688" s="468"/>
      <c r="I1688" s="468"/>
      <c r="J1688" s="468"/>
      <c r="K1688" s="468"/>
      <c r="L1688" s="468"/>
      <c r="M1688" s="468"/>
    </row>
    <row r="1689" spans="2:13" ht="15.75">
      <c r="B1689" s="447" t="s">
        <v>145</v>
      </c>
      <c r="C1689" s="447"/>
      <c r="D1689" s="447"/>
      <c r="E1689" s="447"/>
      <c r="F1689" s="448"/>
      <c r="G1689" s="448"/>
      <c r="H1689" s="448"/>
      <c r="I1689" s="448"/>
      <c r="J1689" s="448"/>
      <c r="K1689" s="448"/>
      <c r="L1689" s="448"/>
      <c r="M1689" s="448"/>
    </row>
    <row r="1690" spans="2:13" ht="15.75">
      <c r="B1690" s="449" t="s">
        <v>39</v>
      </c>
      <c r="C1690" s="449"/>
      <c r="D1690" s="449"/>
      <c r="E1690" s="449"/>
      <c r="F1690" s="448"/>
      <c r="G1690" s="448"/>
      <c r="H1690" s="448"/>
      <c r="I1690" s="448"/>
      <c r="J1690" s="448"/>
      <c r="K1690" s="448"/>
      <c r="L1690" s="448"/>
      <c r="M1690" s="448"/>
    </row>
    <row r="1691" spans="2:13" ht="15.75">
      <c r="B1691" s="450" t="s">
        <v>2</v>
      </c>
      <c r="C1691" s="451" t="s">
        <v>3</v>
      </c>
      <c r="D1691" s="451" t="s">
        <v>4</v>
      </c>
      <c r="E1691" s="451" t="s">
        <v>5</v>
      </c>
      <c r="F1691" s="451" t="s">
        <v>6</v>
      </c>
      <c r="G1691" s="451" t="s">
        <v>7</v>
      </c>
      <c r="H1691" s="451" t="s">
        <v>8</v>
      </c>
      <c r="I1691" s="451" t="s">
        <v>9</v>
      </c>
      <c r="J1691" s="451" t="s">
        <v>10</v>
      </c>
      <c r="K1691" s="451" t="s">
        <v>11</v>
      </c>
      <c r="L1691" s="451" t="s">
        <v>12</v>
      </c>
      <c r="M1691" s="450" t="s">
        <v>13</v>
      </c>
    </row>
    <row r="1692" spans="2:13" ht="15.75">
      <c r="B1692" s="452" t="s">
        <v>14</v>
      </c>
      <c r="C1692" s="463">
        <v>3125</v>
      </c>
      <c r="D1692" s="464">
        <v>2342.5</v>
      </c>
      <c r="E1692" s="464">
        <v>1750</v>
      </c>
      <c r="F1692" s="464">
        <v>1317.5</v>
      </c>
      <c r="G1692" s="464">
        <v>1005</v>
      </c>
      <c r="H1692" s="464">
        <v>755</v>
      </c>
      <c r="I1692" s="464">
        <v>565</v>
      </c>
      <c r="J1692" s="464">
        <v>442.5</v>
      </c>
      <c r="K1692" s="464">
        <v>312.5</v>
      </c>
      <c r="L1692" s="464">
        <v>220</v>
      </c>
      <c r="M1692" s="465">
        <v>160</v>
      </c>
    </row>
    <row r="1693" spans="2:13" ht="15.75">
      <c r="B1693" s="452" t="s">
        <v>15</v>
      </c>
      <c r="C1693" s="464">
        <v>2190</v>
      </c>
      <c r="D1693" s="464">
        <v>1642.5</v>
      </c>
      <c r="E1693" s="464">
        <v>1225</v>
      </c>
      <c r="F1693" s="464">
        <v>920</v>
      </c>
      <c r="G1693" s="464">
        <v>700</v>
      </c>
      <c r="H1693" s="464">
        <v>525</v>
      </c>
      <c r="I1693" s="464">
        <v>395</v>
      </c>
      <c r="J1693" s="464">
        <v>305</v>
      </c>
      <c r="K1693" s="464">
        <v>220</v>
      </c>
      <c r="L1693" s="464">
        <v>152.5</v>
      </c>
      <c r="M1693" s="465">
        <v>107.5</v>
      </c>
    </row>
    <row r="1694" spans="2:13" ht="15.75">
      <c r="B1694" s="452" t="s">
        <v>16</v>
      </c>
      <c r="C1694" s="464">
        <v>1247.5</v>
      </c>
      <c r="D1694" s="464">
        <v>935</v>
      </c>
      <c r="E1694" s="464">
        <v>700</v>
      </c>
      <c r="F1694" s="464">
        <v>525</v>
      </c>
      <c r="G1694" s="464">
        <v>402.5</v>
      </c>
      <c r="H1694" s="464">
        <v>295</v>
      </c>
      <c r="I1694" s="464">
        <v>227.5</v>
      </c>
      <c r="J1694" s="464">
        <v>175</v>
      </c>
      <c r="K1694" s="464">
        <v>122.5</v>
      </c>
      <c r="L1694" s="464">
        <v>85</v>
      </c>
      <c r="M1694" s="465">
        <v>62.5</v>
      </c>
    </row>
    <row r="1695" spans="2:13" ht="15.75">
      <c r="B1695" s="452" t="s">
        <v>17</v>
      </c>
      <c r="C1695" s="456" t="s">
        <v>18</v>
      </c>
      <c r="D1695" s="457"/>
      <c r="E1695" s="457"/>
      <c r="F1695" s="457"/>
      <c r="G1695" s="457"/>
      <c r="H1695" s="457"/>
      <c r="I1695" s="457"/>
      <c r="J1695" s="457"/>
      <c r="K1695" s="457"/>
      <c r="L1695" s="457"/>
      <c r="M1695" s="458"/>
    </row>
    <row r="1696" spans="2:13" ht="15.75">
      <c r="B1696" s="462"/>
      <c r="C1696" s="462"/>
      <c r="D1696" s="462"/>
      <c r="E1696" s="462"/>
      <c r="F1696" s="448"/>
      <c r="G1696" s="448"/>
      <c r="H1696" s="448"/>
      <c r="I1696" s="448"/>
      <c r="J1696" s="448"/>
      <c r="K1696" s="448"/>
      <c r="L1696" s="448"/>
      <c r="M1696" s="448"/>
    </row>
    <row r="1697" spans="2:13" ht="15.75">
      <c r="B1697" s="449" t="s">
        <v>19</v>
      </c>
      <c r="C1697" s="449"/>
      <c r="D1697" s="449"/>
      <c r="E1697" s="449"/>
      <c r="F1697" s="448"/>
      <c r="G1697" s="448"/>
      <c r="H1697" s="448"/>
      <c r="I1697" s="448"/>
      <c r="J1697" s="448"/>
      <c r="K1697" s="448"/>
      <c r="L1697" s="448"/>
      <c r="M1697" s="448"/>
    </row>
    <row r="1698" spans="2:13" ht="15.75">
      <c r="B1698" s="450" t="s">
        <v>2</v>
      </c>
      <c r="C1698" s="451" t="s">
        <v>3</v>
      </c>
      <c r="D1698" s="451" t="s">
        <v>4</v>
      </c>
      <c r="E1698" s="451" t="s">
        <v>5</v>
      </c>
      <c r="F1698" s="451" t="s">
        <v>6</v>
      </c>
      <c r="G1698" s="451" t="s">
        <v>7</v>
      </c>
      <c r="H1698" s="451" t="s">
        <v>8</v>
      </c>
      <c r="I1698" s="451" t="s">
        <v>9</v>
      </c>
      <c r="J1698" s="451" t="s">
        <v>10</v>
      </c>
      <c r="K1698" s="451" t="s">
        <v>11</v>
      </c>
      <c r="L1698" s="451" t="s">
        <v>12</v>
      </c>
      <c r="M1698" s="450" t="s">
        <v>13</v>
      </c>
    </row>
    <row r="1699" spans="2:13" ht="15.75">
      <c r="B1699" s="452" t="s">
        <v>14</v>
      </c>
      <c r="C1699" s="463">
        <v>5375</v>
      </c>
      <c r="D1699" s="464">
        <v>4032.5</v>
      </c>
      <c r="E1699" s="464">
        <v>3010</v>
      </c>
      <c r="F1699" s="464">
        <v>2255</v>
      </c>
      <c r="G1699" s="464">
        <v>1717.5</v>
      </c>
      <c r="H1699" s="464">
        <v>1295</v>
      </c>
      <c r="I1699" s="464">
        <v>970</v>
      </c>
      <c r="J1699" s="464">
        <v>755</v>
      </c>
      <c r="K1699" s="464">
        <v>540</v>
      </c>
      <c r="L1699" s="464">
        <v>372.5</v>
      </c>
      <c r="M1699" s="465">
        <v>265</v>
      </c>
    </row>
    <row r="1700" spans="2:13" ht="15.75">
      <c r="B1700" s="452" t="s">
        <v>15</v>
      </c>
      <c r="C1700" s="464">
        <v>3767.5</v>
      </c>
      <c r="D1700" s="464">
        <v>2825</v>
      </c>
      <c r="E1700" s="464">
        <v>2110</v>
      </c>
      <c r="F1700" s="464">
        <v>1580</v>
      </c>
      <c r="G1700" s="464">
        <v>1207.5</v>
      </c>
      <c r="H1700" s="464">
        <v>902.5</v>
      </c>
      <c r="I1700" s="464">
        <v>677.5</v>
      </c>
      <c r="J1700" s="464">
        <v>530</v>
      </c>
      <c r="K1700" s="464">
        <v>372.5</v>
      </c>
      <c r="L1700" s="464">
        <v>265</v>
      </c>
      <c r="M1700" s="465">
        <v>187.5</v>
      </c>
    </row>
    <row r="1701" spans="2:13" ht="15.75">
      <c r="B1701" s="452" t="s">
        <v>16</v>
      </c>
      <c r="C1701" s="464">
        <v>2147.5</v>
      </c>
      <c r="D1701" s="464">
        <v>1607.5</v>
      </c>
      <c r="E1701" s="464">
        <v>1205</v>
      </c>
      <c r="F1701" s="464">
        <v>902.5</v>
      </c>
      <c r="G1701" s="464">
        <v>687.5</v>
      </c>
      <c r="H1701" s="464">
        <v>520</v>
      </c>
      <c r="I1701" s="464">
        <v>382.5</v>
      </c>
      <c r="J1701" s="464">
        <v>305</v>
      </c>
      <c r="K1701" s="464">
        <v>217.5</v>
      </c>
      <c r="L1701" s="464">
        <v>147.5</v>
      </c>
      <c r="M1701" s="465">
        <v>107.5</v>
      </c>
    </row>
    <row r="1702" spans="2:13" ht="15.75">
      <c r="B1702" s="452" t="s">
        <v>17</v>
      </c>
      <c r="C1702" s="456" t="s">
        <v>18</v>
      </c>
      <c r="D1702" s="457"/>
      <c r="E1702" s="457"/>
      <c r="F1702" s="457"/>
      <c r="G1702" s="457"/>
      <c r="H1702" s="457"/>
      <c r="I1702" s="457"/>
      <c r="J1702" s="457"/>
      <c r="K1702" s="457"/>
      <c r="L1702" s="457"/>
      <c r="M1702" s="458"/>
    </row>
    <row r="1703" spans="2:13" ht="15.75">
      <c r="B1703" s="466"/>
      <c r="C1703" s="468"/>
      <c r="D1703" s="468"/>
      <c r="E1703" s="468"/>
      <c r="F1703" s="468"/>
      <c r="G1703" s="468"/>
      <c r="H1703" s="468"/>
      <c r="I1703" s="468"/>
      <c r="J1703" s="468"/>
      <c r="K1703" s="468"/>
      <c r="L1703" s="468"/>
      <c r="M1703" s="468"/>
    </row>
    <row r="1704" spans="2:13" ht="15.75">
      <c r="B1704" s="447" t="s">
        <v>146</v>
      </c>
      <c r="C1704" s="447"/>
      <c r="D1704" s="447"/>
      <c r="E1704" s="447"/>
      <c r="F1704" s="448"/>
      <c r="G1704" s="448"/>
      <c r="H1704" s="448"/>
      <c r="I1704" s="448"/>
      <c r="J1704" s="448"/>
      <c r="K1704" s="448"/>
      <c r="L1704" s="448"/>
      <c r="M1704" s="448"/>
    </row>
    <row r="1705" spans="2:13" ht="15.75">
      <c r="B1705" s="449" t="s">
        <v>39</v>
      </c>
      <c r="C1705" s="449"/>
      <c r="D1705" s="449"/>
      <c r="E1705" s="449"/>
      <c r="F1705" s="448"/>
      <c r="G1705" s="448"/>
      <c r="H1705" s="448"/>
      <c r="I1705" s="448"/>
      <c r="J1705" s="448"/>
      <c r="K1705" s="448"/>
      <c r="L1705" s="448"/>
      <c r="M1705" s="448"/>
    </row>
    <row r="1706" spans="2:13" ht="15.75">
      <c r="B1706" s="450" t="s">
        <v>2</v>
      </c>
      <c r="C1706" s="451" t="s">
        <v>3</v>
      </c>
      <c r="D1706" s="451" t="s">
        <v>4</v>
      </c>
      <c r="E1706" s="451" t="s">
        <v>5</v>
      </c>
      <c r="F1706" s="451" t="s">
        <v>6</v>
      </c>
      <c r="G1706" s="451" t="s">
        <v>7</v>
      </c>
      <c r="H1706" s="451" t="s">
        <v>8</v>
      </c>
      <c r="I1706" s="451" t="s">
        <v>9</v>
      </c>
      <c r="J1706" s="451" t="s">
        <v>10</v>
      </c>
      <c r="K1706" s="451" t="s">
        <v>11</v>
      </c>
      <c r="L1706" s="451" t="s">
        <v>12</v>
      </c>
      <c r="M1706" s="450" t="s">
        <v>13</v>
      </c>
    </row>
    <row r="1707" spans="2:13" ht="15.75">
      <c r="B1707" s="452" t="s">
        <v>14</v>
      </c>
      <c r="C1707" s="453">
        <f>360*2</f>
        <v>720</v>
      </c>
      <c r="D1707" s="454">
        <f>270*2</f>
        <v>540</v>
      </c>
      <c r="E1707" s="454">
        <f>202*2</f>
        <v>404</v>
      </c>
      <c r="F1707" s="454">
        <f>152*2</f>
        <v>304</v>
      </c>
      <c r="G1707" s="454">
        <f>114*2</f>
        <v>228</v>
      </c>
      <c r="H1707" s="454">
        <f>86*2</f>
        <v>172</v>
      </c>
      <c r="I1707" s="454">
        <f>64*2</f>
        <v>128</v>
      </c>
      <c r="J1707" s="454">
        <f>48*2</f>
        <v>96</v>
      </c>
      <c r="K1707" s="454">
        <f>36*2</f>
        <v>72</v>
      </c>
      <c r="L1707" s="454">
        <f>18*2</f>
        <v>36</v>
      </c>
      <c r="M1707" s="454">
        <f>10*2</f>
        <v>20</v>
      </c>
    </row>
    <row r="1708" spans="2:13" ht="15.75">
      <c r="B1708" s="452" t="s">
        <v>15</v>
      </c>
      <c r="C1708" s="453"/>
      <c r="D1708" s="454"/>
      <c r="E1708" s="454"/>
      <c r="F1708" s="454"/>
      <c r="G1708" s="454"/>
      <c r="H1708" s="455"/>
      <c r="I1708" s="454"/>
      <c r="J1708" s="454"/>
      <c r="K1708" s="454"/>
      <c r="L1708" s="454"/>
      <c r="M1708" s="454"/>
    </row>
    <row r="1709" spans="2:13" ht="15.75">
      <c r="B1709" s="452" t="s">
        <v>16</v>
      </c>
      <c r="C1709" s="456" t="s">
        <v>18</v>
      </c>
      <c r="D1709" s="457"/>
      <c r="E1709" s="457"/>
      <c r="F1709" s="457"/>
      <c r="G1709" s="457"/>
      <c r="H1709" s="457"/>
      <c r="I1709" s="457"/>
      <c r="J1709" s="457"/>
      <c r="K1709" s="457"/>
      <c r="L1709" s="457"/>
      <c r="M1709" s="458"/>
    </row>
    <row r="1710" spans="2:13" ht="15.75">
      <c r="B1710" s="452" t="s">
        <v>17</v>
      </c>
      <c r="C1710" s="459" t="s">
        <v>18</v>
      </c>
      <c r="D1710" s="460"/>
      <c r="E1710" s="460"/>
      <c r="F1710" s="460"/>
      <c r="G1710" s="460"/>
      <c r="H1710" s="460"/>
      <c r="I1710" s="460"/>
      <c r="J1710" s="460"/>
      <c r="K1710" s="460"/>
      <c r="L1710" s="460"/>
      <c r="M1710" s="461"/>
    </row>
    <row r="1711" spans="2:13" ht="15.75">
      <c r="B1711" s="462"/>
      <c r="C1711" s="462"/>
      <c r="D1711" s="462"/>
      <c r="E1711" s="462"/>
      <c r="F1711" s="448"/>
      <c r="G1711" s="448"/>
      <c r="H1711" s="448"/>
      <c r="I1711" s="448"/>
      <c r="J1711" s="448"/>
      <c r="K1711" s="448"/>
      <c r="L1711" s="448"/>
      <c r="M1711" s="448"/>
    </row>
    <row r="1712" spans="2:13" ht="15.75">
      <c r="B1712" s="449" t="s">
        <v>19</v>
      </c>
      <c r="C1712" s="449"/>
      <c r="D1712" s="449"/>
      <c r="E1712" s="449"/>
      <c r="F1712" s="448"/>
      <c r="G1712" s="448"/>
      <c r="H1712" s="448"/>
      <c r="I1712" s="448"/>
      <c r="J1712" s="448"/>
      <c r="K1712" s="448"/>
      <c r="L1712" s="448"/>
      <c r="M1712" s="448"/>
    </row>
    <row r="1713" spans="2:13" ht="15.75">
      <c r="B1713" s="450" t="s">
        <v>2</v>
      </c>
      <c r="C1713" s="451" t="s">
        <v>3</v>
      </c>
      <c r="D1713" s="451" t="s">
        <v>4</v>
      </c>
      <c r="E1713" s="451" t="s">
        <v>5</v>
      </c>
      <c r="F1713" s="451" t="s">
        <v>6</v>
      </c>
      <c r="G1713" s="451" t="s">
        <v>7</v>
      </c>
      <c r="H1713" s="451" t="s">
        <v>8</v>
      </c>
      <c r="I1713" s="451" t="s">
        <v>9</v>
      </c>
      <c r="J1713" s="451" t="s">
        <v>10</v>
      </c>
      <c r="K1713" s="451" t="s">
        <v>11</v>
      </c>
      <c r="L1713" s="451" t="s">
        <v>12</v>
      </c>
      <c r="M1713" s="450" t="s">
        <v>13</v>
      </c>
    </row>
    <row r="1714" spans="2:13" ht="15.75">
      <c r="B1714" s="452" t="s">
        <v>14</v>
      </c>
      <c r="C1714" s="463">
        <f>660*2</f>
        <v>1320</v>
      </c>
      <c r="D1714" s="464">
        <f>495*2</f>
        <v>990</v>
      </c>
      <c r="E1714" s="464">
        <f>372*2</f>
        <v>744</v>
      </c>
      <c r="F1714" s="464">
        <f>279*2</f>
        <v>558</v>
      </c>
      <c r="G1714" s="464">
        <f>210*2</f>
        <v>420</v>
      </c>
      <c r="H1714" s="464">
        <f>210*2</f>
        <v>420</v>
      </c>
      <c r="I1714" s="464">
        <f>156*2</f>
        <v>312</v>
      </c>
      <c r="J1714" s="464">
        <f>117*2</f>
        <v>234</v>
      </c>
      <c r="K1714" s="464">
        <f>66*2</f>
        <v>132</v>
      </c>
      <c r="L1714" s="464">
        <f>51*2</f>
        <v>102</v>
      </c>
      <c r="M1714" s="465">
        <f>36*2</f>
        <v>72</v>
      </c>
    </row>
    <row r="1715" spans="2:13" ht="15.75">
      <c r="B1715" s="452" t="s">
        <v>15</v>
      </c>
      <c r="C1715" s="463"/>
      <c r="D1715" s="464"/>
      <c r="E1715" s="464"/>
      <c r="F1715" s="464"/>
      <c r="G1715" s="464"/>
      <c r="H1715" s="464"/>
      <c r="I1715" s="464"/>
      <c r="J1715" s="464"/>
      <c r="K1715" s="464"/>
      <c r="L1715" s="464"/>
      <c r="M1715" s="465"/>
    </row>
    <row r="1716" spans="2:13" ht="15.75">
      <c r="B1716" s="452" t="s">
        <v>16</v>
      </c>
      <c r="C1716" s="456" t="s">
        <v>18</v>
      </c>
      <c r="D1716" s="457"/>
      <c r="E1716" s="457"/>
      <c r="F1716" s="457"/>
      <c r="G1716" s="457"/>
      <c r="H1716" s="457"/>
      <c r="I1716" s="457"/>
      <c r="J1716" s="457"/>
      <c r="K1716" s="457"/>
      <c r="L1716" s="457"/>
      <c r="M1716" s="458"/>
    </row>
    <row r="1717" spans="2:13" ht="15.75">
      <c r="B1717" s="452" t="s">
        <v>17</v>
      </c>
      <c r="C1717" s="459" t="s">
        <v>18</v>
      </c>
      <c r="D1717" s="460"/>
      <c r="E1717" s="460"/>
      <c r="F1717" s="460"/>
      <c r="G1717" s="460"/>
      <c r="H1717" s="460"/>
      <c r="I1717" s="460"/>
      <c r="J1717" s="460"/>
      <c r="K1717" s="460"/>
      <c r="L1717" s="460"/>
      <c r="M1717" s="461"/>
    </row>
    <row r="1718" spans="2:13" ht="15.75">
      <c r="B1718" s="466"/>
      <c r="C1718" s="468"/>
      <c r="D1718" s="468"/>
      <c r="E1718" s="468"/>
      <c r="F1718" s="468"/>
      <c r="G1718" s="468"/>
      <c r="H1718" s="468"/>
      <c r="I1718" s="468"/>
      <c r="J1718" s="468"/>
      <c r="K1718" s="468"/>
      <c r="L1718" s="468"/>
      <c r="M1718" s="468"/>
    </row>
    <row r="1719" spans="2:13" ht="15.75">
      <c r="B1719" s="447" t="s">
        <v>147</v>
      </c>
      <c r="C1719" s="447"/>
      <c r="D1719" s="447"/>
      <c r="E1719" s="447"/>
      <c r="F1719" s="448"/>
      <c r="G1719" s="448"/>
      <c r="H1719" s="448"/>
      <c r="I1719" s="448"/>
      <c r="J1719" s="448"/>
      <c r="K1719" s="448"/>
      <c r="L1719" s="448"/>
      <c r="M1719" s="448"/>
    </row>
    <row r="1720" spans="2:13" ht="15.75">
      <c r="B1720" s="449" t="s">
        <v>39</v>
      </c>
      <c r="C1720" s="449"/>
      <c r="D1720" s="449"/>
      <c r="E1720" s="449"/>
      <c r="F1720" s="448"/>
      <c r="G1720" s="448"/>
      <c r="H1720" s="448"/>
      <c r="I1720" s="448"/>
      <c r="J1720" s="448"/>
      <c r="K1720" s="448"/>
      <c r="L1720" s="448"/>
      <c r="M1720" s="448"/>
    </row>
    <row r="1721" spans="2:13" ht="15.75">
      <c r="B1721" s="450" t="s">
        <v>2</v>
      </c>
      <c r="C1721" s="451" t="s">
        <v>3</v>
      </c>
      <c r="D1721" s="451" t="s">
        <v>4</v>
      </c>
      <c r="E1721" s="451" t="s">
        <v>5</v>
      </c>
      <c r="F1721" s="451" t="s">
        <v>6</v>
      </c>
      <c r="G1721" s="451" t="s">
        <v>7</v>
      </c>
      <c r="H1721" s="451" t="s">
        <v>8</v>
      </c>
      <c r="I1721" s="451" t="s">
        <v>9</v>
      </c>
      <c r="J1721" s="451" t="s">
        <v>10</v>
      </c>
      <c r="K1721" s="451" t="s">
        <v>11</v>
      </c>
      <c r="L1721" s="451" t="s">
        <v>12</v>
      </c>
      <c r="M1721" s="450" t="s">
        <v>13</v>
      </c>
    </row>
    <row r="1722" spans="2:13" ht="15.75">
      <c r="B1722" s="452" t="s">
        <v>14</v>
      </c>
      <c r="C1722" s="463">
        <f>2478*2</f>
        <v>4956</v>
      </c>
      <c r="D1722" s="464">
        <f>1861*2</f>
        <v>3722</v>
      </c>
      <c r="E1722" s="464">
        <f>1046*2</f>
        <v>2092</v>
      </c>
      <c r="F1722" s="464">
        <f>1046*2</f>
        <v>2092</v>
      </c>
      <c r="G1722" s="464">
        <f>785*2</f>
        <v>1570</v>
      </c>
      <c r="H1722" s="464">
        <f>588*2</f>
        <v>1176</v>
      </c>
      <c r="I1722" s="464">
        <f>441*2</f>
        <v>882</v>
      </c>
      <c r="J1722" s="464">
        <f>332*2</f>
        <v>664</v>
      </c>
      <c r="K1722" s="464">
        <f>248*2</f>
        <v>496</v>
      </c>
      <c r="L1722" s="464">
        <f>126*2</f>
        <v>252</v>
      </c>
      <c r="M1722" s="465">
        <f>63*2</f>
        <v>126</v>
      </c>
    </row>
    <row r="1723" spans="2:13" ht="15.75">
      <c r="B1723" s="452" t="s">
        <v>15</v>
      </c>
      <c r="C1723" s="464">
        <f>1659*2</f>
        <v>3318</v>
      </c>
      <c r="D1723" s="464">
        <f>1243*2</f>
        <v>2486</v>
      </c>
      <c r="E1723" s="464">
        <f>932*2</f>
        <v>1864</v>
      </c>
      <c r="F1723" s="464">
        <f>701*2</f>
        <v>1402</v>
      </c>
      <c r="G1723" s="464">
        <f>525*2</f>
        <v>1050</v>
      </c>
      <c r="H1723" s="464">
        <f>395*2</f>
        <v>790</v>
      </c>
      <c r="I1723" s="464">
        <f>294*2</f>
        <v>588</v>
      </c>
      <c r="J1723" s="464">
        <f>223*2</f>
        <v>446</v>
      </c>
      <c r="K1723" s="464">
        <f>168*2</f>
        <v>336</v>
      </c>
      <c r="L1723" s="464">
        <f>84*2</f>
        <v>168</v>
      </c>
      <c r="M1723" s="465">
        <f>42*2</f>
        <v>84</v>
      </c>
    </row>
    <row r="1724" spans="2:13" ht="15.75">
      <c r="B1724" s="452" t="s">
        <v>16</v>
      </c>
      <c r="C1724" s="464">
        <f>1386*2</f>
        <v>2772</v>
      </c>
      <c r="D1724" s="464">
        <f>1042*2</f>
        <v>2084</v>
      </c>
      <c r="E1724" s="464">
        <f>781*2</f>
        <v>1562</v>
      </c>
      <c r="F1724" s="464">
        <f>584*2</f>
        <v>1168</v>
      </c>
      <c r="G1724" s="464">
        <f>437*2</f>
        <v>874</v>
      </c>
      <c r="H1724" s="464">
        <f>328*2</f>
        <v>656</v>
      </c>
      <c r="I1724" s="464">
        <f>248*2</f>
        <v>496</v>
      </c>
      <c r="J1724" s="464">
        <f>185*2</f>
        <v>370</v>
      </c>
      <c r="K1724" s="464">
        <f>139*2</f>
        <v>278</v>
      </c>
      <c r="L1724" s="464">
        <f>71*2</f>
        <v>142</v>
      </c>
      <c r="M1724" s="465">
        <f>34*2</f>
        <v>68</v>
      </c>
    </row>
    <row r="1725" spans="2:13" ht="15.75">
      <c r="B1725" s="452" t="s">
        <v>17</v>
      </c>
      <c r="C1725" s="456" t="s">
        <v>18</v>
      </c>
      <c r="D1725" s="457"/>
      <c r="E1725" s="457"/>
      <c r="F1725" s="457"/>
      <c r="G1725" s="457"/>
      <c r="H1725" s="457"/>
      <c r="I1725" s="457"/>
      <c r="J1725" s="457"/>
      <c r="K1725" s="457"/>
      <c r="L1725" s="457"/>
      <c r="M1725" s="458"/>
    </row>
    <row r="1726" spans="2:13" ht="15.75">
      <c r="B1726" s="462"/>
      <c r="C1726" s="462"/>
      <c r="D1726" s="462"/>
      <c r="E1726" s="462"/>
      <c r="F1726" s="448"/>
      <c r="G1726" s="448"/>
      <c r="H1726" s="448"/>
      <c r="I1726" s="448"/>
      <c r="J1726" s="448"/>
      <c r="K1726" s="448"/>
      <c r="L1726" s="448"/>
      <c r="M1726" s="448"/>
    </row>
    <row r="1727" spans="2:13" ht="15.75">
      <c r="B1727" s="449" t="s">
        <v>19</v>
      </c>
      <c r="C1727" s="449"/>
      <c r="D1727" s="449"/>
      <c r="E1727" s="449"/>
      <c r="F1727" s="448"/>
      <c r="G1727" s="448"/>
      <c r="H1727" s="448"/>
      <c r="I1727" s="448"/>
      <c r="J1727" s="448"/>
      <c r="K1727" s="448"/>
      <c r="L1727" s="448"/>
      <c r="M1727" s="448"/>
    </row>
    <row r="1728" spans="2:13" ht="15.75">
      <c r="B1728" s="450" t="s">
        <v>2</v>
      </c>
      <c r="C1728" s="451" t="s">
        <v>3</v>
      </c>
      <c r="D1728" s="451" t="s">
        <v>4</v>
      </c>
      <c r="E1728" s="451" t="s">
        <v>5</v>
      </c>
      <c r="F1728" s="451" t="s">
        <v>6</v>
      </c>
      <c r="G1728" s="451" t="s">
        <v>7</v>
      </c>
      <c r="H1728" s="451" t="s">
        <v>8</v>
      </c>
      <c r="I1728" s="451" t="s">
        <v>9</v>
      </c>
      <c r="J1728" s="451" t="s">
        <v>10</v>
      </c>
      <c r="K1728" s="451" t="s">
        <v>11</v>
      </c>
      <c r="L1728" s="451" t="s">
        <v>12</v>
      </c>
      <c r="M1728" s="450" t="s">
        <v>13</v>
      </c>
    </row>
    <row r="1729" spans="2:13" ht="15.75">
      <c r="B1729" s="452" t="s">
        <v>14</v>
      </c>
      <c r="C1729" s="463">
        <f>4958*2</f>
        <v>9916</v>
      </c>
      <c r="D1729" s="464">
        <f>3717*2</f>
        <v>7434</v>
      </c>
      <c r="E1729" s="464">
        <f>2791*2</f>
        <v>5582</v>
      </c>
      <c r="F1729" s="464">
        <f>2092*2</f>
        <v>4184</v>
      </c>
      <c r="G1729" s="464">
        <f>1569*2</f>
        <v>3138</v>
      </c>
      <c r="H1729" s="464">
        <f>1178*2</f>
        <v>2356</v>
      </c>
      <c r="I1729" s="464">
        <f>882*2</f>
        <v>1764</v>
      </c>
      <c r="J1729" s="464">
        <f>662*2</f>
        <v>1324</v>
      </c>
      <c r="K1729" s="464">
        <f>498*2</f>
        <v>996</v>
      </c>
      <c r="L1729" s="464">
        <f>372*2</f>
        <v>744</v>
      </c>
      <c r="M1729" s="465">
        <f>277*2</f>
        <v>554</v>
      </c>
    </row>
    <row r="1730" spans="2:13" ht="15.75">
      <c r="B1730" s="452" t="s">
        <v>15</v>
      </c>
      <c r="C1730" s="464">
        <f>3219*2</f>
        <v>6438</v>
      </c>
      <c r="D1730" s="464">
        <f>2419*2</f>
        <v>4838</v>
      </c>
      <c r="E1730" s="464">
        <f>1814*2</f>
        <v>3628</v>
      </c>
      <c r="F1730" s="464">
        <f>1361*2</f>
        <v>2722</v>
      </c>
      <c r="G1730" s="464">
        <f>1021*2</f>
        <v>2042</v>
      </c>
      <c r="H1730" s="464">
        <f>762*2</f>
        <v>1524</v>
      </c>
      <c r="I1730" s="464">
        <f>573*2</f>
        <v>1146</v>
      </c>
      <c r="J1730" s="464">
        <f>428*2</f>
        <v>856</v>
      </c>
      <c r="K1730" s="464">
        <f>321*2</f>
        <v>642</v>
      </c>
      <c r="L1730" s="464">
        <f>239*2</f>
        <v>478</v>
      </c>
      <c r="M1730" s="465">
        <f>183*2</f>
        <v>366</v>
      </c>
    </row>
    <row r="1731" spans="2:13" ht="15.75">
      <c r="B1731" s="452" t="s">
        <v>16</v>
      </c>
      <c r="C1731" s="456" t="s">
        <v>18</v>
      </c>
      <c r="D1731" s="457"/>
      <c r="E1731" s="457"/>
      <c r="F1731" s="457"/>
      <c r="G1731" s="457"/>
      <c r="H1731" s="457"/>
      <c r="I1731" s="457"/>
      <c r="J1731" s="457"/>
      <c r="K1731" s="457"/>
      <c r="L1731" s="457"/>
      <c r="M1731" s="458"/>
    </row>
    <row r="1732" spans="2:13" ht="15.75">
      <c r="B1732" s="452" t="s">
        <v>17</v>
      </c>
      <c r="C1732" s="456" t="s">
        <v>18</v>
      </c>
      <c r="D1732" s="457"/>
      <c r="E1732" s="457"/>
      <c r="F1732" s="457"/>
      <c r="G1732" s="457"/>
      <c r="H1732" s="457"/>
      <c r="I1732" s="457"/>
      <c r="J1732" s="457"/>
      <c r="K1732" s="457"/>
      <c r="L1732" s="457"/>
      <c r="M1732" s="458"/>
    </row>
    <row r="1733" spans="2:13" ht="15.75">
      <c r="B1733" s="466"/>
      <c r="C1733" s="468"/>
      <c r="D1733" s="468"/>
      <c r="E1733" s="468"/>
      <c r="F1733" s="468"/>
      <c r="G1733" s="468"/>
      <c r="H1733" s="468"/>
      <c r="I1733" s="468"/>
      <c r="J1733" s="468"/>
      <c r="K1733" s="468"/>
      <c r="L1733" s="468"/>
      <c r="M1733" s="468"/>
    </row>
    <row r="1734" spans="2:13" ht="15.75">
      <c r="B1734" s="447" t="s">
        <v>148</v>
      </c>
      <c r="C1734" s="447"/>
      <c r="D1734" s="447"/>
      <c r="E1734" s="447"/>
      <c r="F1734" s="448"/>
      <c r="G1734" s="448"/>
      <c r="H1734" s="448"/>
      <c r="I1734" s="448"/>
      <c r="J1734" s="448"/>
      <c r="K1734" s="448"/>
      <c r="L1734" s="448"/>
      <c r="M1734" s="448"/>
    </row>
    <row r="1735" spans="2:13" ht="15.75">
      <c r="B1735" s="449" t="s">
        <v>39</v>
      </c>
      <c r="C1735" s="449"/>
      <c r="D1735" s="449"/>
      <c r="E1735" s="449"/>
      <c r="F1735" s="448"/>
      <c r="G1735" s="448"/>
      <c r="H1735" s="448"/>
      <c r="I1735" s="448"/>
      <c r="J1735" s="448"/>
      <c r="K1735" s="448"/>
      <c r="L1735" s="448"/>
      <c r="M1735" s="448"/>
    </row>
    <row r="1736" spans="2:13" ht="15.75">
      <c r="B1736" s="450" t="s">
        <v>2</v>
      </c>
      <c r="C1736" s="451" t="s">
        <v>3</v>
      </c>
      <c r="D1736" s="451" t="s">
        <v>4</v>
      </c>
      <c r="E1736" s="451" t="s">
        <v>5</v>
      </c>
      <c r="F1736" s="451" t="s">
        <v>6</v>
      </c>
      <c r="G1736" s="451" t="s">
        <v>7</v>
      </c>
      <c r="H1736" s="451" t="s">
        <v>8</v>
      </c>
      <c r="I1736" s="451" t="s">
        <v>9</v>
      </c>
      <c r="J1736" s="451" t="s">
        <v>10</v>
      </c>
      <c r="K1736" s="451" t="s">
        <v>11</v>
      </c>
      <c r="L1736" s="451" t="s">
        <v>12</v>
      </c>
      <c r="M1736" s="450" t="s">
        <v>13</v>
      </c>
    </row>
    <row r="1737" spans="2:13" ht="15.75">
      <c r="B1737" s="452" t="s">
        <v>14</v>
      </c>
      <c r="C1737" s="463">
        <f>1602*2</f>
        <v>3204</v>
      </c>
      <c r="D1737" s="464">
        <f>1202*2</f>
        <v>2404</v>
      </c>
      <c r="E1737" s="464">
        <f>901*2</f>
        <v>1802</v>
      </c>
      <c r="F1737" s="464">
        <f>676*2</f>
        <v>1352</v>
      </c>
      <c r="G1737" s="464">
        <f>507*2</f>
        <v>1014</v>
      </c>
      <c r="H1737" s="464">
        <f>380*2</f>
        <v>760</v>
      </c>
      <c r="I1737" s="464">
        <f>285*2</f>
        <v>570</v>
      </c>
      <c r="J1737" s="464">
        <f>214*2</f>
        <v>428</v>
      </c>
      <c r="K1737" s="464">
        <f>160*2</f>
        <v>320</v>
      </c>
      <c r="L1737" s="464">
        <f>120*2</f>
        <v>240</v>
      </c>
      <c r="M1737" s="465">
        <f>90*2</f>
        <v>180</v>
      </c>
    </row>
    <row r="1738" spans="2:13" ht="15.75">
      <c r="B1738" s="452" t="s">
        <v>15</v>
      </c>
      <c r="C1738" s="464">
        <f>837*2</f>
        <v>1674</v>
      </c>
      <c r="D1738" s="464">
        <f>628*2</f>
        <v>1256</v>
      </c>
      <c r="E1738" s="464">
        <f>471*2</f>
        <v>942</v>
      </c>
      <c r="F1738" s="464">
        <f>353*2</f>
        <v>706</v>
      </c>
      <c r="G1738" s="464">
        <f>265*2</f>
        <v>530</v>
      </c>
      <c r="H1738" s="464">
        <f>199*2</f>
        <v>398</v>
      </c>
      <c r="I1738" s="464">
        <f>149*2</f>
        <v>298</v>
      </c>
      <c r="J1738" s="464">
        <f>112*2</f>
        <v>224</v>
      </c>
      <c r="K1738" s="464">
        <f>84*2</f>
        <v>168</v>
      </c>
      <c r="L1738" s="464">
        <f>63*2</f>
        <v>126</v>
      </c>
      <c r="M1738" s="465">
        <f>47*2</f>
        <v>94</v>
      </c>
    </row>
    <row r="1739" spans="2:13" ht="15.75">
      <c r="B1739" s="452" t="s">
        <v>16</v>
      </c>
      <c r="C1739" s="456" t="s">
        <v>18</v>
      </c>
      <c r="D1739" s="457"/>
      <c r="E1739" s="457"/>
      <c r="F1739" s="457"/>
      <c r="G1739" s="457"/>
      <c r="H1739" s="457"/>
      <c r="I1739" s="457"/>
      <c r="J1739" s="457"/>
      <c r="K1739" s="457"/>
      <c r="L1739" s="457"/>
      <c r="M1739" s="458"/>
    </row>
    <row r="1740" spans="2:13" ht="15.75">
      <c r="B1740" s="452" t="s">
        <v>17</v>
      </c>
      <c r="C1740" s="456" t="s">
        <v>18</v>
      </c>
      <c r="D1740" s="457"/>
      <c r="E1740" s="457"/>
      <c r="F1740" s="457"/>
      <c r="G1740" s="457"/>
      <c r="H1740" s="457"/>
      <c r="I1740" s="457"/>
      <c r="J1740" s="457"/>
      <c r="K1740" s="457"/>
      <c r="L1740" s="457"/>
      <c r="M1740" s="458"/>
    </row>
    <row r="1741" spans="2:13" ht="15.75">
      <c r="B1741" s="462"/>
      <c r="C1741" s="462"/>
      <c r="D1741" s="462"/>
      <c r="E1741" s="462"/>
      <c r="F1741" s="448"/>
      <c r="G1741" s="448"/>
      <c r="H1741" s="448"/>
      <c r="I1741" s="448"/>
      <c r="J1741" s="448"/>
      <c r="K1741" s="448"/>
      <c r="L1741" s="448"/>
      <c r="M1741" s="448"/>
    </row>
    <row r="1742" spans="2:13" ht="15.75">
      <c r="B1742" s="449" t="s">
        <v>19</v>
      </c>
      <c r="C1742" s="449"/>
      <c r="D1742" s="449"/>
      <c r="E1742" s="449"/>
      <c r="F1742" s="448"/>
      <c r="G1742" s="448"/>
      <c r="H1742" s="448"/>
      <c r="I1742" s="448"/>
      <c r="J1742" s="448"/>
      <c r="K1742" s="448"/>
      <c r="L1742" s="448"/>
      <c r="M1742" s="448"/>
    </row>
    <row r="1743" spans="2:13" ht="15.75">
      <c r="B1743" s="450" t="s">
        <v>2</v>
      </c>
      <c r="C1743" s="451" t="s">
        <v>3</v>
      </c>
      <c r="D1743" s="451" t="s">
        <v>4</v>
      </c>
      <c r="E1743" s="451" t="s">
        <v>5</v>
      </c>
      <c r="F1743" s="451" t="s">
        <v>6</v>
      </c>
      <c r="G1743" s="451" t="s">
        <v>7</v>
      </c>
      <c r="H1743" s="451" t="s">
        <v>8</v>
      </c>
      <c r="I1743" s="451" t="s">
        <v>9</v>
      </c>
      <c r="J1743" s="451" t="s">
        <v>10</v>
      </c>
      <c r="K1743" s="451" t="s">
        <v>11</v>
      </c>
      <c r="L1743" s="451" t="s">
        <v>12</v>
      </c>
      <c r="M1743" s="450" t="s">
        <v>13</v>
      </c>
    </row>
    <row r="1744" spans="2:13" ht="15.75">
      <c r="B1744" s="452" t="s">
        <v>14</v>
      </c>
      <c r="C1744" s="463">
        <f>2404*2</f>
        <v>4808</v>
      </c>
      <c r="D1744" s="464">
        <f>1803*2</f>
        <v>3606</v>
      </c>
      <c r="E1744" s="464">
        <f>1352*2</f>
        <v>2704</v>
      </c>
      <c r="F1744" s="464">
        <f>1014*2</f>
        <v>2028</v>
      </c>
      <c r="G1744" s="464">
        <f>761*2</f>
        <v>1522</v>
      </c>
      <c r="H1744" s="464">
        <f>570*2</f>
        <v>1140</v>
      </c>
      <c r="I1744" s="464">
        <f>428*2</f>
        <v>856</v>
      </c>
      <c r="J1744" s="464">
        <f>321*2</f>
        <v>642</v>
      </c>
      <c r="K1744" s="464">
        <f>241*2</f>
        <v>482</v>
      </c>
      <c r="L1744" s="464">
        <f>180*2</f>
        <v>360</v>
      </c>
      <c r="M1744" s="465">
        <f>135*2</f>
        <v>270</v>
      </c>
    </row>
    <row r="1745" spans="2:13" ht="15.75">
      <c r="B1745" s="452" t="s">
        <v>15</v>
      </c>
      <c r="C1745" s="464">
        <f>1256*2</f>
        <v>2512</v>
      </c>
      <c r="D1745" s="464">
        <f>942*2</f>
        <v>1884</v>
      </c>
      <c r="E1745" s="464">
        <f>706*2</f>
        <v>1412</v>
      </c>
      <c r="F1745" s="464">
        <f>530*2</f>
        <v>1060</v>
      </c>
      <c r="G1745" s="464">
        <f>397*2</f>
        <v>794</v>
      </c>
      <c r="H1745" s="464">
        <f>298*2</f>
        <v>596</v>
      </c>
      <c r="I1745" s="464">
        <f>223*2</f>
        <v>446</v>
      </c>
      <c r="J1745" s="464">
        <f>168*2</f>
        <v>336</v>
      </c>
      <c r="K1745" s="464">
        <f>126*2</f>
        <v>252</v>
      </c>
      <c r="L1745" s="464">
        <f>94*2</f>
        <v>188</v>
      </c>
      <c r="M1745" s="465">
        <f>71*2</f>
        <v>142</v>
      </c>
    </row>
    <row r="1746" spans="2:13" ht="15.75">
      <c r="B1746" s="452" t="s">
        <v>16</v>
      </c>
      <c r="C1746" s="456" t="s">
        <v>18</v>
      </c>
      <c r="D1746" s="457"/>
      <c r="E1746" s="457"/>
      <c r="F1746" s="457"/>
      <c r="G1746" s="457"/>
      <c r="H1746" s="457"/>
      <c r="I1746" s="457"/>
      <c r="J1746" s="457"/>
      <c r="K1746" s="457"/>
      <c r="L1746" s="457"/>
      <c r="M1746" s="458"/>
    </row>
    <row r="1747" spans="2:13" ht="15.75">
      <c r="B1747" s="452" t="s">
        <v>17</v>
      </c>
      <c r="C1747" s="456" t="s">
        <v>18</v>
      </c>
      <c r="D1747" s="457"/>
      <c r="E1747" s="457"/>
      <c r="F1747" s="457"/>
      <c r="G1747" s="457"/>
      <c r="H1747" s="457"/>
      <c r="I1747" s="457"/>
      <c r="J1747" s="457"/>
      <c r="K1747" s="457"/>
      <c r="L1747" s="457"/>
      <c r="M1747" s="458"/>
    </row>
    <row r="1748" spans="2:13" ht="15.75">
      <c r="B1748" s="466"/>
      <c r="C1748" s="468"/>
      <c r="D1748" s="468"/>
      <c r="E1748" s="468"/>
      <c r="F1748" s="468"/>
      <c r="G1748" s="468"/>
      <c r="H1748" s="468"/>
      <c r="I1748" s="468"/>
      <c r="J1748" s="468"/>
      <c r="K1748" s="468"/>
      <c r="L1748" s="468"/>
      <c r="M1748" s="468"/>
    </row>
    <row r="1749" spans="2:13" ht="15.75">
      <c r="B1749" s="447" t="s">
        <v>149</v>
      </c>
      <c r="C1749" s="447"/>
      <c r="D1749" s="447"/>
      <c r="E1749" s="447"/>
      <c r="F1749" s="448"/>
      <c r="G1749" s="448"/>
      <c r="H1749" s="448"/>
      <c r="I1749" s="448"/>
      <c r="J1749" s="448"/>
      <c r="K1749" s="448"/>
      <c r="L1749" s="448"/>
      <c r="M1749" s="448"/>
    </row>
    <row r="1750" spans="2:13" ht="15.75">
      <c r="B1750" s="449" t="s">
        <v>39</v>
      </c>
      <c r="C1750" s="449"/>
      <c r="D1750" s="449"/>
      <c r="E1750" s="449"/>
      <c r="F1750" s="448"/>
      <c r="G1750" s="448"/>
      <c r="H1750" s="448"/>
      <c r="I1750" s="448"/>
      <c r="J1750" s="448"/>
      <c r="K1750" s="448"/>
      <c r="L1750" s="448"/>
      <c r="M1750" s="448"/>
    </row>
    <row r="1751" spans="2:13" ht="15.75">
      <c r="B1751" s="450" t="s">
        <v>2</v>
      </c>
      <c r="C1751" s="451" t="s">
        <v>3</v>
      </c>
      <c r="D1751" s="451" t="s">
        <v>4</v>
      </c>
      <c r="E1751" s="451" t="s">
        <v>5</v>
      </c>
      <c r="F1751" s="451" t="s">
        <v>6</v>
      </c>
      <c r="G1751" s="451" t="s">
        <v>7</v>
      </c>
      <c r="H1751" s="451" t="s">
        <v>8</v>
      </c>
      <c r="I1751" s="451" t="s">
        <v>9</v>
      </c>
      <c r="J1751" s="451" t="s">
        <v>10</v>
      </c>
      <c r="K1751" s="451" t="s">
        <v>11</v>
      </c>
      <c r="L1751" s="451" t="s">
        <v>12</v>
      </c>
      <c r="M1751" s="450" t="s">
        <v>13</v>
      </c>
    </row>
    <row r="1752" spans="2:13" ht="15.75">
      <c r="B1752" s="452" t="s">
        <v>14</v>
      </c>
      <c r="C1752" s="463">
        <f>414*2</f>
        <v>828</v>
      </c>
      <c r="D1752" s="464">
        <f>310*2</f>
        <v>620</v>
      </c>
      <c r="E1752" s="464">
        <f>233*2</f>
        <v>466</v>
      </c>
      <c r="F1752" s="464">
        <f>175*2</f>
        <v>350</v>
      </c>
      <c r="G1752" s="464">
        <f>131*2</f>
        <v>262</v>
      </c>
      <c r="H1752" s="464">
        <f>98*2</f>
        <v>196</v>
      </c>
      <c r="I1752" s="464">
        <f>74*2</f>
        <v>148</v>
      </c>
      <c r="J1752" s="464">
        <f>55*2</f>
        <v>110</v>
      </c>
      <c r="K1752" s="464">
        <f>41*2</f>
        <v>82</v>
      </c>
      <c r="L1752" s="464">
        <f>31*2</f>
        <v>62</v>
      </c>
      <c r="M1752" s="465">
        <f>23*2</f>
        <v>46</v>
      </c>
    </row>
    <row r="1753" spans="2:13" ht="15.75">
      <c r="B1753" s="452" t="s">
        <v>15</v>
      </c>
      <c r="C1753" s="464">
        <f>246*2</f>
        <v>492</v>
      </c>
      <c r="D1753" s="464">
        <f>184*2</f>
        <v>368</v>
      </c>
      <c r="E1753" s="464">
        <f>138*2</f>
        <v>276</v>
      </c>
      <c r="F1753" s="464">
        <f>104*2</f>
        <v>208</v>
      </c>
      <c r="G1753" s="464">
        <f>78*2</f>
        <v>156</v>
      </c>
      <c r="H1753" s="464">
        <f>58*2</f>
        <v>116</v>
      </c>
      <c r="I1753" s="464">
        <f>44*2</f>
        <v>88</v>
      </c>
      <c r="J1753" s="464">
        <f>33*2</f>
        <v>66</v>
      </c>
      <c r="K1753" s="464">
        <f>25*2</f>
        <v>50</v>
      </c>
      <c r="L1753" s="464">
        <f>18*2</f>
        <v>36</v>
      </c>
      <c r="M1753" s="465">
        <f>14*2</f>
        <v>28</v>
      </c>
    </row>
    <row r="1754" spans="2:13" ht="15.75">
      <c r="B1754" s="452" t="s">
        <v>16</v>
      </c>
      <c r="C1754" s="456" t="s">
        <v>18</v>
      </c>
      <c r="D1754" s="457"/>
      <c r="E1754" s="457"/>
      <c r="F1754" s="457"/>
      <c r="G1754" s="457"/>
      <c r="H1754" s="457"/>
      <c r="I1754" s="457"/>
      <c r="J1754" s="457"/>
      <c r="K1754" s="457"/>
      <c r="L1754" s="457"/>
      <c r="M1754" s="458"/>
    </row>
    <row r="1755" spans="2:13" ht="15.75">
      <c r="B1755" s="452" t="s">
        <v>17</v>
      </c>
      <c r="C1755" s="456" t="s">
        <v>18</v>
      </c>
      <c r="D1755" s="457"/>
      <c r="E1755" s="457"/>
      <c r="F1755" s="457"/>
      <c r="G1755" s="457"/>
      <c r="H1755" s="457"/>
      <c r="I1755" s="457"/>
      <c r="J1755" s="457"/>
      <c r="K1755" s="457"/>
      <c r="L1755" s="457"/>
      <c r="M1755" s="458"/>
    </row>
    <row r="1756" spans="2:13" ht="15.75">
      <c r="B1756" s="462"/>
      <c r="C1756" s="462"/>
      <c r="D1756" s="462"/>
      <c r="E1756" s="462"/>
      <c r="F1756" s="448"/>
      <c r="G1756" s="448"/>
      <c r="H1756" s="448"/>
      <c r="I1756" s="448"/>
      <c r="J1756" s="448"/>
      <c r="K1756" s="448"/>
      <c r="L1756" s="448"/>
      <c r="M1756" s="448"/>
    </row>
    <row r="1757" spans="2:13" ht="15.75">
      <c r="B1757" s="449" t="s">
        <v>19</v>
      </c>
      <c r="C1757" s="449"/>
      <c r="D1757" s="449"/>
      <c r="E1757" s="449"/>
      <c r="F1757" s="448"/>
      <c r="G1757" s="448"/>
      <c r="H1757" s="448"/>
      <c r="I1757" s="448"/>
      <c r="J1757" s="448"/>
      <c r="K1757" s="448"/>
      <c r="L1757" s="448"/>
      <c r="M1757" s="448"/>
    </row>
    <row r="1758" spans="2:13" ht="15.75">
      <c r="B1758" s="450" t="s">
        <v>2</v>
      </c>
      <c r="C1758" s="451" t="s">
        <v>3</v>
      </c>
      <c r="D1758" s="451" t="s">
        <v>4</v>
      </c>
      <c r="E1758" s="451" t="s">
        <v>5</v>
      </c>
      <c r="F1758" s="451" t="s">
        <v>6</v>
      </c>
      <c r="G1758" s="451" t="s">
        <v>7</v>
      </c>
      <c r="H1758" s="451" t="s">
        <v>8</v>
      </c>
      <c r="I1758" s="451" t="s">
        <v>9</v>
      </c>
      <c r="J1758" s="451" t="s">
        <v>10</v>
      </c>
      <c r="K1758" s="451" t="s">
        <v>11</v>
      </c>
      <c r="L1758" s="451" t="s">
        <v>12</v>
      </c>
      <c r="M1758" s="450" t="s">
        <v>13</v>
      </c>
    </row>
    <row r="1759" spans="2:13" ht="15.75">
      <c r="B1759" s="452" t="s">
        <v>14</v>
      </c>
      <c r="C1759" s="463">
        <f>621*2</f>
        <v>1242</v>
      </c>
      <c r="D1759" s="464">
        <f>465*2</f>
        <v>930</v>
      </c>
      <c r="E1759" s="464">
        <f>349*2</f>
        <v>698</v>
      </c>
      <c r="F1759" s="464">
        <f>262*2</f>
        <v>524</v>
      </c>
      <c r="G1759" s="464">
        <f>196*2</f>
        <v>392</v>
      </c>
      <c r="H1759" s="464">
        <f>147*2</f>
        <v>294</v>
      </c>
      <c r="I1759" s="464">
        <f>110*2</f>
        <v>220</v>
      </c>
      <c r="J1759" s="464">
        <f>83*2</f>
        <v>166</v>
      </c>
      <c r="K1759" s="464">
        <f>62*2</f>
        <v>124</v>
      </c>
      <c r="L1759" s="464">
        <f>47*2</f>
        <v>94</v>
      </c>
      <c r="M1759" s="465">
        <f>35*2</f>
        <v>70</v>
      </c>
    </row>
    <row r="1760" spans="2:13" ht="15.75">
      <c r="B1760" s="452" t="s">
        <v>15</v>
      </c>
      <c r="C1760" s="464">
        <f>369*2</f>
        <v>738</v>
      </c>
      <c r="D1760" s="464">
        <f>277*2</f>
        <v>554</v>
      </c>
      <c r="E1760" s="464">
        <f>207*2</f>
        <v>414</v>
      </c>
      <c r="F1760" s="464">
        <f>156*2</f>
        <v>312</v>
      </c>
      <c r="G1760" s="464">
        <f>117*2</f>
        <v>234</v>
      </c>
      <c r="H1760" s="464">
        <f>87*2</f>
        <v>174</v>
      </c>
      <c r="I1760" s="464">
        <f>66*2</f>
        <v>132</v>
      </c>
      <c r="J1760" s="464">
        <f>49*2</f>
        <v>98</v>
      </c>
      <c r="K1760" s="464">
        <f>37*2</f>
        <v>74</v>
      </c>
      <c r="L1760" s="464">
        <f>28*2</f>
        <v>56</v>
      </c>
      <c r="M1760" s="465">
        <f>21*2</f>
        <v>42</v>
      </c>
    </row>
    <row r="1761" spans="2:13" ht="15.75">
      <c r="B1761" s="452" t="s">
        <v>16</v>
      </c>
      <c r="C1761" s="456" t="s">
        <v>18</v>
      </c>
      <c r="D1761" s="457"/>
      <c r="E1761" s="457"/>
      <c r="F1761" s="457"/>
      <c r="G1761" s="457"/>
      <c r="H1761" s="457"/>
      <c r="I1761" s="457"/>
      <c r="J1761" s="457"/>
      <c r="K1761" s="457"/>
      <c r="L1761" s="457"/>
      <c r="M1761" s="458"/>
    </row>
    <row r="1762" spans="2:13" ht="15.75">
      <c r="B1762" s="452" t="s">
        <v>17</v>
      </c>
      <c r="C1762" s="456" t="s">
        <v>18</v>
      </c>
      <c r="D1762" s="457"/>
      <c r="E1762" s="457"/>
      <c r="F1762" s="457"/>
      <c r="G1762" s="457"/>
      <c r="H1762" s="457"/>
      <c r="I1762" s="457"/>
      <c r="J1762" s="457"/>
      <c r="K1762" s="457"/>
      <c r="L1762" s="457"/>
      <c r="M1762" s="458"/>
    </row>
    <row r="1763" spans="2:13" ht="15.75">
      <c r="B1763" s="466"/>
      <c r="C1763" s="468"/>
      <c r="D1763" s="468"/>
      <c r="E1763" s="468"/>
      <c r="F1763" s="468"/>
      <c r="G1763" s="468"/>
      <c r="H1763" s="468"/>
      <c r="I1763" s="468"/>
      <c r="J1763" s="468"/>
      <c r="K1763" s="468"/>
      <c r="L1763" s="468"/>
      <c r="M1763" s="468"/>
    </row>
    <row r="1764" spans="2:13" ht="15.75">
      <c r="B1764" s="447" t="s">
        <v>150</v>
      </c>
      <c r="C1764" s="447"/>
      <c r="D1764" s="447"/>
      <c r="E1764" s="447"/>
      <c r="F1764" s="448"/>
      <c r="G1764" s="448"/>
      <c r="H1764" s="448"/>
      <c r="I1764" s="448"/>
      <c r="J1764" s="448"/>
      <c r="K1764" s="448"/>
      <c r="L1764" s="448"/>
      <c r="M1764" s="448"/>
    </row>
    <row r="1765" spans="2:13" ht="15.75">
      <c r="B1765" s="449" t="s">
        <v>39</v>
      </c>
      <c r="C1765" s="449"/>
      <c r="D1765" s="449"/>
      <c r="E1765" s="449"/>
      <c r="F1765" s="448"/>
      <c r="G1765" s="448"/>
      <c r="H1765" s="448"/>
      <c r="I1765" s="448"/>
      <c r="J1765" s="448"/>
      <c r="K1765" s="448"/>
      <c r="L1765" s="448"/>
      <c r="M1765" s="448"/>
    </row>
    <row r="1766" spans="2:13" ht="15.75">
      <c r="B1766" s="450" t="s">
        <v>2</v>
      </c>
      <c r="C1766" s="451" t="s">
        <v>3</v>
      </c>
      <c r="D1766" s="451" t="s">
        <v>4</v>
      </c>
      <c r="E1766" s="451" t="s">
        <v>5</v>
      </c>
      <c r="F1766" s="451" t="s">
        <v>6</v>
      </c>
      <c r="G1766" s="451" t="s">
        <v>7</v>
      </c>
      <c r="H1766" s="451" t="s">
        <v>8</v>
      </c>
      <c r="I1766" s="451" t="s">
        <v>9</v>
      </c>
      <c r="J1766" s="451" t="s">
        <v>10</v>
      </c>
      <c r="K1766" s="451" t="s">
        <v>11</v>
      </c>
      <c r="L1766" s="451" t="s">
        <v>12</v>
      </c>
      <c r="M1766" s="450" t="s">
        <v>13</v>
      </c>
    </row>
    <row r="1767" spans="2:13" ht="15.75">
      <c r="B1767" s="452" t="s">
        <v>14</v>
      </c>
      <c r="C1767" s="463">
        <f>3000*2</f>
        <v>6000</v>
      </c>
      <c r="D1767" s="464">
        <f>2000*2</f>
        <v>4000</v>
      </c>
      <c r="E1767" s="464">
        <f>1000*2</f>
        <v>2000</v>
      </c>
      <c r="F1767" s="464">
        <f>500*2</f>
        <v>1000</v>
      </c>
      <c r="G1767" s="464">
        <f>400*2</f>
        <v>800</v>
      </c>
      <c r="H1767" s="464">
        <f>300*2</f>
        <v>600</v>
      </c>
      <c r="I1767" s="464">
        <f>200*2</f>
        <v>400</v>
      </c>
      <c r="J1767" s="464">
        <f>100*2</f>
        <v>200</v>
      </c>
      <c r="K1767" s="464">
        <f>50*2</f>
        <v>100</v>
      </c>
      <c r="L1767" s="464">
        <f>30*2</f>
        <v>60</v>
      </c>
      <c r="M1767" s="465">
        <f>20*2</f>
        <v>40</v>
      </c>
    </row>
    <row r="1768" spans="2:13" ht="15.75">
      <c r="B1768" s="452" t="s">
        <v>15</v>
      </c>
      <c r="C1768" s="464">
        <f>2000*2</f>
        <v>4000</v>
      </c>
      <c r="D1768" s="464">
        <f>1000*2</f>
        <v>2000</v>
      </c>
      <c r="E1768" s="464">
        <f>500*2</f>
        <v>1000</v>
      </c>
      <c r="F1768" s="464">
        <f>400*2</f>
        <v>800</v>
      </c>
      <c r="G1768" s="464">
        <f>300*2</f>
        <v>600</v>
      </c>
      <c r="H1768" s="464">
        <f>200*2</f>
        <v>400</v>
      </c>
      <c r="I1768" s="464">
        <f>100*2</f>
        <v>200</v>
      </c>
      <c r="J1768" s="464">
        <f>50*2</f>
        <v>100</v>
      </c>
      <c r="K1768" s="464">
        <f>30*2</f>
        <v>60</v>
      </c>
      <c r="L1768" s="464">
        <f>20*2</f>
        <v>40</v>
      </c>
      <c r="M1768" s="465">
        <f>10*2</f>
        <v>20</v>
      </c>
    </row>
    <row r="1769" spans="2:13" ht="15.75">
      <c r="B1769" s="452" t="s">
        <v>16</v>
      </c>
      <c r="C1769" s="464">
        <f>1000*2</f>
        <v>2000</v>
      </c>
      <c r="D1769" s="464">
        <f>500*2</f>
        <v>1000</v>
      </c>
      <c r="E1769" s="464">
        <f>400*2</f>
        <v>800</v>
      </c>
      <c r="F1769" s="464">
        <f>300*2</f>
        <v>600</v>
      </c>
      <c r="G1769" s="464">
        <f>200*2</f>
        <v>400</v>
      </c>
      <c r="H1769" s="464">
        <f>100*2</f>
        <v>200</v>
      </c>
      <c r="I1769" s="464">
        <f>50*2</f>
        <v>100</v>
      </c>
      <c r="J1769" s="464">
        <f>30*2</f>
        <v>60</v>
      </c>
      <c r="K1769" s="464">
        <f>20*2</f>
        <v>40</v>
      </c>
      <c r="L1769" s="464">
        <f>10*2</f>
        <v>20</v>
      </c>
      <c r="M1769" s="465">
        <f>5*2</f>
        <v>10</v>
      </c>
    </row>
    <row r="1770" spans="2:13" ht="15.75">
      <c r="B1770" s="452" t="s">
        <v>17</v>
      </c>
      <c r="C1770" s="456" t="s">
        <v>18</v>
      </c>
      <c r="D1770" s="457"/>
      <c r="E1770" s="457"/>
      <c r="F1770" s="457"/>
      <c r="G1770" s="457"/>
      <c r="H1770" s="457"/>
      <c r="I1770" s="457"/>
      <c r="J1770" s="457"/>
      <c r="K1770" s="457"/>
      <c r="L1770" s="457"/>
      <c r="M1770" s="458"/>
    </row>
    <row r="1771" spans="2:13" ht="15.75">
      <c r="B1771" s="462"/>
      <c r="C1771" s="462"/>
      <c r="D1771" s="462"/>
      <c r="E1771" s="462"/>
      <c r="F1771" s="448"/>
      <c r="G1771" s="448"/>
      <c r="H1771" s="448"/>
      <c r="I1771" s="448"/>
      <c r="J1771" s="448"/>
      <c r="K1771" s="448"/>
      <c r="L1771" s="448"/>
      <c r="M1771" s="448"/>
    </row>
    <row r="1772" spans="2:13" ht="15.75">
      <c r="B1772" s="449" t="s">
        <v>19</v>
      </c>
      <c r="C1772" s="449"/>
      <c r="D1772" s="449"/>
      <c r="E1772" s="449"/>
      <c r="F1772" s="448"/>
      <c r="G1772" s="448"/>
      <c r="H1772" s="448"/>
      <c r="I1772" s="448"/>
      <c r="J1772" s="448"/>
      <c r="K1772" s="448"/>
      <c r="L1772" s="448"/>
      <c r="M1772" s="448"/>
    </row>
    <row r="1773" spans="2:13" ht="15.75">
      <c r="B1773" s="450" t="s">
        <v>2</v>
      </c>
      <c r="C1773" s="451" t="s">
        <v>3</v>
      </c>
      <c r="D1773" s="451" t="s">
        <v>4</v>
      </c>
      <c r="E1773" s="451" t="s">
        <v>5</v>
      </c>
      <c r="F1773" s="451" t="s">
        <v>6</v>
      </c>
      <c r="G1773" s="451" t="s">
        <v>7</v>
      </c>
      <c r="H1773" s="451" t="s">
        <v>8</v>
      </c>
      <c r="I1773" s="451" t="s">
        <v>9</v>
      </c>
      <c r="J1773" s="451" t="s">
        <v>10</v>
      </c>
      <c r="K1773" s="451" t="s">
        <v>11</v>
      </c>
      <c r="L1773" s="451" t="s">
        <v>12</v>
      </c>
      <c r="M1773" s="450" t="s">
        <v>13</v>
      </c>
    </row>
    <row r="1774" spans="2:13" ht="15.75">
      <c r="B1774" s="452" t="s">
        <v>14</v>
      </c>
      <c r="C1774" s="463">
        <f>3200*2</f>
        <v>6400</v>
      </c>
      <c r="D1774" s="464">
        <f>2400*2</f>
        <v>4800</v>
      </c>
      <c r="E1774" s="464">
        <f>1700*2</f>
        <v>3400</v>
      </c>
      <c r="F1774" s="464">
        <f>1000*2</f>
        <v>2000</v>
      </c>
      <c r="G1774" s="464">
        <f>600*2</f>
        <v>1200</v>
      </c>
      <c r="H1774" s="464">
        <f>400*2</f>
        <v>800</v>
      </c>
      <c r="I1774" s="464">
        <f>300*2</f>
        <v>600</v>
      </c>
      <c r="J1774" s="464">
        <f>150*2</f>
        <v>300</v>
      </c>
      <c r="K1774" s="464">
        <f>60*2</f>
        <v>120</v>
      </c>
      <c r="L1774" s="464">
        <f>40*2</f>
        <v>80</v>
      </c>
      <c r="M1774" s="465">
        <f>20*2</f>
        <v>40</v>
      </c>
    </row>
    <row r="1775" spans="2:13" ht="15.75">
      <c r="B1775" s="452" t="s">
        <v>15</v>
      </c>
      <c r="C1775" s="464">
        <f>2400*2</f>
        <v>4800</v>
      </c>
      <c r="D1775" s="464">
        <f>1700*2</f>
        <v>3400</v>
      </c>
      <c r="E1775" s="464">
        <f>1000*2</f>
        <v>2000</v>
      </c>
      <c r="F1775" s="464">
        <f>600*2</f>
        <v>1200</v>
      </c>
      <c r="G1775" s="464">
        <f>400*2</f>
        <v>800</v>
      </c>
      <c r="H1775" s="464">
        <f>300*2</f>
        <v>600</v>
      </c>
      <c r="I1775" s="464">
        <f>150*2</f>
        <v>300</v>
      </c>
      <c r="J1775" s="464">
        <f>60*2</f>
        <v>120</v>
      </c>
      <c r="K1775" s="464">
        <f>40*2</f>
        <v>80</v>
      </c>
      <c r="L1775" s="464">
        <f>20*2</f>
        <v>40</v>
      </c>
      <c r="M1775" s="465">
        <f>10*2</f>
        <v>20</v>
      </c>
    </row>
    <row r="1776" spans="2:13" ht="15.75">
      <c r="B1776" s="452" t="s">
        <v>16</v>
      </c>
      <c r="C1776" s="464">
        <f>1700*2</f>
        <v>3400</v>
      </c>
      <c r="D1776" s="464">
        <f>1000*2</f>
        <v>2000</v>
      </c>
      <c r="E1776" s="464">
        <f>600*2</f>
        <v>1200</v>
      </c>
      <c r="F1776" s="464">
        <f>300*2</f>
        <v>600</v>
      </c>
      <c r="G1776" s="464">
        <f>200*2</f>
        <v>400</v>
      </c>
      <c r="H1776" s="464">
        <f>150*2</f>
        <v>300</v>
      </c>
      <c r="I1776" s="464">
        <f>60*2</f>
        <v>120</v>
      </c>
      <c r="J1776" s="464">
        <f>40*2</f>
        <v>80</v>
      </c>
      <c r="K1776" s="464">
        <f>20*2</f>
        <v>40</v>
      </c>
      <c r="L1776" s="464">
        <f>10*2</f>
        <v>20</v>
      </c>
      <c r="M1776" s="465">
        <f>5*2</f>
        <v>10</v>
      </c>
    </row>
    <row r="1777" spans="2:13" ht="15.75">
      <c r="B1777" s="452" t="s">
        <v>17</v>
      </c>
      <c r="C1777" s="456" t="s">
        <v>18</v>
      </c>
      <c r="D1777" s="457"/>
      <c r="E1777" s="457"/>
      <c r="F1777" s="457"/>
      <c r="G1777" s="457"/>
      <c r="H1777" s="457"/>
      <c r="I1777" s="457"/>
      <c r="J1777" s="457"/>
      <c r="K1777" s="457"/>
      <c r="L1777" s="457"/>
      <c r="M1777" s="458"/>
    </row>
    <row r="1778" spans="2:13" ht="15.75">
      <c r="B1778" s="466"/>
      <c r="C1778" s="468"/>
      <c r="D1778" s="468"/>
      <c r="E1778" s="468"/>
      <c r="F1778" s="468"/>
      <c r="G1778" s="468"/>
      <c r="H1778" s="468"/>
      <c r="I1778" s="468"/>
      <c r="J1778" s="468"/>
      <c r="K1778" s="468"/>
      <c r="L1778" s="468"/>
      <c r="M1778" s="468"/>
    </row>
    <row r="1779" spans="2:13" ht="15.75">
      <c r="B1779" s="462"/>
      <c r="C1779" s="462"/>
      <c r="D1779" s="462"/>
      <c r="E1779" s="462"/>
      <c r="F1779" s="448"/>
      <c r="G1779" s="448"/>
      <c r="H1779" s="448"/>
      <c r="I1779" s="448"/>
      <c r="J1779" s="448"/>
      <c r="K1779" s="448"/>
      <c r="L1779" s="448"/>
      <c r="M1779" s="448"/>
    </row>
    <row r="1780" spans="2:13" ht="15.75">
      <c r="B1780" s="447" t="s">
        <v>151</v>
      </c>
      <c r="C1780" s="447"/>
      <c r="D1780" s="447"/>
      <c r="E1780" s="447"/>
      <c r="F1780" s="448"/>
      <c r="G1780" s="448"/>
      <c r="H1780" s="448"/>
      <c r="I1780" s="448"/>
      <c r="J1780" s="448"/>
      <c r="K1780" s="448"/>
      <c r="L1780" s="448"/>
      <c r="M1780" s="448"/>
    </row>
    <row r="1781" spans="2:13" ht="15.75">
      <c r="B1781" s="449" t="s">
        <v>39</v>
      </c>
      <c r="C1781" s="449"/>
      <c r="D1781" s="449"/>
      <c r="E1781" s="449"/>
      <c r="F1781" s="448"/>
      <c r="G1781" s="448"/>
      <c r="H1781" s="448"/>
      <c r="I1781" s="448"/>
      <c r="J1781" s="448"/>
      <c r="K1781" s="448"/>
      <c r="L1781" s="448"/>
      <c r="M1781" s="448"/>
    </row>
    <row r="1782" spans="2:13" ht="15.75">
      <c r="B1782" s="450" t="s">
        <v>2</v>
      </c>
      <c r="C1782" s="451" t="s">
        <v>3</v>
      </c>
      <c r="D1782" s="451" t="s">
        <v>4</v>
      </c>
      <c r="E1782" s="451" t="s">
        <v>5</v>
      </c>
      <c r="F1782" s="451" t="s">
        <v>6</v>
      </c>
      <c r="G1782" s="451" t="s">
        <v>7</v>
      </c>
      <c r="H1782" s="451" t="s">
        <v>8</v>
      </c>
      <c r="I1782" s="451" t="s">
        <v>9</v>
      </c>
      <c r="J1782" s="451" t="s">
        <v>10</v>
      </c>
      <c r="K1782" s="451" t="s">
        <v>11</v>
      </c>
      <c r="L1782" s="451" t="s">
        <v>12</v>
      </c>
      <c r="M1782" s="450" t="s">
        <v>13</v>
      </c>
    </row>
    <row r="1783" spans="2:13" ht="15.75">
      <c r="B1783" s="452" t="s">
        <v>14</v>
      </c>
      <c r="C1783" s="463">
        <v>680</v>
      </c>
      <c r="D1783" s="464">
        <v>504</v>
      </c>
      <c r="E1783" s="464">
        <v>380</v>
      </c>
      <c r="F1783" s="464">
        <v>284</v>
      </c>
      <c r="G1783" s="464">
        <v>212</v>
      </c>
      <c r="H1783" s="464">
        <v>160</v>
      </c>
      <c r="I1783" s="464">
        <v>120</v>
      </c>
      <c r="J1783" s="464">
        <v>92</v>
      </c>
      <c r="K1783" s="464">
        <v>68</v>
      </c>
      <c r="L1783" s="464">
        <v>52</v>
      </c>
      <c r="M1783" s="465">
        <v>40</v>
      </c>
    </row>
    <row r="1784" spans="2:13" ht="15.75">
      <c r="B1784" s="452" t="s">
        <v>15</v>
      </c>
      <c r="C1784" s="464">
        <v>560</v>
      </c>
      <c r="D1784" s="464">
        <v>420</v>
      </c>
      <c r="E1784" s="464">
        <v>316</v>
      </c>
      <c r="F1784" s="464">
        <v>236</v>
      </c>
      <c r="G1784" s="464">
        <v>176</v>
      </c>
      <c r="H1784" s="464">
        <v>132</v>
      </c>
      <c r="I1784" s="464">
        <v>100</v>
      </c>
      <c r="J1784" s="464">
        <v>76</v>
      </c>
      <c r="K1784" s="464">
        <v>56</v>
      </c>
      <c r="L1784" s="464">
        <v>44</v>
      </c>
      <c r="M1784" s="465">
        <v>32</v>
      </c>
    </row>
    <row r="1785" spans="2:13" ht="15.75">
      <c r="B1785" s="452" t="s">
        <v>16</v>
      </c>
      <c r="C1785" s="464">
        <v>440</v>
      </c>
      <c r="D1785" s="464">
        <v>332</v>
      </c>
      <c r="E1785" s="464">
        <v>248</v>
      </c>
      <c r="F1785" s="464">
        <v>188</v>
      </c>
      <c r="G1785" s="464">
        <v>140</v>
      </c>
      <c r="H1785" s="464">
        <v>104</v>
      </c>
      <c r="I1785" s="464">
        <v>80</v>
      </c>
      <c r="J1785" s="464">
        <v>60</v>
      </c>
      <c r="K1785" s="464">
        <v>44</v>
      </c>
      <c r="L1785" s="464">
        <v>32</v>
      </c>
      <c r="M1785" s="465">
        <v>24</v>
      </c>
    </row>
    <row r="1786" spans="2:13" ht="15.75">
      <c r="B1786" s="452" t="s">
        <v>17</v>
      </c>
      <c r="C1786" s="456" t="s">
        <v>18</v>
      </c>
      <c r="D1786" s="457"/>
      <c r="E1786" s="457"/>
      <c r="F1786" s="457"/>
      <c r="G1786" s="457"/>
      <c r="H1786" s="457"/>
      <c r="I1786" s="457"/>
      <c r="J1786" s="457"/>
      <c r="K1786" s="457"/>
      <c r="L1786" s="457"/>
      <c r="M1786" s="458"/>
    </row>
    <row r="1787" spans="2:13" ht="15.75">
      <c r="B1787" s="462"/>
      <c r="C1787" s="462"/>
      <c r="D1787" s="462"/>
      <c r="E1787" s="462"/>
      <c r="F1787" s="448"/>
      <c r="G1787" s="448"/>
      <c r="H1787" s="448"/>
      <c r="I1787" s="448"/>
      <c r="J1787" s="448"/>
      <c r="K1787" s="448"/>
      <c r="L1787" s="448"/>
      <c r="M1787" s="448"/>
    </row>
    <row r="1788" spans="2:13" ht="15.75">
      <c r="B1788" s="449" t="s">
        <v>19</v>
      </c>
      <c r="C1788" s="449"/>
      <c r="D1788" s="449"/>
      <c r="E1788" s="449"/>
      <c r="F1788" s="448"/>
      <c r="G1788" s="448"/>
      <c r="H1788" s="448"/>
      <c r="I1788" s="448"/>
      <c r="J1788" s="448"/>
      <c r="K1788" s="448"/>
      <c r="L1788" s="448"/>
      <c r="M1788" s="448"/>
    </row>
    <row r="1789" spans="2:13" ht="15.75">
      <c r="B1789" s="450" t="s">
        <v>2</v>
      </c>
      <c r="C1789" s="451" t="s">
        <v>3</v>
      </c>
      <c r="D1789" s="451" t="s">
        <v>4</v>
      </c>
      <c r="E1789" s="451" t="s">
        <v>5</v>
      </c>
      <c r="F1789" s="451" t="s">
        <v>6</v>
      </c>
      <c r="G1789" s="451" t="s">
        <v>7</v>
      </c>
      <c r="H1789" s="451" t="s">
        <v>8</v>
      </c>
      <c r="I1789" s="451" t="s">
        <v>9</v>
      </c>
      <c r="J1789" s="451" t="s">
        <v>10</v>
      </c>
      <c r="K1789" s="451" t="s">
        <v>11</v>
      </c>
      <c r="L1789" s="451" t="s">
        <v>12</v>
      </c>
      <c r="M1789" s="450" t="s">
        <v>13</v>
      </c>
    </row>
    <row r="1790" spans="2:13" ht="15.75">
      <c r="B1790" s="452" t="s">
        <v>14</v>
      </c>
      <c r="C1790" s="463">
        <v>1122</v>
      </c>
      <c r="D1790" s="464">
        <v>834</v>
      </c>
      <c r="E1790" s="464">
        <v>630</v>
      </c>
      <c r="F1790" s="464">
        <v>468</v>
      </c>
      <c r="G1790" s="464">
        <v>348</v>
      </c>
      <c r="H1790" s="464">
        <v>264</v>
      </c>
      <c r="I1790" s="464">
        <v>198</v>
      </c>
      <c r="J1790" s="464">
        <v>150</v>
      </c>
      <c r="K1790" s="464">
        <v>114</v>
      </c>
      <c r="L1790" s="464">
        <v>84</v>
      </c>
      <c r="M1790" s="465">
        <v>66</v>
      </c>
    </row>
    <row r="1791" spans="2:13" ht="15.75">
      <c r="B1791" s="452" t="s">
        <v>15</v>
      </c>
      <c r="C1791" s="464">
        <v>924</v>
      </c>
      <c r="D1791" s="464">
        <v>696</v>
      </c>
      <c r="E1791" s="464">
        <v>522</v>
      </c>
      <c r="F1791" s="464">
        <v>390</v>
      </c>
      <c r="G1791" s="464">
        <v>288</v>
      </c>
      <c r="H1791" s="464">
        <v>216</v>
      </c>
      <c r="I1791" s="464">
        <v>168</v>
      </c>
      <c r="J1791" s="464">
        <v>126</v>
      </c>
      <c r="K1791" s="464">
        <v>90</v>
      </c>
      <c r="L1791" s="464">
        <v>72</v>
      </c>
      <c r="M1791" s="465">
        <v>54</v>
      </c>
    </row>
    <row r="1792" spans="2:13" ht="15.75">
      <c r="B1792" s="452" t="s">
        <v>16</v>
      </c>
      <c r="C1792" s="464">
        <v>726</v>
      </c>
      <c r="D1792" s="464">
        <v>546</v>
      </c>
      <c r="E1792" s="464">
        <v>408</v>
      </c>
      <c r="F1792" s="464">
        <v>312</v>
      </c>
      <c r="G1792" s="464">
        <v>234</v>
      </c>
      <c r="H1792" s="464">
        <v>174</v>
      </c>
      <c r="I1792" s="464">
        <v>132</v>
      </c>
      <c r="J1792" s="464">
        <v>102</v>
      </c>
      <c r="K1792" s="464">
        <v>72</v>
      </c>
      <c r="L1792" s="464">
        <v>54</v>
      </c>
      <c r="M1792" s="465">
        <v>42</v>
      </c>
    </row>
    <row r="1793" spans="2:13" ht="15.75">
      <c r="B1793" s="452" t="s">
        <v>17</v>
      </c>
      <c r="C1793" s="456" t="s">
        <v>18</v>
      </c>
      <c r="D1793" s="457"/>
      <c r="E1793" s="457"/>
      <c r="F1793" s="457"/>
      <c r="G1793" s="457"/>
      <c r="H1793" s="457"/>
      <c r="I1793" s="457"/>
      <c r="J1793" s="457"/>
      <c r="K1793" s="457"/>
      <c r="L1793" s="457"/>
      <c r="M1793" s="458"/>
    </row>
    <row r="1794" spans="2:13" ht="15.75">
      <c r="B1794" s="466"/>
      <c r="C1794" s="468"/>
      <c r="D1794" s="468"/>
      <c r="E1794" s="468"/>
      <c r="F1794" s="468"/>
      <c r="G1794" s="468"/>
      <c r="H1794" s="468"/>
      <c r="I1794" s="468"/>
      <c r="J1794" s="468"/>
      <c r="K1794" s="468"/>
      <c r="L1794" s="468"/>
      <c r="M1794" s="468"/>
    </row>
    <row r="1795" spans="2:13" ht="15.75">
      <c r="B1795" s="466"/>
      <c r="C1795" s="468"/>
      <c r="D1795" s="468"/>
      <c r="E1795" s="468"/>
      <c r="F1795" s="468"/>
      <c r="G1795" s="468"/>
      <c r="H1795" s="468"/>
      <c r="I1795" s="468"/>
      <c r="J1795" s="468"/>
      <c r="K1795" s="468"/>
      <c r="L1795" s="468"/>
      <c r="M1795" s="468"/>
    </row>
    <row r="1796" spans="2:13" ht="15.75">
      <c r="B1796" s="447" t="s">
        <v>152</v>
      </c>
      <c r="C1796" s="447"/>
      <c r="D1796" s="447"/>
      <c r="E1796" s="447"/>
      <c r="F1796" s="448"/>
      <c r="G1796" s="448"/>
      <c r="H1796" s="448"/>
      <c r="I1796" s="448"/>
      <c r="J1796" s="448"/>
      <c r="K1796" s="448"/>
      <c r="L1796" s="448"/>
      <c r="M1796" s="448"/>
    </row>
    <row r="1797" spans="2:13" ht="15.75">
      <c r="B1797" s="449" t="s">
        <v>39</v>
      </c>
      <c r="C1797" s="449"/>
      <c r="D1797" s="449"/>
      <c r="E1797" s="449"/>
      <c r="F1797" s="448"/>
      <c r="G1797" s="448"/>
      <c r="H1797" s="448"/>
      <c r="I1797" s="448"/>
      <c r="J1797" s="448"/>
      <c r="K1797" s="448"/>
      <c r="L1797" s="448"/>
      <c r="M1797" s="448"/>
    </row>
    <row r="1798" spans="2:13" ht="15.75">
      <c r="B1798" s="450" t="s">
        <v>2</v>
      </c>
      <c r="C1798" s="451" t="s">
        <v>3</v>
      </c>
      <c r="D1798" s="451" t="s">
        <v>4</v>
      </c>
      <c r="E1798" s="451" t="s">
        <v>5</v>
      </c>
      <c r="F1798" s="451" t="s">
        <v>6</v>
      </c>
      <c r="G1798" s="451" t="s">
        <v>7</v>
      </c>
      <c r="H1798" s="451" t="s">
        <v>8</v>
      </c>
      <c r="I1798" s="451" t="s">
        <v>9</v>
      </c>
      <c r="J1798" s="451" t="s">
        <v>10</v>
      </c>
      <c r="K1798" s="451" t="s">
        <v>11</v>
      </c>
      <c r="L1798" s="451" t="s">
        <v>12</v>
      </c>
      <c r="M1798" s="450" t="s">
        <v>13</v>
      </c>
    </row>
    <row r="1799" spans="2:13" ht="15.75">
      <c r="B1799" s="452" t="s">
        <v>14</v>
      </c>
      <c r="C1799" s="463">
        <f>1050*2</f>
        <v>2100</v>
      </c>
      <c r="D1799" s="464">
        <f>750*2</f>
        <v>1500</v>
      </c>
      <c r="E1799" s="464">
        <f>550*2</f>
        <v>1100</v>
      </c>
      <c r="F1799" s="464">
        <f>450*2</f>
        <v>900</v>
      </c>
      <c r="G1799" s="464">
        <f>350*2</f>
        <v>700</v>
      </c>
      <c r="H1799" s="464">
        <f>250*2</f>
        <v>500</v>
      </c>
      <c r="I1799" s="464">
        <f>150*2</f>
        <v>300</v>
      </c>
      <c r="J1799" s="464">
        <f>100*2</f>
        <v>200</v>
      </c>
      <c r="K1799" s="464">
        <f>50*2</f>
        <v>100</v>
      </c>
      <c r="L1799" s="464">
        <f>20*2</f>
        <v>40</v>
      </c>
      <c r="M1799" s="465">
        <f t="shared" ref="M1799:M1801" si="8">10*2</f>
        <v>20</v>
      </c>
    </row>
    <row r="1800" spans="2:13" ht="15.75">
      <c r="B1800" s="452" t="s">
        <v>15</v>
      </c>
      <c r="C1800" s="464">
        <f>750*2</f>
        <v>1500</v>
      </c>
      <c r="D1800" s="464">
        <f>550*2</f>
        <v>1100</v>
      </c>
      <c r="E1800" s="464">
        <f>450*2</f>
        <v>900</v>
      </c>
      <c r="F1800" s="464">
        <f>350*2</f>
        <v>700</v>
      </c>
      <c r="G1800" s="464">
        <f>250*2</f>
        <v>500</v>
      </c>
      <c r="H1800" s="464">
        <f>150*2</f>
        <v>300</v>
      </c>
      <c r="I1800" s="464">
        <f>100*2</f>
        <v>200</v>
      </c>
      <c r="J1800" s="464">
        <f>50*2</f>
        <v>100</v>
      </c>
      <c r="K1800" s="464">
        <f>20*2</f>
        <v>40</v>
      </c>
      <c r="L1800" s="464">
        <f>10*2</f>
        <v>20</v>
      </c>
      <c r="M1800" s="465">
        <f t="shared" si="8"/>
        <v>20</v>
      </c>
    </row>
    <row r="1801" spans="2:13" ht="15.75">
      <c r="B1801" s="452" t="s">
        <v>16</v>
      </c>
      <c r="C1801" s="464">
        <f>550*2</f>
        <v>1100</v>
      </c>
      <c r="D1801" s="464">
        <f>450*2</f>
        <v>900</v>
      </c>
      <c r="E1801" s="464">
        <f>350*2</f>
        <v>700</v>
      </c>
      <c r="F1801" s="464">
        <f>250*2</f>
        <v>500</v>
      </c>
      <c r="G1801" s="464">
        <f>150*2</f>
        <v>300</v>
      </c>
      <c r="H1801" s="464">
        <f>100*2</f>
        <v>200</v>
      </c>
      <c r="I1801" s="464">
        <f>50*2</f>
        <v>100</v>
      </c>
      <c r="J1801" s="464">
        <f>20*2</f>
        <v>40</v>
      </c>
      <c r="K1801" s="464">
        <f>10*2</f>
        <v>20</v>
      </c>
      <c r="L1801" s="464">
        <f>10*2</f>
        <v>20</v>
      </c>
      <c r="M1801" s="465">
        <f t="shared" si="8"/>
        <v>20</v>
      </c>
    </row>
    <row r="1802" spans="2:13" ht="15.75">
      <c r="B1802" s="452" t="s">
        <v>17</v>
      </c>
      <c r="C1802" s="456" t="s">
        <v>18</v>
      </c>
      <c r="D1802" s="457"/>
      <c r="E1802" s="457"/>
      <c r="F1802" s="457"/>
      <c r="G1802" s="457"/>
      <c r="H1802" s="457"/>
      <c r="I1802" s="457"/>
      <c r="J1802" s="457"/>
      <c r="K1802" s="457"/>
      <c r="L1802" s="457"/>
      <c r="M1802" s="458"/>
    </row>
    <row r="1803" spans="2:13" ht="15.75">
      <c r="B1803" s="462"/>
      <c r="C1803" s="462"/>
      <c r="D1803" s="462"/>
      <c r="E1803" s="462"/>
      <c r="F1803" s="448"/>
      <c r="G1803" s="448"/>
      <c r="H1803" s="448"/>
      <c r="I1803" s="448"/>
      <c r="J1803" s="448"/>
      <c r="K1803" s="448"/>
      <c r="L1803" s="448"/>
      <c r="M1803" s="448"/>
    </row>
    <row r="1804" spans="2:13" ht="15.75">
      <c r="B1804" s="449" t="s">
        <v>19</v>
      </c>
      <c r="C1804" s="449"/>
      <c r="D1804" s="449"/>
      <c r="E1804" s="449"/>
      <c r="F1804" s="448"/>
      <c r="G1804" s="448"/>
      <c r="H1804" s="448"/>
      <c r="I1804" s="448"/>
      <c r="J1804" s="448"/>
      <c r="K1804" s="448"/>
      <c r="L1804" s="448"/>
      <c r="M1804" s="448"/>
    </row>
    <row r="1805" spans="2:13" ht="15.75">
      <c r="B1805" s="450" t="s">
        <v>2</v>
      </c>
      <c r="C1805" s="451" t="s">
        <v>3</v>
      </c>
      <c r="D1805" s="451" t="s">
        <v>4</v>
      </c>
      <c r="E1805" s="451" t="s">
        <v>5</v>
      </c>
      <c r="F1805" s="451" t="s">
        <v>6</v>
      </c>
      <c r="G1805" s="451" t="s">
        <v>7</v>
      </c>
      <c r="H1805" s="451" t="s">
        <v>8</v>
      </c>
      <c r="I1805" s="451" t="s">
        <v>9</v>
      </c>
      <c r="J1805" s="451" t="s">
        <v>10</v>
      </c>
      <c r="K1805" s="451" t="s">
        <v>11</v>
      </c>
      <c r="L1805" s="451" t="s">
        <v>12</v>
      </c>
      <c r="M1805" s="450" t="s">
        <v>13</v>
      </c>
    </row>
    <row r="1806" spans="2:13" ht="15.75">
      <c r="B1806" s="452" t="s">
        <v>14</v>
      </c>
      <c r="C1806" s="463">
        <f>1365*2</f>
        <v>2730</v>
      </c>
      <c r="D1806" s="464">
        <f>975*2</f>
        <v>1950</v>
      </c>
      <c r="E1806" s="464">
        <f>715*2</f>
        <v>1430</v>
      </c>
      <c r="F1806" s="464">
        <f>585*2</f>
        <v>1170</v>
      </c>
      <c r="G1806" s="464">
        <f>455*2</f>
        <v>910</v>
      </c>
      <c r="H1806" s="464">
        <f>325*2</f>
        <v>650</v>
      </c>
      <c r="I1806" s="464">
        <f>195*2</f>
        <v>390</v>
      </c>
      <c r="J1806" s="464">
        <f>130*2</f>
        <v>260</v>
      </c>
      <c r="K1806" s="464">
        <f>65*2</f>
        <v>130</v>
      </c>
      <c r="L1806" s="464">
        <f>26*2</f>
        <v>52</v>
      </c>
      <c r="M1806" s="465">
        <f t="shared" ref="M1806:M1808" si="9">13*2</f>
        <v>26</v>
      </c>
    </row>
    <row r="1807" spans="2:13" ht="15.75">
      <c r="B1807" s="452" t="s">
        <v>15</v>
      </c>
      <c r="C1807" s="464">
        <f>975*2</f>
        <v>1950</v>
      </c>
      <c r="D1807" s="464">
        <f>715*2</f>
        <v>1430</v>
      </c>
      <c r="E1807" s="464">
        <f>585*2</f>
        <v>1170</v>
      </c>
      <c r="F1807" s="464">
        <f>455*2</f>
        <v>910</v>
      </c>
      <c r="G1807" s="464">
        <f>325*2</f>
        <v>650</v>
      </c>
      <c r="H1807" s="464">
        <f>195*2</f>
        <v>390</v>
      </c>
      <c r="I1807" s="464">
        <f>130*2</f>
        <v>260</v>
      </c>
      <c r="J1807" s="464">
        <f>65*2</f>
        <v>130</v>
      </c>
      <c r="K1807" s="464">
        <f>26*2</f>
        <v>52</v>
      </c>
      <c r="L1807" s="464">
        <f>13*2</f>
        <v>26</v>
      </c>
      <c r="M1807" s="465">
        <f t="shared" si="9"/>
        <v>26</v>
      </c>
    </row>
    <row r="1808" spans="2:13" ht="15.75">
      <c r="B1808" s="452" t="s">
        <v>16</v>
      </c>
      <c r="C1808" s="464">
        <f>715*2</f>
        <v>1430</v>
      </c>
      <c r="D1808" s="464">
        <f>585*2</f>
        <v>1170</v>
      </c>
      <c r="E1808" s="464">
        <f>455*2</f>
        <v>910</v>
      </c>
      <c r="F1808" s="464">
        <f>325*2</f>
        <v>650</v>
      </c>
      <c r="G1808" s="464">
        <f>195*2</f>
        <v>390</v>
      </c>
      <c r="H1808" s="464">
        <f>130*2</f>
        <v>260</v>
      </c>
      <c r="I1808" s="464">
        <f>65*2</f>
        <v>130</v>
      </c>
      <c r="J1808" s="464">
        <f>26*2</f>
        <v>52</v>
      </c>
      <c r="K1808" s="464">
        <f>13*2</f>
        <v>26</v>
      </c>
      <c r="L1808" s="464">
        <f>13*2</f>
        <v>26</v>
      </c>
      <c r="M1808" s="465">
        <f t="shared" si="9"/>
        <v>26</v>
      </c>
    </row>
    <row r="1809" spans="2:13" ht="15.75">
      <c r="B1809" s="452" t="s">
        <v>17</v>
      </c>
      <c r="C1809" s="456" t="s">
        <v>18</v>
      </c>
      <c r="D1809" s="457"/>
      <c r="E1809" s="457"/>
      <c r="F1809" s="457"/>
      <c r="G1809" s="457"/>
      <c r="H1809" s="457"/>
      <c r="I1809" s="457"/>
      <c r="J1809" s="457"/>
      <c r="K1809" s="457"/>
      <c r="L1809" s="457"/>
      <c r="M1809" s="458"/>
    </row>
    <row r="1810" spans="2:13" ht="15.75">
      <c r="B1810" s="466"/>
      <c r="C1810" s="468"/>
      <c r="D1810" s="468"/>
      <c r="E1810" s="468"/>
      <c r="F1810" s="468"/>
      <c r="G1810" s="468"/>
      <c r="H1810" s="468"/>
      <c r="I1810" s="468"/>
      <c r="J1810" s="468"/>
      <c r="K1810" s="468"/>
      <c r="L1810" s="468"/>
      <c r="M1810" s="468"/>
    </row>
    <row r="1811" spans="2:13" ht="15.75">
      <c r="B1811" s="466"/>
      <c r="C1811" s="468"/>
      <c r="D1811" s="468"/>
      <c r="E1811" s="468"/>
      <c r="F1811" s="468"/>
      <c r="G1811" s="468"/>
      <c r="H1811" s="468"/>
      <c r="I1811" s="468"/>
      <c r="J1811" s="468"/>
      <c r="K1811" s="468"/>
      <c r="L1811" s="468"/>
      <c r="M1811" s="468"/>
    </row>
    <row r="1812" spans="2:13" ht="15.75">
      <c r="B1812" s="447" t="s">
        <v>153</v>
      </c>
      <c r="C1812" s="447"/>
      <c r="D1812" s="447"/>
      <c r="E1812" s="447"/>
      <c r="F1812" s="448"/>
      <c r="G1812" s="448"/>
      <c r="H1812" s="448"/>
      <c r="I1812" s="448"/>
      <c r="J1812" s="448"/>
      <c r="K1812" s="448"/>
      <c r="L1812" s="448"/>
      <c r="M1812" s="448"/>
    </row>
    <row r="1813" spans="2:13" ht="15.75">
      <c r="B1813" s="449" t="s">
        <v>39</v>
      </c>
      <c r="C1813" s="449"/>
      <c r="D1813" s="449"/>
      <c r="E1813" s="449"/>
      <c r="F1813" s="448"/>
      <c r="G1813" s="448"/>
      <c r="H1813" s="448"/>
      <c r="I1813" s="448"/>
      <c r="J1813" s="448"/>
      <c r="K1813" s="448"/>
      <c r="L1813" s="448"/>
      <c r="M1813" s="448"/>
    </row>
    <row r="1814" spans="2:13" ht="15.75">
      <c r="B1814" s="450" t="s">
        <v>2</v>
      </c>
      <c r="C1814" s="451" t="s">
        <v>3</v>
      </c>
      <c r="D1814" s="451" t="s">
        <v>4</v>
      </c>
      <c r="E1814" s="451" t="s">
        <v>5</v>
      </c>
      <c r="F1814" s="451" t="s">
        <v>6</v>
      </c>
      <c r="G1814" s="451" t="s">
        <v>7</v>
      </c>
      <c r="H1814" s="451" t="s">
        <v>8</v>
      </c>
      <c r="I1814" s="451" t="s">
        <v>9</v>
      </c>
      <c r="J1814" s="451" t="s">
        <v>10</v>
      </c>
      <c r="K1814" s="451" t="s">
        <v>11</v>
      </c>
      <c r="L1814" s="451" t="s">
        <v>12</v>
      </c>
      <c r="M1814" s="450" t="s">
        <v>13</v>
      </c>
    </row>
    <row r="1815" spans="2:13" ht="15.75">
      <c r="B1815" s="452" t="s">
        <v>14</v>
      </c>
      <c r="C1815" s="463">
        <f>3500*2</f>
        <v>7000</v>
      </c>
      <c r="D1815" s="464">
        <f>2625*2</f>
        <v>5250</v>
      </c>
      <c r="E1815" s="464">
        <f>1969*2</f>
        <v>3938</v>
      </c>
      <c r="F1815" s="464">
        <f>1477*2</f>
        <v>2954</v>
      </c>
      <c r="G1815" s="464">
        <f>1107*2</f>
        <v>2214</v>
      </c>
      <c r="H1815" s="464">
        <f>831*2</f>
        <v>1662</v>
      </c>
      <c r="I1815" s="464">
        <f>623*2</f>
        <v>1246</v>
      </c>
      <c r="J1815" s="464">
        <f>467*2</f>
        <v>934</v>
      </c>
      <c r="K1815" s="464">
        <f>350*2</f>
        <v>700</v>
      </c>
      <c r="L1815" s="464">
        <f>263*2</f>
        <v>526</v>
      </c>
      <c r="M1815" s="465">
        <f>197*2</f>
        <v>394</v>
      </c>
    </row>
    <row r="1816" spans="2:13" ht="15.75">
      <c r="B1816" s="452" t="s">
        <v>15</v>
      </c>
      <c r="C1816" s="464">
        <f>2625*2</f>
        <v>5250</v>
      </c>
      <c r="D1816" s="464">
        <f>1969*2</f>
        <v>3938</v>
      </c>
      <c r="E1816" s="464">
        <f>1477*2</f>
        <v>2954</v>
      </c>
      <c r="F1816" s="464">
        <f>1107*2</f>
        <v>2214</v>
      </c>
      <c r="G1816" s="464">
        <f>831*2</f>
        <v>1662</v>
      </c>
      <c r="H1816" s="464">
        <f>623*2</f>
        <v>1246</v>
      </c>
      <c r="I1816" s="464">
        <f>467*2</f>
        <v>934</v>
      </c>
      <c r="J1816" s="464">
        <f>350*2</f>
        <v>700</v>
      </c>
      <c r="K1816" s="464">
        <f>263*2</f>
        <v>526</v>
      </c>
      <c r="L1816" s="464">
        <f>197*2</f>
        <v>394</v>
      </c>
      <c r="M1816" s="465">
        <f>148*2</f>
        <v>296</v>
      </c>
    </row>
    <row r="1817" spans="2:13" ht="15.75">
      <c r="B1817" s="452" t="s">
        <v>16</v>
      </c>
      <c r="C1817" s="464">
        <f>1969*2</f>
        <v>3938</v>
      </c>
      <c r="D1817" s="464">
        <f>1477*2</f>
        <v>2954</v>
      </c>
      <c r="E1817" s="464">
        <f>1107*2</f>
        <v>2214</v>
      </c>
      <c r="F1817" s="464">
        <f>831*2</f>
        <v>1662</v>
      </c>
      <c r="G1817" s="464">
        <f>623*2</f>
        <v>1246</v>
      </c>
      <c r="H1817" s="464">
        <f>467*2</f>
        <v>934</v>
      </c>
      <c r="I1817" s="464">
        <f>350*2</f>
        <v>700</v>
      </c>
      <c r="J1817" s="464">
        <f>263*2</f>
        <v>526</v>
      </c>
      <c r="K1817" s="464">
        <f>197*2</f>
        <v>394</v>
      </c>
      <c r="L1817" s="464">
        <f>148*2</f>
        <v>296</v>
      </c>
      <c r="M1817" s="465">
        <f>111*2</f>
        <v>222</v>
      </c>
    </row>
    <row r="1818" spans="2:13" ht="15.75">
      <c r="B1818" s="452" t="s">
        <v>17</v>
      </c>
      <c r="C1818" s="464">
        <f>1477*2</f>
        <v>2954</v>
      </c>
      <c r="D1818" s="464">
        <f>1107*2</f>
        <v>2214</v>
      </c>
      <c r="E1818" s="464">
        <f>831*2</f>
        <v>1662</v>
      </c>
      <c r="F1818" s="464">
        <f>623*2</f>
        <v>1246</v>
      </c>
      <c r="G1818" s="464">
        <f>467*2</f>
        <v>934</v>
      </c>
      <c r="H1818" s="464">
        <f>350*2</f>
        <v>700</v>
      </c>
      <c r="I1818" s="464">
        <f>263*2</f>
        <v>526</v>
      </c>
      <c r="J1818" s="464">
        <f>197*2</f>
        <v>394</v>
      </c>
      <c r="K1818" s="464">
        <f>148*2</f>
        <v>296</v>
      </c>
      <c r="L1818" s="464">
        <f>111*2</f>
        <v>222</v>
      </c>
      <c r="M1818" s="465">
        <f>83*2</f>
        <v>166</v>
      </c>
    </row>
    <row r="1819" spans="2:13" ht="15.75">
      <c r="B1819" s="462"/>
      <c r="C1819" s="462"/>
      <c r="D1819" s="462"/>
      <c r="E1819" s="462"/>
      <c r="F1819" s="448"/>
      <c r="G1819" s="448"/>
      <c r="H1819" s="448"/>
      <c r="I1819" s="448"/>
      <c r="J1819" s="448"/>
      <c r="K1819" s="448"/>
      <c r="L1819" s="448"/>
      <c r="M1819" s="448"/>
    </row>
    <row r="1820" spans="2:13" ht="15.75">
      <c r="B1820" s="449" t="s">
        <v>19</v>
      </c>
      <c r="C1820" s="449"/>
      <c r="D1820" s="449"/>
      <c r="E1820" s="449"/>
      <c r="F1820" s="448"/>
      <c r="G1820" s="448"/>
      <c r="H1820" s="448"/>
      <c r="I1820" s="448"/>
      <c r="J1820" s="448"/>
      <c r="K1820" s="448"/>
      <c r="L1820" s="448"/>
      <c r="M1820" s="448"/>
    </row>
    <row r="1821" spans="2:13" ht="15.75">
      <c r="B1821" s="450" t="s">
        <v>2</v>
      </c>
      <c r="C1821" s="451" t="s">
        <v>3</v>
      </c>
      <c r="D1821" s="451" t="s">
        <v>4</v>
      </c>
      <c r="E1821" s="451" t="s">
        <v>5</v>
      </c>
      <c r="F1821" s="451" t="s">
        <v>6</v>
      </c>
      <c r="G1821" s="451" t="s">
        <v>7</v>
      </c>
      <c r="H1821" s="451" t="s">
        <v>8</v>
      </c>
      <c r="I1821" s="451" t="s">
        <v>9</v>
      </c>
      <c r="J1821" s="451" t="s">
        <v>10</v>
      </c>
      <c r="K1821" s="451" t="s">
        <v>11</v>
      </c>
      <c r="L1821" s="451" t="s">
        <v>12</v>
      </c>
      <c r="M1821" s="450" t="s">
        <v>13</v>
      </c>
    </row>
    <row r="1822" spans="2:13" ht="15.75">
      <c r="B1822" s="452" t="s">
        <v>14</v>
      </c>
      <c r="C1822" s="463">
        <f>7000*2</f>
        <v>14000</v>
      </c>
      <c r="D1822" s="464">
        <f>5250*2</f>
        <v>10500</v>
      </c>
      <c r="E1822" s="464">
        <f>3938*2</f>
        <v>7876</v>
      </c>
      <c r="F1822" s="464">
        <f>2953*2</f>
        <v>5906</v>
      </c>
      <c r="G1822" s="464">
        <f>2215*2</f>
        <v>4430</v>
      </c>
      <c r="H1822" s="464">
        <f>1661*2</f>
        <v>3322</v>
      </c>
      <c r="I1822" s="464">
        <f>1246*2</f>
        <v>2492</v>
      </c>
      <c r="J1822" s="464">
        <f>934*2</f>
        <v>1868</v>
      </c>
      <c r="K1822" s="464">
        <f>701*2</f>
        <v>1402</v>
      </c>
      <c r="L1822" s="464">
        <f>526*2</f>
        <v>1052</v>
      </c>
      <c r="M1822" s="465">
        <f>394*2</f>
        <v>788</v>
      </c>
    </row>
    <row r="1823" spans="2:13" ht="15.75">
      <c r="B1823" s="452" t="s">
        <v>15</v>
      </c>
      <c r="C1823" s="464">
        <f>5250*2</f>
        <v>10500</v>
      </c>
      <c r="D1823" s="464">
        <f>3938*2</f>
        <v>7876</v>
      </c>
      <c r="E1823" s="464">
        <f>2953*2</f>
        <v>5906</v>
      </c>
      <c r="F1823" s="464">
        <f>2215*2</f>
        <v>4430</v>
      </c>
      <c r="G1823" s="464">
        <f>1661*2</f>
        <v>3322</v>
      </c>
      <c r="H1823" s="464">
        <f>1246*2</f>
        <v>2492</v>
      </c>
      <c r="I1823" s="464">
        <f>934*2</f>
        <v>1868</v>
      </c>
      <c r="J1823" s="464">
        <f>701*2</f>
        <v>1402</v>
      </c>
      <c r="K1823" s="464">
        <f>526*2</f>
        <v>1052</v>
      </c>
      <c r="L1823" s="464">
        <f>394*2</f>
        <v>788</v>
      </c>
      <c r="M1823" s="465">
        <f>296*2</f>
        <v>592</v>
      </c>
    </row>
    <row r="1824" spans="2:13" ht="15.75">
      <c r="B1824" s="452" t="s">
        <v>16</v>
      </c>
      <c r="C1824" s="464">
        <f>3938*2</f>
        <v>7876</v>
      </c>
      <c r="D1824" s="464">
        <f>2953*2</f>
        <v>5906</v>
      </c>
      <c r="E1824" s="464">
        <f>2215*2</f>
        <v>4430</v>
      </c>
      <c r="F1824" s="464">
        <f>1661*2</f>
        <v>3322</v>
      </c>
      <c r="G1824" s="464">
        <f>1246*2</f>
        <v>2492</v>
      </c>
      <c r="H1824" s="464">
        <f>934*2</f>
        <v>1868</v>
      </c>
      <c r="I1824" s="464">
        <f>701*2</f>
        <v>1402</v>
      </c>
      <c r="J1824" s="464">
        <f>526*2</f>
        <v>1052</v>
      </c>
      <c r="K1824" s="464">
        <f>394*2</f>
        <v>788</v>
      </c>
      <c r="L1824" s="464">
        <f>296*2</f>
        <v>592</v>
      </c>
      <c r="M1824" s="465">
        <f>222*2</f>
        <v>444</v>
      </c>
    </row>
    <row r="1825" spans="2:13" ht="15.75">
      <c r="B1825" s="452" t="s">
        <v>17</v>
      </c>
      <c r="C1825" s="464">
        <f>2953*2</f>
        <v>5906</v>
      </c>
      <c r="D1825" s="464">
        <f>2215*2</f>
        <v>4430</v>
      </c>
      <c r="E1825" s="464">
        <f>1661*2</f>
        <v>3322</v>
      </c>
      <c r="F1825" s="464">
        <f>1246*2</f>
        <v>2492</v>
      </c>
      <c r="G1825" s="464">
        <f>934*2</f>
        <v>1868</v>
      </c>
      <c r="H1825" s="464">
        <f>701*2</f>
        <v>1402</v>
      </c>
      <c r="I1825" s="464">
        <f>526*2</f>
        <v>1052</v>
      </c>
      <c r="J1825" s="464">
        <f>394*2</f>
        <v>788</v>
      </c>
      <c r="K1825" s="464">
        <f>296*2</f>
        <v>592</v>
      </c>
      <c r="L1825" s="464">
        <f>222*2</f>
        <v>444</v>
      </c>
      <c r="M1825" s="465">
        <f>166*2</f>
        <v>332</v>
      </c>
    </row>
    <row r="1826" spans="2:13" ht="15.75">
      <c r="B1826" s="466"/>
      <c r="C1826" s="468"/>
      <c r="D1826" s="468"/>
      <c r="E1826" s="468"/>
      <c r="F1826" s="468"/>
      <c r="G1826" s="468"/>
      <c r="H1826" s="468"/>
      <c r="I1826" s="468"/>
      <c r="J1826" s="468"/>
      <c r="K1826" s="468"/>
      <c r="L1826" s="468"/>
      <c r="M1826" s="468"/>
    </row>
    <row r="1827" spans="2:13" ht="15.75">
      <c r="B1827" s="462"/>
      <c r="C1827" s="462"/>
      <c r="D1827" s="462"/>
      <c r="E1827" s="462"/>
      <c r="F1827" s="448"/>
      <c r="G1827" s="448"/>
      <c r="H1827" s="448"/>
      <c r="I1827" s="448"/>
      <c r="J1827" s="448"/>
      <c r="K1827" s="448"/>
      <c r="L1827" s="448"/>
      <c r="M1827" s="448"/>
    </row>
    <row r="1828" spans="2:13" ht="15.75">
      <c r="B1828" s="447" t="s">
        <v>154</v>
      </c>
      <c r="C1828" s="447"/>
      <c r="D1828" s="447"/>
      <c r="E1828" s="447"/>
      <c r="F1828" s="448"/>
      <c r="G1828" s="448"/>
      <c r="H1828" s="448"/>
      <c r="I1828" s="448"/>
      <c r="J1828" s="448"/>
      <c r="K1828" s="448"/>
      <c r="L1828" s="448"/>
      <c r="M1828" s="448"/>
    </row>
    <row r="1829" spans="2:13" ht="15.75">
      <c r="B1829" s="449" t="s">
        <v>39</v>
      </c>
      <c r="C1829" s="449"/>
      <c r="D1829" s="449"/>
      <c r="E1829" s="449"/>
      <c r="F1829" s="448"/>
      <c r="G1829" s="448"/>
      <c r="H1829" s="448"/>
      <c r="I1829" s="448"/>
      <c r="J1829" s="448"/>
      <c r="K1829" s="448"/>
      <c r="L1829" s="448"/>
      <c r="M1829" s="448"/>
    </row>
    <row r="1830" spans="2:13" ht="15.75">
      <c r="B1830" s="450" t="s">
        <v>2</v>
      </c>
      <c r="C1830" s="451" t="s">
        <v>3</v>
      </c>
      <c r="D1830" s="451" t="s">
        <v>4</v>
      </c>
      <c r="E1830" s="451" t="s">
        <v>5</v>
      </c>
      <c r="F1830" s="451" t="s">
        <v>6</v>
      </c>
      <c r="G1830" s="451" t="s">
        <v>7</v>
      </c>
      <c r="H1830" s="451" t="s">
        <v>8</v>
      </c>
      <c r="I1830" s="451" t="s">
        <v>9</v>
      </c>
      <c r="J1830" s="451" t="s">
        <v>10</v>
      </c>
      <c r="K1830" s="451" t="s">
        <v>11</v>
      </c>
      <c r="L1830" s="451" t="s">
        <v>12</v>
      </c>
      <c r="M1830" s="450" t="s">
        <v>13</v>
      </c>
    </row>
    <row r="1831" spans="2:13" ht="15.75">
      <c r="B1831" s="452" t="s">
        <v>14</v>
      </c>
      <c r="C1831" s="463">
        <v>800</v>
      </c>
      <c r="D1831" s="464">
        <v>600</v>
      </c>
      <c r="E1831" s="464">
        <v>448</v>
      </c>
      <c r="F1831" s="464">
        <v>336</v>
      </c>
      <c r="G1831" s="464">
        <v>256</v>
      </c>
      <c r="H1831" s="464">
        <v>192</v>
      </c>
      <c r="I1831" s="464">
        <v>144</v>
      </c>
      <c r="J1831" s="464">
        <v>112</v>
      </c>
      <c r="K1831" s="464">
        <v>80</v>
      </c>
      <c r="L1831" s="464">
        <v>56</v>
      </c>
      <c r="M1831" s="465">
        <v>40</v>
      </c>
    </row>
    <row r="1832" spans="2:13" ht="15.75">
      <c r="B1832" s="452" t="s">
        <v>15</v>
      </c>
      <c r="C1832" s="464">
        <v>560</v>
      </c>
      <c r="D1832" s="464">
        <v>420</v>
      </c>
      <c r="E1832" s="464">
        <v>312</v>
      </c>
      <c r="F1832" s="464">
        <v>236</v>
      </c>
      <c r="G1832" s="464">
        <v>180</v>
      </c>
      <c r="H1832" s="464">
        <v>136</v>
      </c>
      <c r="I1832" s="464">
        <v>100</v>
      </c>
      <c r="J1832" s="464">
        <v>80</v>
      </c>
      <c r="K1832" s="464">
        <v>56</v>
      </c>
      <c r="L1832" s="464">
        <v>40</v>
      </c>
      <c r="M1832" s="465">
        <v>28</v>
      </c>
    </row>
    <row r="1833" spans="2:13" ht="15.75">
      <c r="B1833" s="452" t="s">
        <v>16</v>
      </c>
      <c r="C1833" s="464">
        <v>320</v>
      </c>
      <c r="D1833" s="464">
        <v>240</v>
      </c>
      <c r="E1833" s="464">
        <v>180</v>
      </c>
      <c r="F1833" s="464">
        <v>136</v>
      </c>
      <c r="G1833" s="464">
        <v>104</v>
      </c>
      <c r="H1833" s="464">
        <v>76</v>
      </c>
      <c r="I1833" s="464">
        <v>56</v>
      </c>
      <c r="J1833" s="464">
        <v>44</v>
      </c>
      <c r="K1833" s="464">
        <v>32</v>
      </c>
      <c r="L1833" s="464">
        <v>24</v>
      </c>
      <c r="M1833" s="465">
        <v>16</v>
      </c>
    </row>
    <row r="1834" spans="2:13" ht="15.75">
      <c r="B1834" s="452" t="s">
        <v>17</v>
      </c>
      <c r="C1834" s="465">
        <v>160</v>
      </c>
      <c r="D1834" s="465">
        <v>120</v>
      </c>
      <c r="E1834" s="465">
        <v>88</v>
      </c>
      <c r="F1834" s="465">
        <v>68</v>
      </c>
      <c r="G1834" s="465">
        <v>52</v>
      </c>
      <c r="H1834" s="465">
        <v>40</v>
      </c>
      <c r="I1834" s="465">
        <v>28</v>
      </c>
      <c r="J1834" s="465">
        <v>24</v>
      </c>
      <c r="K1834" s="465">
        <v>16</v>
      </c>
      <c r="L1834" s="465">
        <v>12</v>
      </c>
      <c r="M1834" s="465">
        <v>8</v>
      </c>
    </row>
    <row r="1835" spans="2:13" ht="15.75">
      <c r="B1835" s="462"/>
      <c r="C1835" s="462"/>
      <c r="D1835" s="462"/>
      <c r="E1835" s="462"/>
      <c r="F1835" s="448"/>
      <c r="G1835" s="448"/>
      <c r="H1835" s="448"/>
      <c r="I1835" s="448"/>
      <c r="J1835" s="448"/>
      <c r="K1835" s="448"/>
      <c r="L1835" s="448"/>
      <c r="M1835" s="448"/>
    </row>
    <row r="1836" spans="2:13" ht="15.75">
      <c r="B1836" s="449" t="s">
        <v>19</v>
      </c>
      <c r="C1836" s="449"/>
      <c r="D1836" s="449"/>
      <c r="E1836" s="449"/>
      <c r="F1836" s="448"/>
      <c r="G1836" s="448"/>
      <c r="H1836" s="448"/>
      <c r="I1836" s="448"/>
      <c r="J1836" s="448"/>
      <c r="K1836" s="448"/>
      <c r="L1836" s="448"/>
      <c r="M1836" s="448"/>
    </row>
    <row r="1837" spans="2:13" ht="15.75">
      <c r="B1837" s="450" t="s">
        <v>2</v>
      </c>
      <c r="C1837" s="451" t="s">
        <v>3</v>
      </c>
      <c r="D1837" s="451" t="s">
        <v>4</v>
      </c>
      <c r="E1837" s="451" t="s">
        <v>5</v>
      </c>
      <c r="F1837" s="451" t="s">
        <v>6</v>
      </c>
      <c r="G1837" s="451" t="s">
        <v>7</v>
      </c>
      <c r="H1837" s="451" t="s">
        <v>8</v>
      </c>
      <c r="I1837" s="451" t="s">
        <v>9</v>
      </c>
      <c r="J1837" s="451" t="s">
        <v>10</v>
      </c>
      <c r="K1837" s="451" t="s">
        <v>11</v>
      </c>
      <c r="L1837" s="451" t="s">
        <v>12</v>
      </c>
      <c r="M1837" s="450" t="s">
        <v>13</v>
      </c>
    </row>
    <row r="1838" spans="2:13" ht="15.75">
      <c r="B1838" s="452" t="s">
        <v>14</v>
      </c>
      <c r="C1838" s="463">
        <v>1320</v>
      </c>
      <c r="D1838" s="464">
        <v>990</v>
      </c>
      <c r="E1838" s="464">
        <v>738</v>
      </c>
      <c r="F1838" s="464">
        <v>552</v>
      </c>
      <c r="G1838" s="464">
        <v>420</v>
      </c>
      <c r="H1838" s="464">
        <v>318</v>
      </c>
      <c r="I1838" s="464">
        <v>240</v>
      </c>
      <c r="J1838" s="464">
        <v>186</v>
      </c>
      <c r="K1838" s="464">
        <v>132</v>
      </c>
      <c r="L1838" s="464">
        <v>90</v>
      </c>
      <c r="M1838" s="465">
        <v>66</v>
      </c>
    </row>
    <row r="1839" spans="2:13" ht="15.75">
      <c r="B1839" s="452" t="s">
        <v>15</v>
      </c>
      <c r="C1839" s="464">
        <v>924</v>
      </c>
      <c r="D1839" s="464">
        <v>696</v>
      </c>
      <c r="E1839" s="464">
        <v>516</v>
      </c>
      <c r="F1839" s="464">
        <v>390</v>
      </c>
      <c r="G1839" s="464">
        <v>294</v>
      </c>
      <c r="H1839" s="464">
        <v>222</v>
      </c>
      <c r="I1839" s="464">
        <v>168</v>
      </c>
      <c r="J1839" s="464">
        <v>132</v>
      </c>
      <c r="K1839" s="464">
        <v>90</v>
      </c>
      <c r="L1839" s="464">
        <v>66</v>
      </c>
      <c r="M1839" s="465">
        <v>48</v>
      </c>
    </row>
    <row r="1840" spans="2:13" ht="15.75">
      <c r="B1840" s="452" t="s">
        <v>16</v>
      </c>
      <c r="C1840" s="464">
        <v>528</v>
      </c>
      <c r="D1840" s="464">
        <v>396</v>
      </c>
      <c r="E1840" s="464">
        <v>294</v>
      </c>
      <c r="F1840" s="464">
        <v>222</v>
      </c>
      <c r="G1840" s="464">
        <v>168</v>
      </c>
      <c r="H1840" s="464">
        <v>126</v>
      </c>
      <c r="I1840" s="464">
        <v>96</v>
      </c>
      <c r="J1840" s="464">
        <v>72</v>
      </c>
      <c r="K1840" s="464">
        <v>54</v>
      </c>
      <c r="L1840" s="464">
        <v>36</v>
      </c>
      <c r="M1840" s="465">
        <v>24</v>
      </c>
    </row>
    <row r="1841" spans="2:13" ht="15.75">
      <c r="B1841" s="452" t="s">
        <v>17</v>
      </c>
      <c r="C1841" s="465">
        <v>264</v>
      </c>
      <c r="D1841" s="465">
        <v>198</v>
      </c>
      <c r="E1841" s="465">
        <v>150</v>
      </c>
      <c r="F1841" s="465">
        <v>108</v>
      </c>
      <c r="G1841" s="465">
        <v>84</v>
      </c>
      <c r="H1841" s="465">
        <v>66</v>
      </c>
      <c r="I1841" s="465">
        <v>48</v>
      </c>
      <c r="J1841" s="465">
        <v>36</v>
      </c>
      <c r="K1841" s="465">
        <v>24</v>
      </c>
      <c r="L1841" s="465">
        <v>18</v>
      </c>
      <c r="M1841" s="465">
        <v>12</v>
      </c>
    </row>
    <row r="1842" spans="2:13" ht="15.75">
      <c r="B1842" s="462"/>
      <c r="C1842" s="462"/>
      <c r="D1842" s="462"/>
      <c r="E1842" s="462"/>
      <c r="F1842" s="448"/>
      <c r="G1842" s="448"/>
      <c r="H1842" s="448"/>
      <c r="I1842" s="448"/>
      <c r="J1842" s="448"/>
      <c r="K1842" s="448"/>
      <c r="L1842" s="448"/>
      <c r="M1842" s="448"/>
    </row>
    <row r="1843" spans="2:13" ht="15.75">
      <c r="B1843" s="462"/>
      <c r="C1843" s="462"/>
      <c r="D1843" s="462"/>
      <c r="E1843" s="462"/>
      <c r="F1843" s="448"/>
      <c r="G1843" s="448"/>
      <c r="H1843" s="448"/>
      <c r="I1843" s="448"/>
      <c r="J1843" s="448"/>
      <c r="K1843" s="448"/>
      <c r="L1843" s="448"/>
      <c r="M1843" s="448"/>
    </row>
    <row r="1844" spans="2:13" ht="15.75">
      <c r="B1844" s="447" t="s">
        <v>155</v>
      </c>
      <c r="C1844" s="447"/>
      <c r="D1844" s="447"/>
      <c r="E1844" s="447"/>
      <c r="F1844" s="448"/>
      <c r="G1844" s="448"/>
      <c r="H1844" s="448"/>
      <c r="I1844" s="448"/>
      <c r="J1844" s="448"/>
      <c r="K1844" s="448"/>
      <c r="L1844" s="448"/>
      <c r="M1844" s="448"/>
    </row>
    <row r="1845" spans="2:13" ht="15.75">
      <c r="B1845" s="449" t="s">
        <v>39</v>
      </c>
      <c r="C1845" s="449"/>
      <c r="D1845" s="449"/>
      <c r="E1845" s="449"/>
      <c r="F1845" s="448"/>
      <c r="G1845" s="448"/>
      <c r="H1845" s="448"/>
      <c r="I1845" s="448"/>
      <c r="J1845" s="448"/>
      <c r="K1845" s="448"/>
      <c r="L1845" s="448"/>
      <c r="M1845" s="448"/>
    </row>
    <row r="1846" spans="2:13" ht="15.75">
      <c r="B1846" s="450" t="s">
        <v>2</v>
      </c>
      <c r="C1846" s="451" t="s">
        <v>3</v>
      </c>
      <c r="D1846" s="451" t="s">
        <v>4</v>
      </c>
      <c r="E1846" s="451" t="s">
        <v>5</v>
      </c>
      <c r="F1846" s="451" t="s">
        <v>6</v>
      </c>
      <c r="G1846" s="451" t="s">
        <v>7</v>
      </c>
      <c r="H1846" s="451" t="s">
        <v>8</v>
      </c>
      <c r="I1846" s="451" t="s">
        <v>9</v>
      </c>
      <c r="J1846" s="451" t="s">
        <v>10</v>
      </c>
      <c r="K1846" s="451" t="s">
        <v>11</v>
      </c>
      <c r="L1846" s="451" t="s">
        <v>12</v>
      </c>
      <c r="M1846" s="450" t="s">
        <v>13</v>
      </c>
    </row>
    <row r="1847" spans="2:13" ht="15.75">
      <c r="B1847" s="452" t="s">
        <v>14</v>
      </c>
      <c r="C1847" s="453">
        <f>1300*2</f>
        <v>2600</v>
      </c>
      <c r="D1847" s="454">
        <f>975*2</f>
        <v>1950</v>
      </c>
      <c r="E1847" s="454">
        <f>731*2</f>
        <v>1462</v>
      </c>
      <c r="F1847" s="454">
        <f>548*2</f>
        <v>1096</v>
      </c>
      <c r="G1847" s="454">
        <f>411*2</f>
        <v>822</v>
      </c>
      <c r="H1847" s="454">
        <f>308*2</f>
        <v>616</v>
      </c>
      <c r="I1847" s="454">
        <f>231*2</f>
        <v>462</v>
      </c>
      <c r="J1847" s="454">
        <f>174*2</f>
        <v>348</v>
      </c>
      <c r="K1847" s="454">
        <f>130*2</f>
        <v>260</v>
      </c>
      <c r="L1847" s="454">
        <f>98*2</f>
        <v>196</v>
      </c>
      <c r="M1847" s="454">
        <f>73*2</f>
        <v>146</v>
      </c>
    </row>
    <row r="1848" spans="2:13" ht="15.75">
      <c r="B1848" s="452" t="s">
        <v>15</v>
      </c>
      <c r="C1848" s="453">
        <f>1000*2</f>
        <v>2000</v>
      </c>
      <c r="D1848" s="454">
        <f>7850*2</f>
        <v>15700</v>
      </c>
      <c r="E1848" s="454">
        <f>563*2</f>
        <v>1126</v>
      </c>
      <c r="F1848" s="454">
        <f>422*2</f>
        <v>844</v>
      </c>
      <c r="G1848" s="454">
        <f>316*2</f>
        <v>632</v>
      </c>
      <c r="H1848" s="455">
        <f>237*2</f>
        <v>474</v>
      </c>
      <c r="I1848" s="454">
        <f>178*2</f>
        <v>356</v>
      </c>
      <c r="J1848" s="454">
        <f>133*2</f>
        <v>266</v>
      </c>
      <c r="K1848" s="454">
        <f>100*2</f>
        <v>200</v>
      </c>
      <c r="L1848" s="454">
        <f>78*2</f>
        <v>156</v>
      </c>
      <c r="M1848" s="454">
        <f>56*2</f>
        <v>112</v>
      </c>
    </row>
    <row r="1849" spans="2:13" ht="15.75">
      <c r="B1849" s="452" t="s">
        <v>16</v>
      </c>
      <c r="C1849" s="456" t="s">
        <v>18</v>
      </c>
      <c r="D1849" s="457"/>
      <c r="E1849" s="457"/>
      <c r="F1849" s="457"/>
      <c r="G1849" s="457"/>
      <c r="H1849" s="457"/>
      <c r="I1849" s="457"/>
      <c r="J1849" s="457"/>
      <c r="K1849" s="457"/>
      <c r="L1849" s="457"/>
      <c r="M1849" s="458"/>
    </row>
    <row r="1850" spans="2:13" ht="15.75">
      <c r="B1850" s="452" t="s">
        <v>17</v>
      </c>
      <c r="C1850" s="456" t="s">
        <v>18</v>
      </c>
      <c r="D1850" s="457"/>
      <c r="E1850" s="457"/>
      <c r="F1850" s="457"/>
      <c r="G1850" s="457"/>
      <c r="H1850" s="457"/>
      <c r="I1850" s="457"/>
      <c r="J1850" s="457"/>
      <c r="K1850" s="457"/>
      <c r="L1850" s="457"/>
      <c r="M1850" s="458"/>
    </row>
    <row r="1851" spans="2:13" ht="15.75">
      <c r="B1851" s="462"/>
      <c r="C1851" s="462"/>
      <c r="D1851" s="462"/>
      <c r="E1851" s="462"/>
      <c r="F1851" s="448"/>
      <c r="G1851" s="448"/>
      <c r="H1851" s="448"/>
      <c r="I1851" s="448"/>
      <c r="J1851" s="448"/>
      <c r="K1851" s="448"/>
      <c r="L1851" s="448"/>
      <c r="M1851" s="448"/>
    </row>
    <row r="1852" spans="2:13" ht="15.75">
      <c r="B1852" s="449" t="s">
        <v>19</v>
      </c>
      <c r="C1852" s="449"/>
      <c r="D1852" s="449"/>
      <c r="E1852" s="449"/>
      <c r="F1852" s="448"/>
      <c r="G1852" s="448"/>
      <c r="H1852" s="448"/>
      <c r="I1852" s="448"/>
      <c r="J1852" s="448"/>
      <c r="K1852" s="448"/>
      <c r="L1852" s="448"/>
      <c r="M1852" s="448"/>
    </row>
    <row r="1853" spans="2:13" ht="15.75">
      <c r="B1853" s="450" t="s">
        <v>2</v>
      </c>
      <c r="C1853" s="451" t="s">
        <v>3</v>
      </c>
      <c r="D1853" s="451" t="s">
        <v>4</v>
      </c>
      <c r="E1853" s="451" t="s">
        <v>5</v>
      </c>
      <c r="F1853" s="451" t="s">
        <v>6</v>
      </c>
      <c r="G1853" s="451" t="s">
        <v>7</v>
      </c>
      <c r="H1853" s="451" t="s">
        <v>8</v>
      </c>
      <c r="I1853" s="451" t="s">
        <v>9</v>
      </c>
      <c r="J1853" s="451" t="s">
        <v>10</v>
      </c>
      <c r="K1853" s="451" t="s">
        <v>11</v>
      </c>
      <c r="L1853" s="451" t="s">
        <v>12</v>
      </c>
      <c r="M1853" s="450" t="s">
        <v>13</v>
      </c>
    </row>
    <row r="1854" spans="2:13" ht="15.75">
      <c r="B1854" s="452" t="s">
        <v>14</v>
      </c>
      <c r="C1854" s="463">
        <f>1700*2</f>
        <v>3400</v>
      </c>
      <c r="D1854" s="464">
        <f>1275*2</f>
        <v>2550</v>
      </c>
      <c r="E1854" s="464">
        <f>956*2</f>
        <v>1912</v>
      </c>
      <c r="F1854" s="464">
        <f>717*2</f>
        <v>1434</v>
      </c>
      <c r="G1854" s="464">
        <f>538*2</f>
        <v>1076</v>
      </c>
      <c r="H1854" s="464">
        <f>403*2</f>
        <v>806</v>
      </c>
      <c r="I1854" s="464">
        <f>303*2</f>
        <v>606</v>
      </c>
      <c r="J1854" s="464">
        <f>227*2</f>
        <v>454</v>
      </c>
      <c r="K1854" s="464">
        <f>170*2</f>
        <v>340</v>
      </c>
      <c r="L1854" s="464">
        <f>128*2</f>
        <v>256</v>
      </c>
      <c r="M1854" s="465">
        <f>96*2</f>
        <v>192</v>
      </c>
    </row>
    <row r="1855" spans="2:13" ht="15.75">
      <c r="B1855" s="452" t="s">
        <v>15</v>
      </c>
      <c r="C1855" s="463">
        <f>1300*2</f>
        <v>2600</v>
      </c>
      <c r="D1855" s="464">
        <f>975*2</f>
        <v>1950</v>
      </c>
      <c r="E1855" s="464">
        <f>731*2</f>
        <v>1462</v>
      </c>
      <c r="F1855" s="464">
        <f>548*2</f>
        <v>1096</v>
      </c>
      <c r="G1855" s="464">
        <f>411*2</f>
        <v>822</v>
      </c>
      <c r="H1855" s="464">
        <f>308*2</f>
        <v>616</v>
      </c>
      <c r="I1855" s="464">
        <f>231*2</f>
        <v>462</v>
      </c>
      <c r="J1855" s="464">
        <f>174*2</f>
        <v>348</v>
      </c>
      <c r="K1855" s="464">
        <f>130*2</f>
        <v>260</v>
      </c>
      <c r="L1855" s="464">
        <f>98*2</f>
        <v>196</v>
      </c>
      <c r="M1855" s="465">
        <f>73*2</f>
        <v>146</v>
      </c>
    </row>
    <row r="1856" spans="2:13" ht="15.75">
      <c r="B1856" s="452" t="s">
        <v>16</v>
      </c>
      <c r="C1856" s="456" t="s">
        <v>18</v>
      </c>
      <c r="D1856" s="457"/>
      <c r="E1856" s="457"/>
      <c r="F1856" s="457"/>
      <c r="G1856" s="457"/>
      <c r="H1856" s="457"/>
      <c r="I1856" s="457"/>
      <c r="J1856" s="457"/>
      <c r="K1856" s="457"/>
      <c r="L1856" s="457"/>
      <c r="M1856" s="458"/>
    </row>
    <row r="1857" spans="2:13" ht="15.75">
      <c r="B1857" s="452" t="s">
        <v>17</v>
      </c>
      <c r="C1857" s="456" t="s">
        <v>18</v>
      </c>
      <c r="D1857" s="457"/>
      <c r="E1857" s="457"/>
      <c r="F1857" s="457"/>
      <c r="G1857" s="457"/>
      <c r="H1857" s="457"/>
      <c r="I1857" s="457"/>
      <c r="J1857" s="457"/>
      <c r="K1857" s="457"/>
      <c r="L1857" s="457"/>
      <c r="M1857" s="458"/>
    </row>
    <row r="1858" spans="2:13" ht="15.75">
      <c r="B1858" s="462"/>
      <c r="C1858" s="462"/>
      <c r="D1858" s="462"/>
      <c r="E1858" s="462"/>
      <c r="F1858" s="448"/>
      <c r="G1858" s="448"/>
      <c r="H1858" s="448"/>
      <c r="I1858" s="448"/>
      <c r="J1858" s="448"/>
      <c r="K1858" s="448"/>
      <c r="L1858" s="448"/>
      <c r="M1858" s="448"/>
    </row>
    <row r="1859" spans="2:13" ht="15.75">
      <c r="B1859" s="447" t="s">
        <v>156</v>
      </c>
      <c r="C1859" s="447"/>
      <c r="D1859" s="447"/>
      <c r="E1859" s="447"/>
      <c r="F1859" s="448"/>
      <c r="G1859" s="448"/>
      <c r="H1859" s="448"/>
      <c r="I1859" s="448"/>
      <c r="J1859" s="448"/>
      <c r="K1859" s="448"/>
      <c r="L1859" s="448"/>
      <c r="M1859" s="448"/>
    </row>
    <row r="1860" spans="2:13" ht="15.75">
      <c r="B1860" s="449" t="s">
        <v>39</v>
      </c>
      <c r="C1860" s="449"/>
      <c r="D1860" s="449"/>
      <c r="E1860" s="449"/>
      <c r="F1860" s="448"/>
      <c r="G1860" s="448"/>
      <c r="H1860" s="448"/>
      <c r="I1860" s="448"/>
      <c r="J1860" s="448"/>
      <c r="K1860" s="448"/>
      <c r="L1860" s="448"/>
      <c r="M1860" s="448"/>
    </row>
    <row r="1861" spans="2:13" ht="15.75">
      <c r="B1861" s="450" t="s">
        <v>2</v>
      </c>
      <c r="C1861" s="451" t="s">
        <v>3</v>
      </c>
      <c r="D1861" s="451" t="s">
        <v>4</v>
      </c>
      <c r="E1861" s="451" t="s">
        <v>5</v>
      </c>
      <c r="F1861" s="451" t="s">
        <v>6</v>
      </c>
      <c r="G1861" s="451" t="s">
        <v>7</v>
      </c>
      <c r="H1861" s="451" t="s">
        <v>8</v>
      </c>
      <c r="I1861" s="451" t="s">
        <v>9</v>
      </c>
      <c r="J1861" s="451" t="s">
        <v>10</v>
      </c>
      <c r="K1861" s="451" t="s">
        <v>11</v>
      </c>
      <c r="L1861" s="451" t="s">
        <v>12</v>
      </c>
      <c r="M1861" s="450" t="s">
        <v>13</v>
      </c>
    </row>
    <row r="1862" spans="2:13" ht="15.75">
      <c r="B1862" s="452" t="s">
        <v>14</v>
      </c>
      <c r="C1862" s="463">
        <f>1500*2</f>
        <v>3000</v>
      </c>
      <c r="D1862" s="464">
        <f>1050*2</f>
        <v>2100</v>
      </c>
      <c r="E1862" s="464">
        <f>750*2</f>
        <v>1500</v>
      </c>
      <c r="F1862" s="464">
        <f>450*2</f>
        <v>900</v>
      </c>
      <c r="G1862" s="464">
        <f>350*2</f>
        <v>700</v>
      </c>
      <c r="H1862" s="464">
        <f>250*2</f>
        <v>500</v>
      </c>
      <c r="I1862" s="464">
        <f>200*2</f>
        <v>400</v>
      </c>
      <c r="J1862" s="464">
        <f>150*2</f>
        <v>300</v>
      </c>
      <c r="K1862" s="464">
        <f>100*2</f>
        <v>200</v>
      </c>
      <c r="L1862" s="464">
        <f>50*2</f>
        <v>100</v>
      </c>
      <c r="M1862" s="465">
        <f>30*2</f>
        <v>60</v>
      </c>
    </row>
    <row r="1863" spans="2:13" ht="15.75">
      <c r="B1863" s="452" t="s">
        <v>15</v>
      </c>
      <c r="C1863" s="463">
        <f>1050*2</f>
        <v>2100</v>
      </c>
      <c r="D1863" s="464">
        <f>750*2</f>
        <v>1500</v>
      </c>
      <c r="E1863" s="464">
        <f>450*2</f>
        <v>900</v>
      </c>
      <c r="F1863" s="464">
        <f>350*2</f>
        <v>700</v>
      </c>
      <c r="G1863" s="464">
        <f>250*2</f>
        <v>500</v>
      </c>
      <c r="H1863" s="464">
        <f>200*2</f>
        <v>400</v>
      </c>
      <c r="I1863" s="464">
        <f>150*2</f>
        <v>300</v>
      </c>
      <c r="J1863" s="464">
        <f>100*2</f>
        <v>200</v>
      </c>
      <c r="K1863" s="464">
        <f>50*2</f>
        <v>100</v>
      </c>
      <c r="L1863" s="464">
        <f>30*2</f>
        <v>60</v>
      </c>
      <c r="M1863" s="465">
        <f>20*2</f>
        <v>40</v>
      </c>
    </row>
    <row r="1864" spans="2:13" ht="15.75">
      <c r="B1864" s="452" t="s">
        <v>16</v>
      </c>
      <c r="C1864" s="463">
        <f>750*2</f>
        <v>1500</v>
      </c>
      <c r="D1864" s="464">
        <f>450*2</f>
        <v>900</v>
      </c>
      <c r="E1864" s="464">
        <f>350*2</f>
        <v>700</v>
      </c>
      <c r="F1864" s="464">
        <f>250*2</f>
        <v>500</v>
      </c>
      <c r="G1864" s="464">
        <f>200*2</f>
        <v>400</v>
      </c>
      <c r="H1864" s="464">
        <f>150*2</f>
        <v>300</v>
      </c>
      <c r="I1864" s="464">
        <f>100*2</f>
        <v>200</v>
      </c>
      <c r="J1864" s="464">
        <f>50*2</f>
        <v>100</v>
      </c>
      <c r="K1864" s="464">
        <f>20*2</f>
        <v>40</v>
      </c>
      <c r="L1864" s="464">
        <f>20*2</f>
        <v>40</v>
      </c>
      <c r="M1864" s="465">
        <f>10*2</f>
        <v>20</v>
      </c>
    </row>
    <row r="1865" spans="2:13" ht="15.75">
      <c r="B1865" s="452" t="s">
        <v>17</v>
      </c>
      <c r="C1865" s="456" t="s">
        <v>18</v>
      </c>
      <c r="D1865" s="457"/>
      <c r="E1865" s="457"/>
      <c r="F1865" s="457"/>
      <c r="G1865" s="457"/>
      <c r="H1865" s="457"/>
      <c r="I1865" s="457"/>
      <c r="J1865" s="457"/>
      <c r="K1865" s="457"/>
      <c r="L1865" s="457"/>
      <c r="M1865" s="458"/>
    </row>
    <row r="1866" spans="2:13" ht="15.75">
      <c r="B1866" s="462"/>
      <c r="C1866" s="462"/>
      <c r="D1866" s="462"/>
      <c r="E1866" s="462"/>
      <c r="F1866" s="448"/>
      <c r="G1866" s="448"/>
      <c r="H1866" s="448"/>
      <c r="I1866" s="448"/>
      <c r="J1866" s="448"/>
      <c r="K1866" s="448"/>
      <c r="L1866" s="448"/>
      <c r="M1866" s="448"/>
    </row>
    <row r="1867" spans="2:13" ht="15.75">
      <c r="B1867" s="449" t="s">
        <v>19</v>
      </c>
      <c r="C1867" s="449"/>
      <c r="D1867" s="449"/>
      <c r="E1867" s="449"/>
      <c r="F1867" s="448"/>
      <c r="G1867" s="448"/>
      <c r="H1867" s="448"/>
      <c r="I1867" s="448"/>
      <c r="J1867" s="448"/>
      <c r="K1867" s="448"/>
      <c r="L1867" s="448"/>
      <c r="M1867" s="448"/>
    </row>
    <row r="1868" spans="2:13" ht="15.75">
      <c r="B1868" s="450" t="s">
        <v>2</v>
      </c>
      <c r="C1868" s="451" t="s">
        <v>3</v>
      </c>
      <c r="D1868" s="451" t="s">
        <v>4</v>
      </c>
      <c r="E1868" s="451" t="s">
        <v>5</v>
      </c>
      <c r="F1868" s="451" t="s">
        <v>6</v>
      </c>
      <c r="G1868" s="451" t="s">
        <v>7</v>
      </c>
      <c r="H1868" s="451" t="s">
        <v>8</v>
      </c>
      <c r="I1868" s="451" t="s">
        <v>9</v>
      </c>
      <c r="J1868" s="451" t="s">
        <v>10</v>
      </c>
      <c r="K1868" s="451" t="s">
        <v>11</v>
      </c>
      <c r="L1868" s="451" t="s">
        <v>12</v>
      </c>
      <c r="M1868" s="450" t="s">
        <v>13</v>
      </c>
    </row>
    <row r="1869" spans="2:13" ht="15.75">
      <c r="B1869" s="452" t="s">
        <v>14</v>
      </c>
      <c r="C1869" s="463">
        <f>1560*2</f>
        <v>3120</v>
      </c>
      <c r="D1869" s="464">
        <f>1110*2</f>
        <v>2220</v>
      </c>
      <c r="E1869" s="464">
        <f>810*2</f>
        <v>1620</v>
      </c>
      <c r="F1869" s="464">
        <f>510*2</f>
        <v>1020</v>
      </c>
      <c r="G1869" s="464">
        <f>410*2</f>
        <v>820</v>
      </c>
      <c r="H1869" s="464">
        <f>310*2</f>
        <v>620</v>
      </c>
      <c r="I1869" s="464">
        <f>210*2</f>
        <v>420</v>
      </c>
      <c r="J1869" s="464">
        <f>160*2</f>
        <v>320</v>
      </c>
      <c r="K1869" s="464">
        <f>110*2</f>
        <v>220</v>
      </c>
      <c r="L1869" s="464">
        <f>60*2</f>
        <v>120</v>
      </c>
      <c r="M1869" s="465">
        <f>40*2</f>
        <v>80</v>
      </c>
    </row>
    <row r="1870" spans="2:13" ht="15.75">
      <c r="B1870" s="452" t="s">
        <v>15</v>
      </c>
      <c r="C1870" s="463">
        <f>1365*2</f>
        <v>2730</v>
      </c>
      <c r="D1870" s="464">
        <f>1065*2</f>
        <v>2130</v>
      </c>
      <c r="E1870" s="464">
        <f>765*2</f>
        <v>1530</v>
      </c>
      <c r="F1870" s="464">
        <f>565*2</f>
        <v>1130</v>
      </c>
      <c r="G1870" s="464">
        <f>465*2</f>
        <v>930</v>
      </c>
      <c r="H1870" s="464">
        <f>365*2</f>
        <v>730</v>
      </c>
      <c r="I1870" s="464">
        <f>265*2</f>
        <v>530</v>
      </c>
      <c r="J1870" s="464">
        <f>165*2</f>
        <v>330</v>
      </c>
      <c r="K1870" s="464">
        <f>65*2</f>
        <v>130</v>
      </c>
      <c r="L1870" s="464">
        <f>45*2</f>
        <v>90</v>
      </c>
      <c r="M1870" s="465">
        <f>30*2</f>
        <v>60</v>
      </c>
    </row>
    <row r="1871" spans="2:13" ht="15.75">
      <c r="B1871" s="452" t="s">
        <v>16</v>
      </c>
      <c r="C1871" s="463">
        <f>1065*2</f>
        <v>2130</v>
      </c>
      <c r="D1871" s="464">
        <f>765*2</f>
        <v>1530</v>
      </c>
      <c r="E1871" s="464">
        <f>565*2</f>
        <v>1130</v>
      </c>
      <c r="F1871" s="464">
        <f>465*2</f>
        <v>930</v>
      </c>
      <c r="G1871" s="464">
        <f>365*2</f>
        <v>730</v>
      </c>
      <c r="H1871" s="464">
        <f>265*2</f>
        <v>530</v>
      </c>
      <c r="I1871" s="464">
        <f>165*2</f>
        <v>330</v>
      </c>
      <c r="J1871" s="464">
        <f>65*2</f>
        <v>130</v>
      </c>
      <c r="K1871" s="464">
        <f>45*2</f>
        <v>90</v>
      </c>
      <c r="L1871" s="464">
        <f>30*2</f>
        <v>60</v>
      </c>
      <c r="M1871" s="465">
        <f>20*2</f>
        <v>40</v>
      </c>
    </row>
    <row r="1872" spans="2:13" ht="15.75">
      <c r="B1872" s="452" t="s">
        <v>17</v>
      </c>
      <c r="C1872" s="456" t="s">
        <v>18</v>
      </c>
      <c r="D1872" s="457"/>
      <c r="E1872" s="457"/>
      <c r="F1872" s="457"/>
      <c r="G1872" s="457"/>
      <c r="H1872" s="457"/>
      <c r="I1872" s="457"/>
      <c r="J1872" s="457"/>
      <c r="K1872" s="457"/>
      <c r="L1872" s="457"/>
      <c r="M1872" s="458"/>
    </row>
    <row r="1873" spans="2:13" ht="15.75">
      <c r="B1873" s="462"/>
      <c r="C1873" s="462"/>
      <c r="D1873" s="462"/>
      <c r="E1873" s="462"/>
      <c r="F1873" s="448"/>
      <c r="G1873" s="448"/>
      <c r="H1873" s="448"/>
      <c r="I1873" s="448"/>
      <c r="J1873" s="448"/>
      <c r="K1873" s="448"/>
      <c r="L1873" s="448"/>
      <c r="M1873" s="448"/>
    </row>
    <row r="1874" spans="2:13" ht="15.75">
      <c r="B1874" s="447" t="s">
        <v>157</v>
      </c>
      <c r="C1874" s="447"/>
      <c r="D1874" s="447"/>
      <c r="E1874" s="447"/>
      <c r="F1874" s="448"/>
      <c r="G1874" s="448"/>
      <c r="H1874" s="448"/>
      <c r="I1874" s="448"/>
      <c r="J1874" s="448"/>
      <c r="K1874" s="448"/>
      <c r="L1874" s="448"/>
      <c r="M1874" s="448"/>
    </row>
    <row r="1875" spans="2:13" ht="15.75">
      <c r="B1875" s="449" t="s">
        <v>39</v>
      </c>
      <c r="C1875" s="449"/>
      <c r="D1875" s="449"/>
      <c r="E1875" s="449"/>
      <c r="F1875" s="448"/>
      <c r="G1875" s="448"/>
      <c r="H1875" s="448"/>
      <c r="I1875" s="448"/>
      <c r="J1875" s="448"/>
      <c r="K1875" s="448"/>
      <c r="L1875" s="448"/>
      <c r="M1875" s="448"/>
    </row>
    <row r="1876" spans="2:13" ht="15.75">
      <c r="B1876" s="450" t="s">
        <v>2</v>
      </c>
      <c r="C1876" s="451" t="s">
        <v>3</v>
      </c>
      <c r="D1876" s="451" t="s">
        <v>4</v>
      </c>
      <c r="E1876" s="451" t="s">
        <v>5</v>
      </c>
      <c r="F1876" s="451" t="s">
        <v>6</v>
      </c>
      <c r="G1876" s="451" t="s">
        <v>7</v>
      </c>
      <c r="H1876" s="451" t="s">
        <v>8</v>
      </c>
      <c r="I1876" s="451" t="s">
        <v>9</v>
      </c>
      <c r="J1876" s="451" t="s">
        <v>10</v>
      </c>
      <c r="K1876" s="451" t="s">
        <v>11</v>
      </c>
      <c r="L1876" s="451" t="s">
        <v>12</v>
      </c>
      <c r="M1876" s="450" t="s">
        <v>13</v>
      </c>
    </row>
    <row r="1877" spans="2:13" ht="15.75">
      <c r="B1877" s="452" t="s">
        <v>14</v>
      </c>
      <c r="C1877" s="463">
        <v>4725</v>
      </c>
      <c r="D1877" s="464">
        <v>3475</v>
      </c>
      <c r="E1877" s="464">
        <v>2225</v>
      </c>
      <c r="F1877" s="464">
        <v>1475</v>
      </c>
      <c r="G1877" s="464">
        <v>1225</v>
      </c>
      <c r="H1877" s="464">
        <v>975</v>
      </c>
      <c r="I1877" s="464">
        <v>725</v>
      </c>
      <c r="J1877" s="464">
        <v>475</v>
      </c>
      <c r="K1877" s="464">
        <v>350</v>
      </c>
      <c r="L1877" s="464">
        <v>225</v>
      </c>
      <c r="M1877" s="465">
        <v>100</v>
      </c>
    </row>
    <row r="1878" spans="2:13" ht="15.75">
      <c r="B1878" s="452" t="s">
        <v>15</v>
      </c>
      <c r="C1878" s="464">
        <v>3475</v>
      </c>
      <c r="D1878" s="464">
        <v>2225</v>
      </c>
      <c r="E1878" s="464">
        <v>1475</v>
      </c>
      <c r="F1878" s="464">
        <v>1225</v>
      </c>
      <c r="G1878" s="464">
        <v>975</v>
      </c>
      <c r="H1878" s="464">
        <v>725</v>
      </c>
      <c r="I1878" s="464">
        <v>475</v>
      </c>
      <c r="J1878" s="464">
        <v>350</v>
      </c>
      <c r="K1878" s="464">
        <v>225</v>
      </c>
      <c r="L1878" s="464">
        <v>100</v>
      </c>
      <c r="M1878" s="465">
        <v>75</v>
      </c>
    </row>
    <row r="1879" spans="2:13" ht="15.75">
      <c r="B1879" s="452" t="s">
        <v>16</v>
      </c>
      <c r="C1879" s="464">
        <v>2225</v>
      </c>
      <c r="D1879" s="464">
        <v>1475</v>
      </c>
      <c r="E1879" s="464">
        <v>1225</v>
      </c>
      <c r="F1879" s="464">
        <v>975</v>
      </c>
      <c r="G1879" s="464">
        <v>725</v>
      </c>
      <c r="H1879" s="464">
        <v>475</v>
      </c>
      <c r="I1879" s="464">
        <v>350</v>
      </c>
      <c r="J1879" s="464">
        <v>225</v>
      </c>
      <c r="K1879" s="464">
        <v>100</v>
      </c>
      <c r="L1879" s="464">
        <v>75</v>
      </c>
      <c r="M1879" s="465">
        <v>50</v>
      </c>
    </row>
    <row r="1880" spans="2:13" ht="15.75">
      <c r="B1880" s="452" t="s">
        <v>17</v>
      </c>
      <c r="C1880" s="456" t="s">
        <v>18</v>
      </c>
      <c r="D1880" s="457"/>
      <c r="E1880" s="457"/>
      <c r="F1880" s="457"/>
      <c r="G1880" s="457"/>
      <c r="H1880" s="457"/>
      <c r="I1880" s="457"/>
      <c r="J1880" s="457"/>
      <c r="K1880" s="457"/>
      <c r="L1880" s="457"/>
      <c r="M1880" s="458"/>
    </row>
    <row r="1881" spans="2:13" ht="15.75">
      <c r="B1881" s="462"/>
      <c r="C1881" s="462"/>
      <c r="D1881" s="462"/>
      <c r="E1881" s="462"/>
      <c r="F1881" s="448"/>
      <c r="G1881" s="448"/>
      <c r="H1881" s="448"/>
      <c r="I1881" s="448"/>
      <c r="J1881" s="448"/>
      <c r="K1881" s="448"/>
      <c r="L1881" s="448"/>
      <c r="M1881" s="448"/>
    </row>
    <row r="1882" spans="2:13" ht="15.75">
      <c r="B1882" s="449" t="s">
        <v>19</v>
      </c>
      <c r="C1882" s="449"/>
      <c r="D1882" s="449"/>
      <c r="E1882" s="449"/>
      <c r="F1882" s="448"/>
      <c r="G1882" s="448"/>
      <c r="H1882" s="448"/>
      <c r="I1882" s="448"/>
      <c r="J1882" s="448"/>
      <c r="K1882" s="448"/>
      <c r="L1882" s="448"/>
      <c r="M1882" s="448"/>
    </row>
    <row r="1883" spans="2:13" ht="15.75">
      <c r="B1883" s="450" t="s">
        <v>2</v>
      </c>
      <c r="C1883" s="451" t="s">
        <v>3</v>
      </c>
      <c r="D1883" s="451" t="s">
        <v>4</v>
      </c>
      <c r="E1883" s="451" t="s">
        <v>5</v>
      </c>
      <c r="F1883" s="451" t="s">
        <v>6</v>
      </c>
      <c r="G1883" s="451" t="s">
        <v>7</v>
      </c>
      <c r="H1883" s="451" t="s">
        <v>8</v>
      </c>
      <c r="I1883" s="451" t="s">
        <v>9</v>
      </c>
      <c r="J1883" s="451" t="s">
        <v>10</v>
      </c>
      <c r="K1883" s="451" t="s">
        <v>11</v>
      </c>
      <c r="L1883" s="451" t="s">
        <v>12</v>
      </c>
      <c r="M1883" s="450" t="s">
        <v>13</v>
      </c>
    </row>
    <row r="1884" spans="2:13" ht="15.75">
      <c r="B1884" s="452" t="s">
        <v>14</v>
      </c>
      <c r="C1884" s="463">
        <v>6750</v>
      </c>
      <c r="D1884" s="464">
        <v>5500</v>
      </c>
      <c r="E1884" s="464">
        <v>4250</v>
      </c>
      <c r="F1884" s="464">
        <v>3000</v>
      </c>
      <c r="G1884" s="464">
        <v>1750</v>
      </c>
      <c r="H1884" s="464">
        <v>1250</v>
      </c>
      <c r="I1884" s="464">
        <v>750</v>
      </c>
      <c r="J1884" s="464">
        <v>500</v>
      </c>
      <c r="K1884" s="464">
        <v>375</v>
      </c>
      <c r="L1884" s="464">
        <v>250</v>
      </c>
      <c r="M1884" s="465">
        <v>125</v>
      </c>
    </row>
    <row r="1885" spans="2:13" ht="15.75">
      <c r="B1885" s="452" t="s">
        <v>15</v>
      </c>
      <c r="C1885" s="464">
        <v>5500</v>
      </c>
      <c r="D1885" s="464">
        <v>4250</v>
      </c>
      <c r="E1885" s="464">
        <v>3000</v>
      </c>
      <c r="F1885" s="464">
        <v>1750</v>
      </c>
      <c r="G1885" s="464">
        <v>1250</v>
      </c>
      <c r="H1885" s="464">
        <v>750</v>
      </c>
      <c r="I1885" s="464">
        <v>500</v>
      </c>
      <c r="J1885" s="464">
        <v>375</v>
      </c>
      <c r="K1885" s="464">
        <v>250</v>
      </c>
      <c r="L1885" s="464">
        <v>125</v>
      </c>
      <c r="M1885" s="465">
        <v>75</v>
      </c>
    </row>
    <row r="1886" spans="2:13" ht="15.75">
      <c r="B1886" s="452" t="s">
        <v>16</v>
      </c>
      <c r="C1886" s="464">
        <v>4250</v>
      </c>
      <c r="D1886" s="464">
        <v>3000</v>
      </c>
      <c r="E1886" s="464">
        <v>1750</v>
      </c>
      <c r="F1886" s="464">
        <v>1250</v>
      </c>
      <c r="G1886" s="464">
        <v>750</v>
      </c>
      <c r="H1886" s="464">
        <v>500</v>
      </c>
      <c r="I1886" s="464">
        <v>375</v>
      </c>
      <c r="J1886" s="464">
        <v>250</v>
      </c>
      <c r="K1886" s="464">
        <v>125</v>
      </c>
      <c r="L1886" s="464">
        <v>75</v>
      </c>
      <c r="M1886" s="465">
        <v>50</v>
      </c>
    </row>
    <row r="1887" spans="2:13" ht="15.75">
      <c r="B1887" s="452" t="s">
        <v>17</v>
      </c>
      <c r="C1887" s="456" t="s">
        <v>18</v>
      </c>
      <c r="D1887" s="457"/>
      <c r="E1887" s="457"/>
      <c r="F1887" s="457"/>
      <c r="G1887" s="457"/>
      <c r="H1887" s="457"/>
      <c r="I1887" s="457"/>
      <c r="J1887" s="457"/>
      <c r="K1887" s="457"/>
      <c r="L1887" s="457"/>
      <c r="M1887" s="458"/>
    </row>
    <row r="1888" spans="2:13" ht="15.75">
      <c r="B1888" s="462"/>
      <c r="C1888" s="462"/>
      <c r="D1888" s="462"/>
      <c r="E1888" s="462"/>
      <c r="F1888" s="448"/>
      <c r="G1888" s="448"/>
      <c r="H1888" s="448"/>
      <c r="I1888" s="448"/>
      <c r="J1888" s="448"/>
      <c r="K1888" s="448"/>
      <c r="L1888" s="448"/>
      <c r="M1888" s="448"/>
    </row>
    <row r="1889" spans="2:13" ht="15.75">
      <c r="B1889" s="462"/>
      <c r="C1889" s="462"/>
      <c r="D1889" s="462"/>
      <c r="E1889" s="462"/>
      <c r="F1889" s="448"/>
      <c r="G1889" s="448"/>
      <c r="H1889" s="448"/>
      <c r="I1889" s="448"/>
      <c r="J1889" s="448"/>
      <c r="K1889" s="448"/>
      <c r="L1889" s="448"/>
      <c r="M1889" s="448"/>
    </row>
    <row r="1890" spans="2:13" ht="15.75">
      <c r="B1890" s="462"/>
      <c r="C1890" s="462"/>
      <c r="D1890" s="462"/>
      <c r="E1890" s="462"/>
      <c r="F1890" s="448"/>
      <c r="G1890" s="448"/>
      <c r="H1890" s="448"/>
      <c r="I1890" s="448"/>
      <c r="J1890" s="448"/>
      <c r="K1890" s="448"/>
      <c r="L1890" s="448"/>
      <c r="M1890" s="448"/>
    </row>
    <row r="1891" spans="2:13" ht="15.75">
      <c r="B1891" s="447" t="s">
        <v>158</v>
      </c>
      <c r="C1891" s="447"/>
      <c r="D1891" s="447"/>
      <c r="E1891" s="447"/>
      <c r="F1891" s="448"/>
      <c r="G1891" s="448"/>
      <c r="H1891" s="448"/>
      <c r="I1891" s="448"/>
      <c r="J1891" s="448"/>
      <c r="K1891" s="448"/>
      <c r="L1891" s="448"/>
      <c r="M1891" s="448"/>
    </row>
    <row r="1892" spans="2:13" ht="15.75">
      <c r="B1892" s="449" t="s">
        <v>39</v>
      </c>
      <c r="C1892" s="449"/>
      <c r="D1892" s="449"/>
      <c r="E1892" s="449"/>
      <c r="F1892" s="448"/>
      <c r="G1892" s="448"/>
      <c r="H1892" s="448"/>
      <c r="I1892" s="448"/>
      <c r="J1892" s="448"/>
      <c r="K1892" s="448"/>
      <c r="L1892" s="448"/>
      <c r="M1892" s="448"/>
    </row>
    <row r="1893" spans="2:13" ht="15.75">
      <c r="B1893" s="450" t="s">
        <v>2</v>
      </c>
      <c r="C1893" s="451" t="s">
        <v>3</v>
      </c>
      <c r="D1893" s="451" t="s">
        <v>4</v>
      </c>
      <c r="E1893" s="451" t="s">
        <v>5</v>
      </c>
      <c r="F1893" s="451" t="s">
        <v>6</v>
      </c>
      <c r="G1893" s="451" t="s">
        <v>7</v>
      </c>
      <c r="H1893" s="451" t="s">
        <v>8</v>
      </c>
      <c r="I1893" s="451" t="s">
        <v>9</v>
      </c>
      <c r="J1893" s="451" t="s">
        <v>10</v>
      </c>
      <c r="K1893" s="451" t="s">
        <v>11</v>
      </c>
      <c r="L1893" s="451" t="s">
        <v>12</v>
      </c>
      <c r="M1893" s="450" t="s">
        <v>13</v>
      </c>
    </row>
    <row r="1894" spans="2:13" ht="15.75">
      <c r="B1894" s="452" t="s">
        <v>14</v>
      </c>
      <c r="C1894" s="463">
        <f>963*2</f>
        <v>1926</v>
      </c>
      <c r="D1894" s="464">
        <f>722*2</f>
        <v>1444</v>
      </c>
      <c r="E1894" s="464">
        <f>542*2</f>
        <v>1084</v>
      </c>
      <c r="F1894" s="464">
        <f>406*2</f>
        <v>812</v>
      </c>
      <c r="G1894" s="464">
        <f>305*2</f>
        <v>610</v>
      </c>
      <c r="H1894" s="464">
        <f>228*2</f>
        <v>456</v>
      </c>
      <c r="I1894" s="464">
        <f>171*2</f>
        <v>342</v>
      </c>
      <c r="J1894" s="464">
        <f>129*2</f>
        <v>258</v>
      </c>
      <c r="K1894" s="464">
        <f>96*2</f>
        <v>192</v>
      </c>
      <c r="L1894" s="464">
        <f>72*2</f>
        <v>144</v>
      </c>
      <c r="M1894" s="465">
        <f>54*2</f>
        <v>108</v>
      </c>
    </row>
    <row r="1895" spans="2:13" ht="15.75">
      <c r="B1895" s="452" t="s">
        <v>15</v>
      </c>
      <c r="C1895" s="463"/>
      <c r="D1895" s="464"/>
      <c r="E1895" s="464"/>
      <c r="F1895" s="464"/>
      <c r="G1895" s="464"/>
      <c r="H1895" s="464"/>
      <c r="I1895" s="464"/>
      <c r="J1895" s="464"/>
      <c r="K1895" s="464"/>
      <c r="L1895" s="464"/>
      <c r="M1895" s="465"/>
    </row>
    <row r="1896" spans="2:13" ht="15.75">
      <c r="B1896" s="452" t="s">
        <v>16</v>
      </c>
      <c r="C1896" s="456" t="s">
        <v>18</v>
      </c>
      <c r="D1896" s="457"/>
      <c r="E1896" s="457"/>
      <c r="F1896" s="457"/>
      <c r="G1896" s="457"/>
      <c r="H1896" s="457"/>
      <c r="I1896" s="457"/>
      <c r="J1896" s="457"/>
      <c r="K1896" s="457"/>
      <c r="L1896" s="457"/>
      <c r="M1896" s="458"/>
    </row>
    <row r="1897" spans="2:13" ht="15.75">
      <c r="B1897" s="452" t="s">
        <v>17</v>
      </c>
      <c r="C1897" s="459" t="s">
        <v>18</v>
      </c>
      <c r="D1897" s="460"/>
      <c r="E1897" s="460"/>
      <c r="F1897" s="460"/>
      <c r="G1897" s="460"/>
      <c r="H1897" s="460"/>
      <c r="I1897" s="460"/>
      <c r="J1897" s="460"/>
      <c r="K1897" s="460"/>
      <c r="L1897" s="460"/>
      <c r="M1897" s="461"/>
    </row>
    <row r="1898" spans="2:13" ht="15.75">
      <c r="B1898" s="462"/>
      <c r="C1898" s="462"/>
      <c r="D1898" s="462"/>
      <c r="E1898" s="462"/>
      <c r="F1898" s="448"/>
      <c r="G1898" s="448"/>
      <c r="H1898" s="448"/>
      <c r="I1898" s="448"/>
      <c r="J1898" s="448"/>
      <c r="K1898" s="448"/>
      <c r="L1898" s="448"/>
      <c r="M1898" s="448"/>
    </row>
    <row r="1899" spans="2:13" ht="15.75">
      <c r="B1899" s="449" t="s">
        <v>19</v>
      </c>
      <c r="C1899" s="449"/>
      <c r="D1899" s="449"/>
      <c r="E1899" s="449"/>
      <c r="F1899" s="448"/>
      <c r="G1899" s="448"/>
      <c r="H1899" s="448"/>
      <c r="I1899" s="448"/>
      <c r="J1899" s="448"/>
      <c r="K1899" s="448"/>
      <c r="L1899" s="448"/>
      <c r="M1899" s="448"/>
    </row>
    <row r="1900" spans="2:13" ht="15.75">
      <c r="B1900" s="450" t="s">
        <v>2</v>
      </c>
      <c r="C1900" s="451" t="s">
        <v>3</v>
      </c>
      <c r="D1900" s="451" t="s">
        <v>4</v>
      </c>
      <c r="E1900" s="451" t="s">
        <v>5</v>
      </c>
      <c r="F1900" s="451" t="s">
        <v>6</v>
      </c>
      <c r="G1900" s="451" t="s">
        <v>7</v>
      </c>
      <c r="H1900" s="451" t="s">
        <v>8</v>
      </c>
      <c r="I1900" s="451" t="s">
        <v>9</v>
      </c>
      <c r="J1900" s="451" t="s">
        <v>10</v>
      </c>
      <c r="K1900" s="451" t="s">
        <v>11</v>
      </c>
      <c r="L1900" s="451" t="s">
        <v>12</v>
      </c>
      <c r="M1900" s="450" t="s">
        <v>13</v>
      </c>
    </row>
    <row r="1901" spans="2:13" ht="15.75">
      <c r="B1901" s="452" t="s">
        <v>14</v>
      </c>
      <c r="C1901" s="463">
        <f>1291*2</f>
        <v>2582</v>
      </c>
      <c r="D1901" s="464">
        <f>969*2</f>
        <v>1938</v>
      </c>
      <c r="E1901" s="464">
        <f>726*2</f>
        <v>1452</v>
      </c>
      <c r="F1901" s="464">
        <f>545*2</f>
        <v>1090</v>
      </c>
      <c r="G1901" s="464">
        <f>408*2</f>
        <v>816</v>
      </c>
      <c r="H1901" s="464">
        <f>306*2</f>
        <v>612</v>
      </c>
      <c r="I1901" s="464">
        <f>230*2</f>
        <v>460</v>
      </c>
      <c r="J1901" s="464">
        <f>172*2</f>
        <v>344</v>
      </c>
      <c r="K1901" s="464">
        <f>129*2</f>
        <v>258</v>
      </c>
      <c r="L1901" s="464">
        <f>97*2</f>
        <v>194</v>
      </c>
      <c r="M1901" s="465">
        <f>73*2</f>
        <v>146</v>
      </c>
    </row>
    <row r="1902" spans="2:13" ht="15.75">
      <c r="B1902" s="452" t="s">
        <v>15</v>
      </c>
      <c r="C1902" s="463"/>
      <c r="D1902" s="464"/>
      <c r="E1902" s="464"/>
      <c r="F1902" s="464"/>
      <c r="G1902" s="464"/>
      <c r="H1902" s="464"/>
      <c r="I1902" s="464"/>
      <c r="J1902" s="464"/>
      <c r="K1902" s="464"/>
      <c r="L1902" s="464"/>
      <c r="M1902" s="465"/>
    </row>
    <row r="1903" spans="2:13" ht="15.75">
      <c r="B1903" s="452" t="s">
        <v>16</v>
      </c>
      <c r="C1903" s="456" t="s">
        <v>18</v>
      </c>
      <c r="D1903" s="457"/>
      <c r="E1903" s="457"/>
      <c r="F1903" s="457"/>
      <c r="G1903" s="457"/>
      <c r="H1903" s="457"/>
      <c r="I1903" s="457"/>
      <c r="J1903" s="457"/>
      <c r="K1903" s="457"/>
      <c r="L1903" s="457"/>
      <c r="M1903" s="458"/>
    </row>
    <row r="1904" spans="2:13" ht="15.75">
      <c r="B1904" s="452" t="s">
        <v>17</v>
      </c>
      <c r="C1904" s="459" t="s">
        <v>18</v>
      </c>
      <c r="D1904" s="460"/>
      <c r="E1904" s="460"/>
      <c r="F1904" s="460"/>
      <c r="G1904" s="460"/>
      <c r="H1904" s="460"/>
      <c r="I1904" s="460"/>
      <c r="J1904" s="460"/>
      <c r="K1904" s="460"/>
      <c r="L1904" s="460"/>
      <c r="M1904" s="461"/>
    </row>
    <row r="1905" spans="2:13" ht="15.75">
      <c r="B1905" s="462"/>
      <c r="C1905" s="462"/>
      <c r="D1905" s="462"/>
      <c r="E1905" s="462"/>
      <c r="F1905" s="448"/>
      <c r="G1905" s="448"/>
      <c r="H1905" s="448"/>
      <c r="I1905" s="448"/>
      <c r="J1905" s="448"/>
      <c r="K1905" s="448"/>
      <c r="L1905" s="448"/>
      <c r="M1905" s="448"/>
    </row>
    <row r="1906" spans="2:13" ht="15.75">
      <c r="B1906" s="447" t="s">
        <v>159</v>
      </c>
      <c r="C1906" s="447"/>
      <c r="D1906" s="447"/>
      <c r="E1906" s="447"/>
      <c r="F1906" s="448"/>
      <c r="G1906" s="448"/>
      <c r="H1906" s="448"/>
      <c r="I1906" s="448"/>
      <c r="J1906" s="448"/>
      <c r="K1906" s="448"/>
      <c r="L1906" s="448"/>
      <c r="M1906" s="448"/>
    </row>
    <row r="1907" spans="2:13" ht="15.75">
      <c r="B1907" s="449" t="s">
        <v>39</v>
      </c>
      <c r="C1907" s="449"/>
      <c r="D1907" s="449"/>
      <c r="E1907" s="449"/>
      <c r="F1907" s="448"/>
      <c r="G1907" s="448"/>
      <c r="H1907" s="448"/>
      <c r="I1907" s="448"/>
      <c r="J1907" s="448"/>
      <c r="K1907" s="448"/>
      <c r="L1907" s="448"/>
      <c r="M1907" s="448"/>
    </row>
    <row r="1908" spans="2:13" ht="15.75">
      <c r="B1908" s="450" t="s">
        <v>2</v>
      </c>
      <c r="C1908" s="451" t="s">
        <v>3</v>
      </c>
      <c r="D1908" s="451" t="s">
        <v>4</v>
      </c>
      <c r="E1908" s="451" t="s">
        <v>5</v>
      </c>
      <c r="F1908" s="451" t="s">
        <v>6</v>
      </c>
      <c r="G1908" s="451" t="s">
        <v>7</v>
      </c>
      <c r="H1908" s="451" t="s">
        <v>8</v>
      </c>
      <c r="I1908" s="451" t="s">
        <v>9</v>
      </c>
      <c r="J1908" s="451" t="s">
        <v>10</v>
      </c>
      <c r="K1908" s="451" t="s">
        <v>11</v>
      </c>
      <c r="L1908" s="451" t="s">
        <v>12</v>
      </c>
      <c r="M1908" s="450" t="s">
        <v>13</v>
      </c>
    </row>
    <row r="1909" spans="2:13" ht="15.75">
      <c r="B1909" s="452" t="s">
        <v>14</v>
      </c>
      <c r="C1909" s="453">
        <f>509*2</f>
        <v>1018</v>
      </c>
      <c r="D1909" s="454">
        <f>382*2</f>
        <v>764</v>
      </c>
      <c r="E1909" s="454">
        <f>286*2</f>
        <v>572</v>
      </c>
      <c r="F1909" s="454">
        <f>215*2</f>
        <v>430</v>
      </c>
      <c r="G1909" s="454">
        <f>161*2</f>
        <v>322</v>
      </c>
      <c r="H1909" s="454">
        <f>121*2</f>
        <v>242</v>
      </c>
      <c r="I1909" s="454">
        <f>91*2</f>
        <v>182</v>
      </c>
      <c r="J1909" s="454">
        <f>68*2</f>
        <v>136</v>
      </c>
      <c r="K1909" s="454">
        <f>51*2</f>
        <v>102</v>
      </c>
      <c r="L1909" s="454">
        <f>38*2</f>
        <v>76</v>
      </c>
      <c r="M1909" s="454">
        <f>60*2</f>
        <v>120</v>
      </c>
    </row>
    <row r="1910" spans="2:13" ht="15.75">
      <c r="B1910" s="452" t="s">
        <v>15</v>
      </c>
      <c r="C1910" s="453"/>
      <c r="D1910" s="454"/>
      <c r="E1910" s="454"/>
      <c r="F1910" s="454"/>
      <c r="G1910" s="454"/>
      <c r="H1910" s="455"/>
      <c r="I1910" s="454"/>
      <c r="J1910" s="454"/>
      <c r="K1910" s="454"/>
      <c r="L1910" s="454"/>
      <c r="M1910" s="454"/>
    </row>
    <row r="1911" spans="2:13" ht="15.75">
      <c r="B1911" s="452" t="s">
        <v>16</v>
      </c>
      <c r="C1911" s="456" t="s">
        <v>18</v>
      </c>
      <c r="D1911" s="457"/>
      <c r="E1911" s="457"/>
      <c r="F1911" s="457"/>
      <c r="G1911" s="457"/>
      <c r="H1911" s="457"/>
      <c r="I1911" s="457"/>
      <c r="J1911" s="457"/>
      <c r="K1911" s="457"/>
      <c r="L1911" s="457"/>
      <c r="M1911" s="458"/>
    </row>
    <row r="1912" spans="2:13" ht="15.75">
      <c r="B1912" s="452" t="s">
        <v>17</v>
      </c>
      <c r="C1912" s="459" t="s">
        <v>18</v>
      </c>
      <c r="D1912" s="460"/>
      <c r="E1912" s="460"/>
      <c r="F1912" s="460"/>
      <c r="G1912" s="460"/>
      <c r="H1912" s="460"/>
      <c r="I1912" s="460"/>
      <c r="J1912" s="460"/>
      <c r="K1912" s="460"/>
      <c r="L1912" s="460"/>
      <c r="M1912" s="461"/>
    </row>
    <row r="1913" spans="2:13" ht="15.75">
      <c r="B1913" s="462"/>
      <c r="C1913" s="462"/>
      <c r="D1913" s="462"/>
      <c r="E1913" s="462"/>
      <c r="F1913" s="448"/>
      <c r="G1913" s="448"/>
      <c r="H1913" s="448"/>
      <c r="I1913" s="448"/>
      <c r="J1913" s="448"/>
      <c r="K1913" s="448"/>
      <c r="L1913" s="448"/>
      <c r="M1913" s="448"/>
    </row>
    <row r="1914" spans="2:13" ht="15.75">
      <c r="B1914" s="449" t="s">
        <v>19</v>
      </c>
      <c r="C1914" s="449"/>
      <c r="D1914" s="449"/>
      <c r="E1914" s="449"/>
      <c r="F1914" s="448"/>
      <c r="G1914" s="448"/>
      <c r="H1914" s="448"/>
      <c r="I1914" s="448"/>
      <c r="J1914" s="448"/>
      <c r="K1914" s="448"/>
      <c r="L1914" s="448"/>
      <c r="M1914" s="448"/>
    </row>
    <row r="1915" spans="2:13" ht="15.75">
      <c r="B1915" s="450" t="s">
        <v>2</v>
      </c>
      <c r="C1915" s="451" t="s">
        <v>3</v>
      </c>
      <c r="D1915" s="451" t="s">
        <v>4</v>
      </c>
      <c r="E1915" s="451" t="s">
        <v>5</v>
      </c>
      <c r="F1915" s="451" t="s">
        <v>6</v>
      </c>
      <c r="G1915" s="451" t="s">
        <v>7</v>
      </c>
      <c r="H1915" s="451" t="s">
        <v>8</v>
      </c>
      <c r="I1915" s="451" t="s">
        <v>9</v>
      </c>
      <c r="J1915" s="451" t="s">
        <v>10</v>
      </c>
      <c r="K1915" s="451" t="s">
        <v>11</v>
      </c>
      <c r="L1915" s="451" t="s">
        <v>12</v>
      </c>
      <c r="M1915" s="450" t="s">
        <v>13</v>
      </c>
    </row>
    <row r="1916" spans="2:13" ht="15.75">
      <c r="B1916" s="452" t="s">
        <v>14</v>
      </c>
      <c r="C1916" s="463">
        <f>658*2</f>
        <v>1316</v>
      </c>
      <c r="D1916" s="464">
        <f>493*2</f>
        <v>986</v>
      </c>
      <c r="E1916" s="464">
        <f>370*2</f>
        <v>740</v>
      </c>
      <c r="F1916" s="464">
        <f>277*2</f>
        <v>554</v>
      </c>
      <c r="G1916" s="464">
        <f>208*2</f>
        <v>416</v>
      </c>
      <c r="H1916" s="464">
        <f>156*2</f>
        <v>312</v>
      </c>
      <c r="I1916" s="464">
        <f>117*2</f>
        <v>234</v>
      </c>
      <c r="J1916" s="464">
        <f>88*2</f>
        <v>176</v>
      </c>
      <c r="K1916" s="464">
        <f>66*2</f>
        <v>132</v>
      </c>
      <c r="L1916" s="464">
        <f>49*2</f>
        <v>98</v>
      </c>
      <c r="M1916" s="465">
        <f>37*2</f>
        <v>74</v>
      </c>
    </row>
    <row r="1917" spans="2:13" ht="15.75">
      <c r="B1917" s="452" t="s">
        <v>15</v>
      </c>
      <c r="C1917" s="463"/>
      <c r="D1917" s="464"/>
      <c r="E1917" s="464"/>
      <c r="F1917" s="464"/>
      <c r="G1917" s="464"/>
      <c r="H1917" s="464"/>
      <c r="I1917" s="464"/>
      <c r="J1917" s="464"/>
      <c r="K1917" s="464"/>
      <c r="L1917" s="464"/>
      <c r="M1917" s="465"/>
    </row>
    <row r="1918" spans="2:13" ht="15.75">
      <c r="B1918" s="452" t="s">
        <v>16</v>
      </c>
      <c r="C1918" s="456" t="s">
        <v>18</v>
      </c>
      <c r="D1918" s="457"/>
      <c r="E1918" s="457"/>
      <c r="F1918" s="457"/>
      <c r="G1918" s="457"/>
      <c r="H1918" s="457"/>
      <c r="I1918" s="457"/>
      <c r="J1918" s="457"/>
      <c r="K1918" s="457"/>
      <c r="L1918" s="457"/>
      <c r="M1918" s="458"/>
    </row>
    <row r="1919" spans="2:13" ht="15.75">
      <c r="B1919" s="452" t="s">
        <v>17</v>
      </c>
      <c r="C1919" s="459" t="s">
        <v>18</v>
      </c>
      <c r="D1919" s="460"/>
      <c r="E1919" s="460"/>
      <c r="F1919" s="460"/>
      <c r="G1919" s="460"/>
      <c r="H1919" s="460"/>
      <c r="I1919" s="460"/>
      <c r="J1919" s="460"/>
      <c r="K1919" s="460"/>
      <c r="L1919" s="460"/>
      <c r="M1919" s="461"/>
    </row>
    <row r="1920" spans="2:13" ht="15.75">
      <c r="B1920" s="462"/>
      <c r="C1920" s="462"/>
      <c r="D1920" s="462"/>
      <c r="E1920" s="462"/>
      <c r="F1920" s="448"/>
      <c r="G1920" s="448"/>
      <c r="H1920" s="448"/>
      <c r="I1920" s="448"/>
      <c r="J1920" s="448"/>
      <c r="K1920" s="448"/>
      <c r="L1920" s="448"/>
      <c r="M1920" s="448"/>
    </row>
    <row r="1921" spans="2:13" ht="15.75">
      <c r="B1921" s="447" t="s">
        <v>160</v>
      </c>
      <c r="C1921" s="447"/>
      <c r="D1921" s="447"/>
      <c r="E1921" s="447"/>
      <c r="F1921" s="448"/>
      <c r="G1921" s="448"/>
      <c r="H1921" s="448"/>
      <c r="I1921" s="448"/>
      <c r="J1921" s="448"/>
      <c r="K1921" s="448"/>
      <c r="L1921" s="448"/>
      <c r="M1921" s="448"/>
    </row>
    <row r="1922" spans="2:13" ht="15.75">
      <c r="B1922" s="449" t="s">
        <v>39</v>
      </c>
      <c r="C1922" s="449"/>
      <c r="D1922" s="449"/>
      <c r="E1922" s="449"/>
      <c r="F1922" s="448"/>
      <c r="G1922" s="448"/>
      <c r="H1922" s="448"/>
      <c r="I1922" s="448"/>
      <c r="J1922" s="448"/>
      <c r="K1922" s="448"/>
      <c r="L1922" s="448"/>
      <c r="M1922" s="448"/>
    </row>
    <row r="1923" spans="2:13" ht="15.75">
      <c r="B1923" s="450" t="s">
        <v>2</v>
      </c>
      <c r="C1923" s="451" t="s">
        <v>3</v>
      </c>
      <c r="D1923" s="451" t="s">
        <v>4</v>
      </c>
      <c r="E1923" s="451" t="s">
        <v>5</v>
      </c>
      <c r="F1923" s="451" t="s">
        <v>6</v>
      </c>
      <c r="G1923" s="451" t="s">
        <v>7</v>
      </c>
      <c r="H1923" s="451" t="s">
        <v>8</v>
      </c>
      <c r="I1923" s="451" t="s">
        <v>9</v>
      </c>
      <c r="J1923" s="451" t="s">
        <v>10</v>
      </c>
      <c r="K1923" s="451" t="s">
        <v>11</v>
      </c>
      <c r="L1923" s="451" t="s">
        <v>12</v>
      </c>
      <c r="M1923" s="450" t="s">
        <v>13</v>
      </c>
    </row>
    <row r="1924" spans="2:13" ht="15.75">
      <c r="B1924" s="452" t="s">
        <v>14</v>
      </c>
      <c r="C1924" s="463">
        <f>1680*2</f>
        <v>3360</v>
      </c>
      <c r="D1924" s="464">
        <f>1260*2</f>
        <v>2520</v>
      </c>
      <c r="E1924" s="464">
        <f>945*2</f>
        <v>1890</v>
      </c>
      <c r="F1924" s="464">
        <f>709.8*2</f>
        <v>1419.6</v>
      </c>
      <c r="G1924" s="464">
        <f>533.4*2</f>
        <v>1066.8</v>
      </c>
      <c r="H1924" s="464">
        <f>399*2</f>
        <v>798</v>
      </c>
      <c r="I1924" s="464">
        <f>298.2*2</f>
        <v>596.4</v>
      </c>
      <c r="J1924" s="464">
        <f>222.6*2</f>
        <v>445.2</v>
      </c>
      <c r="K1924" s="464">
        <f>168*2</f>
        <v>336</v>
      </c>
      <c r="L1924" s="464">
        <f>84*2</f>
        <v>168</v>
      </c>
      <c r="M1924" s="465">
        <f>42*2</f>
        <v>84</v>
      </c>
    </row>
    <row r="1925" spans="2:13" ht="15.75">
      <c r="B1925" s="452" t="s">
        <v>15</v>
      </c>
      <c r="C1925" s="456" t="s">
        <v>18</v>
      </c>
      <c r="D1925" s="457"/>
      <c r="E1925" s="457"/>
      <c r="F1925" s="457"/>
      <c r="G1925" s="457"/>
      <c r="H1925" s="457"/>
      <c r="I1925" s="457"/>
      <c r="J1925" s="457"/>
      <c r="K1925" s="457"/>
      <c r="L1925" s="457"/>
      <c r="M1925" s="458"/>
    </row>
    <row r="1926" spans="2:13" ht="15.75">
      <c r="B1926" s="452" t="s">
        <v>16</v>
      </c>
      <c r="C1926" s="459" t="s">
        <v>18</v>
      </c>
      <c r="D1926" s="460"/>
      <c r="E1926" s="460"/>
      <c r="F1926" s="460"/>
      <c r="G1926" s="460"/>
      <c r="H1926" s="460"/>
      <c r="I1926" s="460"/>
      <c r="J1926" s="460"/>
      <c r="K1926" s="460"/>
      <c r="L1926" s="460"/>
      <c r="M1926" s="461"/>
    </row>
    <row r="1927" spans="2:13" ht="15.75">
      <c r="B1927" s="452" t="s">
        <v>17</v>
      </c>
      <c r="C1927" s="459" t="s">
        <v>18</v>
      </c>
      <c r="D1927" s="460"/>
      <c r="E1927" s="460"/>
      <c r="F1927" s="460"/>
      <c r="G1927" s="460"/>
      <c r="H1927" s="460"/>
      <c r="I1927" s="460"/>
      <c r="J1927" s="460"/>
      <c r="K1927" s="460"/>
      <c r="L1927" s="460"/>
      <c r="M1927" s="461"/>
    </row>
    <row r="1928" spans="2:13" ht="15.75">
      <c r="B1928" s="462"/>
      <c r="C1928" s="462"/>
      <c r="D1928" s="462"/>
      <c r="E1928" s="462"/>
      <c r="F1928" s="448"/>
      <c r="G1928" s="448"/>
      <c r="H1928" s="448"/>
      <c r="I1928" s="448"/>
      <c r="J1928" s="448"/>
      <c r="K1928" s="448"/>
      <c r="L1928" s="448"/>
      <c r="M1928" s="448"/>
    </row>
    <row r="1929" spans="2:13" ht="15.75">
      <c r="B1929" s="449" t="s">
        <v>19</v>
      </c>
      <c r="C1929" s="449"/>
      <c r="D1929" s="449"/>
      <c r="E1929" s="449"/>
      <c r="F1929" s="448"/>
      <c r="G1929" s="448"/>
      <c r="H1929" s="448"/>
      <c r="I1929" s="448"/>
      <c r="J1929" s="448"/>
      <c r="K1929" s="448"/>
      <c r="L1929" s="448"/>
      <c r="M1929" s="448"/>
    </row>
    <row r="1930" spans="2:13" ht="15.75">
      <c r="B1930" s="450" t="s">
        <v>2</v>
      </c>
      <c r="C1930" s="451" t="s">
        <v>3</v>
      </c>
      <c r="D1930" s="451" t="s">
        <v>4</v>
      </c>
      <c r="E1930" s="451" t="s">
        <v>5</v>
      </c>
      <c r="F1930" s="451" t="s">
        <v>6</v>
      </c>
      <c r="G1930" s="451" t="s">
        <v>7</v>
      </c>
      <c r="H1930" s="451" t="s">
        <v>8</v>
      </c>
      <c r="I1930" s="451" t="s">
        <v>9</v>
      </c>
      <c r="J1930" s="451" t="s">
        <v>10</v>
      </c>
      <c r="K1930" s="451" t="s">
        <v>11</v>
      </c>
      <c r="L1930" s="451" t="s">
        <v>12</v>
      </c>
      <c r="M1930" s="450" t="s">
        <v>13</v>
      </c>
    </row>
    <row r="1931" spans="2:13" ht="15.75">
      <c r="B1931" s="452" t="s">
        <v>14</v>
      </c>
      <c r="C1931" s="463">
        <f>3150*2</f>
        <v>6300</v>
      </c>
      <c r="D1931" s="464">
        <f>2362.5*2</f>
        <v>4725</v>
      </c>
      <c r="E1931" s="464">
        <f>1770.3*2</f>
        <v>3540.6</v>
      </c>
      <c r="F1931" s="464">
        <f>1329.3*2</f>
        <v>2658.6</v>
      </c>
      <c r="G1931" s="464">
        <f>995.4*2</f>
        <v>1990.8</v>
      </c>
      <c r="H1931" s="464">
        <f>749.7*2</f>
        <v>1499.4</v>
      </c>
      <c r="I1931" s="464">
        <f>560.7*2</f>
        <v>1121.4000000000001</v>
      </c>
      <c r="J1931" s="464">
        <f>422.1*2</f>
        <v>844.2</v>
      </c>
      <c r="K1931" s="464">
        <f>315*2</f>
        <v>630</v>
      </c>
      <c r="L1931" s="464">
        <f>157.5*2</f>
        <v>315</v>
      </c>
      <c r="M1931" s="465">
        <f>81.9*2</f>
        <v>163.80000000000001</v>
      </c>
    </row>
    <row r="1932" spans="2:13" ht="15.75">
      <c r="B1932" s="452" t="s">
        <v>15</v>
      </c>
      <c r="C1932" s="456" t="s">
        <v>18</v>
      </c>
      <c r="D1932" s="457"/>
      <c r="E1932" s="457"/>
      <c r="F1932" s="457"/>
      <c r="G1932" s="457"/>
      <c r="H1932" s="457"/>
      <c r="I1932" s="457"/>
      <c r="J1932" s="457"/>
      <c r="K1932" s="457"/>
      <c r="L1932" s="457"/>
      <c r="M1932" s="458"/>
    </row>
    <row r="1933" spans="2:13" ht="15.75">
      <c r="B1933" s="452" t="s">
        <v>16</v>
      </c>
      <c r="C1933" s="459" t="s">
        <v>18</v>
      </c>
      <c r="D1933" s="460"/>
      <c r="E1933" s="460"/>
      <c r="F1933" s="460"/>
      <c r="G1933" s="460"/>
      <c r="H1933" s="460"/>
      <c r="I1933" s="460"/>
      <c r="J1933" s="460"/>
      <c r="K1933" s="460"/>
      <c r="L1933" s="460"/>
      <c r="M1933" s="461"/>
    </row>
    <row r="1934" spans="2:13" ht="15.75">
      <c r="B1934" s="452" t="s">
        <v>17</v>
      </c>
      <c r="C1934" s="459" t="s">
        <v>18</v>
      </c>
      <c r="D1934" s="460"/>
      <c r="E1934" s="460"/>
      <c r="F1934" s="460"/>
      <c r="G1934" s="460"/>
      <c r="H1934" s="460"/>
      <c r="I1934" s="460"/>
      <c r="J1934" s="460"/>
      <c r="K1934" s="460"/>
      <c r="L1934" s="460"/>
      <c r="M1934" s="461"/>
    </row>
    <row r="1935" spans="2:13" ht="15.75">
      <c r="B1935" s="462"/>
      <c r="C1935" s="462"/>
      <c r="D1935" s="462"/>
      <c r="E1935" s="462"/>
      <c r="F1935" s="448"/>
      <c r="G1935" s="448"/>
      <c r="H1935" s="448"/>
      <c r="I1935" s="448"/>
      <c r="J1935" s="448"/>
      <c r="K1935" s="448"/>
      <c r="L1935" s="448"/>
      <c r="M1935" s="448"/>
    </row>
    <row r="1936" spans="2:13" ht="15.75">
      <c r="B1936" s="447" t="s">
        <v>161</v>
      </c>
      <c r="C1936" s="447"/>
      <c r="D1936" s="447"/>
      <c r="E1936" s="447"/>
      <c r="F1936" s="448"/>
      <c r="G1936" s="448"/>
      <c r="H1936" s="448"/>
      <c r="I1936" s="448"/>
      <c r="J1936" s="448"/>
      <c r="K1936" s="448"/>
      <c r="L1936" s="448"/>
      <c r="M1936" s="448"/>
    </row>
    <row r="1937" spans="2:13" ht="15.75">
      <c r="B1937" s="449" t="s">
        <v>39</v>
      </c>
      <c r="C1937" s="449"/>
      <c r="D1937" s="449"/>
      <c r="E1937" s="449"/>
      <c r="F1937" s="448"/>
      <c r="G1937" s="448"/>
      <c r="H1937" s="448"/>
      <c r="I1937" s="448"/>
      <c r="J1937" s="448"/>
      <c r="K1937" s="448"/>
      <c r="L1937" s="448"/>
      <c r="M1937" s="448"/>
    </row>
    <row r="1938" spans="2:13" ht="15.75">
      <c r="B1938" s="450" t="s">
        <v>2</v>
      </c>
      <c r="C1938" s="451" t="s">
        <v>3</v>
      </c>
      <c r="D1938" s="451" t="s">
        <v>4</v>
      </c>
      <c r="E1938" s="451" t="s">
        <v>5</v>
      </c>
      <c r="F1938" s="451" t="s">
        <v>6</v>
      </c>
      <c r="G1938" s="451" t="s">
        <v>7</v>
      </c>
      <c r="H1938" s="451" t="s">
        <v>8</v>
      </c>
      <c r="I1938" s="451" t="s">
        <v>9</v>
      </c>
      <c r="J1938" s="451" t="s">
        <v>10</v>
      </c>
      <c r="K1938" s="451" t="s">
        <v>11</v>
      </c>
      <c r="L1938" s="451" t="s">
        <v>12</v>
      </c>
      <c r="M1938" s="450" t="s">
        <v>13</v>
      </c>
    </row>
    <row r="1939" spans="2:13" ht="15.75">
      <c r="B1939" s="452" t="s">
        <v>14</v>
      </c>
      <c r="C1939" s="453">
        <f>800*2</f>
        <v>1600</v>
      </c>
      <c r="D1939" s="454">
        <f>600*2</f>
        <v>1200</v>
      </c>
      <c r="E1939" s="454">
        <f>450*2</f>
        <v>900</v>
      </c>
      <c r="F1939" s="454">
        <f>337*2</f>
        <v>674</v>
      </c>
      <c r="G1939" s="454">
        <f>253*2</f>
        <v>506</v>
      </c>
      <c r="H1939" s="454">
        <f>190*2</f>
        <v>380</v>
      </c>
      <c r="I1939" s="454">
        <f>143*2</f>
        <v>286</v>
      </c>
      <c r="J1939" s="454">
        <f>107*2</f>
        <v>214</v>
      </c>
      <c r="K1939" s="454">
        <f>80*2</f>
        <v>160</v>
      </c>
      <c r="L1939" s="454">
        <f>60*2</f>
        <v>120</v>
      </c>
      <c r="M1939" s="454">
        <f>45*2</f>
        <v>90</v>
      </c>
    </row>
    <row r="1940" spans="2:13" ht="15.75">
      <c r="B1940" s="452" t="s">
        <v>15</v>
      </c>
      <c r="C1940" s="453"/>
      <c r="D1940" s="454"/>
      <c r="E1940" s="454"/>
      <c r="F1940" s="454"/>
      <c r="G1940" s="454"/>
      <c r="H1940" s="455"/>
      <c r="I1940" s="454"/>
      <c r="J1940" s="454"/>
      <c r="K1940" s="454"/>
      <c r="L1940" s="454"/>
      <c r="M1940" s="454"/>
    </row>
    <row r="1941" spans="2:13" ht="15.75">
      <c r="B1941" s="452" t="s">
        <v>16</v>
      </c>
      <c r="C1941" s="456" t="s">
        <v>18</v>
      </c>
      <c r="D1941" s="457"/>
      <c r="E1941" s="457"/>
      <c r="F1941" s="457"/>
      <c r="G1941" s="457"/>
      <c r="H1941" s="457"/>
      <c r="I1941" s="457"/>
      <c r="J1941" s="457"/>
      <c r="K1941" s="457"/>
      <c r="L1941" s="457"/>
      <c r="M1941" s="458"/>
    </row>
    <row r="1942" spans="2:13" ht="15.75">
      <c r="B1942" s="452" t="s">
        <v>17</v>
      </c>
      <c r="C1942" s="459" t="s">
        <v>18</v>
      </c>
      <c r="D1942" s="460"/>
      <c r="E1942" s="460"/>
      <c r="F1942" s="460"/>
      <c r="G1942" s="460"/>
      <c r="H1942" s="460"/>
      <c r="I1942" s="460"/>
      <c r="J1942" s="460"/>
      <c r="K1942" s="460"/>
      <c r="L1942" s="460"/>
      <c r="M1942" s="461"/>
    </row>
    <row r="1943" spans="2:13" ht="15.75">
      <c r="B1943" s="462"/>
      <c r="C1943" s="462"/>
      <c r="D1943" s="462"/>
      <c r="E1943" s="462"/>
      <c r="F1943" s="448"/>
      <c r="G1943" s="448"/>
      <c r="H1943" s="448"/>
      <c r="I1943" s="448"/>
      <c r="J1943" s="448"/>
      <c r="K1943" s="448"/>
      <c r="L1943" s="448"/>
      <c r="M1943" s="448"/>
    </row>
    <row r="1944" spans="2:13" ht="15.75">
      <c r="B1944" s="449" t="s">
        <v>19</v>
      </c>
      <c r="C1944" s="449"/>
      <c r="D1944" s="449"/>
      <c r="E1944" s="449"/>
      <c r="F1944" s="448"/>
      <c r="G1944" s="448"/>
      <c r="H1944" s="448"/>
      <c r="I1944" s="448"/>
      <c r="J1944" s="448"/>
      <c r="K1944" s="448"/>
      <c r="L1944" s="448"/>
      <c r="M1944" s="448"/>
    </row>
    <row r="1945" spans="2:13" ht="15.75">
      <c r="B1945" s="450" t="s">
        <v>2</v>
      </c>
      <c r="C1945" s="451" t="s">
        <v>3</v>
      </c>
      <c r="D1945" s="451" t="s">
        <v>4</v>
      </c>
      <c r="E1945" s="451" t="s">
        <v>5</v>
      </c>
      <c r="F1945" s="451" t="s">
        <v>6</v>
      </c>
      <c r="G1945" s="451" t="s">
        <v>7</v>
      </c>
      <c r="H1945" s="451" t="s">
        <v>8</v>
      </c>
      <c r="I1945" s="451" t="s">
        <v>9</v>
      </c>
      <c r="J1945" s="451" t="s">
        <v>10</v>
      </c>
      <c r="K1945" s="451" t="s">
        <v>11</v>
      </c>
      <c r="L1945" s="451" t="s">
        <v>12</v>
      </c>
      <c r="M1945" s="450" t="s">
        <v>13</v>
      </c>
    </row>
    <row r="1946" spans="2:13" ht="15.75">
      <c r="B1946" s="452" t="s">
        <v>14</v>
      </c>
      <c r="C1946" s="463">
        <f>909*2</f>
        <v>1818</v>
      </c>
      <c r="D1946" s="464">
        <f>682*2</f>
        <v>1364</v>
      </c>
      <c r="E1946" s="464">
        <f>511*2</f>
        <v>1022</v>
      </c>
      <c r="F1946" s="464">
        <f>384*2</f>
        <v>768</v>
      </c>
      <c r="G1946" s="464">
        <f>288*2</f>
        <v>576</v>
      </c>
      <c r="H1946" s="464">
        <f>216*2</f>
        <v>432</v>
      </c>
      <c r="I1946" s="464">
        <f>162*2</f>
        <v>324</v>
      </c>
      <c r="J1946" s="464">
        <f>121*2</f>
        <v>242</v>
      </c>
      <c r="K1946" s="464">
        <f>91*2</f>
        <v>182</v>
      </c>
      <c r="L1946" s="464">
        <f>68*2</f>
        <v>136</v>
      </c>
      <c r="M1946" s="465">
        <f>5*2</f>
        <v>10</v>
      </c>
    </row>
    <row r="1947" spans="2:13" ht="15.75">
      <c r="B1947" s="452" t="s">
        <v>15</v>
      </c>
      <c r="C1947" s="463"/>
      <c r="D1947" s="464"/>
      <c r="E1947" s="464"/>
      <c r="F1947" s="464"/>
      <c r="G1947" s="464"/>
      <c r="H1947" s="464"/>
      <c r="I1947" s="464"/>
      <c r="J1947" s="464"/>
      <c r="K1947" s="464"/>
      <c r="L1947" s="464"/>
      <c r="M1947" s="465"/>
    </row>
    <row r="1948" spans="2:13" ht="15.75">
      <c r="B1948" s="452" t="s">
        <v>16</v>
      </c>
      <c r="C1948" s="456" t="s">
        <v>18</v>
      </c>
      <c r="D1948" s="457"/>
      <c r="E1948" s="457"/>
      <c r="F1948" s="457"/>
      <c r="G1948" s="457"/>
      <c r="H1948" s="457"/>
      <c r="I1948" s="457"/>
      <c r="J1948" s="457"/>
      <c r="K1948" s="457"/>
      <c r="L1948" s="457"/>
      <c r="M1948" s="458"/>
    </row>
    <row r="1949" spans="2:13" ht="15.75">
      <c r="B1949" s="452" t="s">
        <v>17</v>
      </c>
      <c r="C1949" s="459" t="s">
        <v>18</v>
      </c>
      <c r="D1949" s="460"/>
      <c r="E1949" s="460"/>
      <c r="F1949" s="460"/>
      <c r="G1949" s="460"/>
      <c r="H1949" s="460"/>
      <c r="I1949" s="460"/>
      <c r="J1949" s="460"/>
      <c r="K1949" s="460"/>
      <c r="L1949" s="460"/>
      <c r="M1949" s="461"/>
    </row>
    <row r="1950" spans="2:13" ht="15.75">
      <c r="B1950" s="462"/>
      <c r="C1950" s="462"/>
      <c r="D1950" s="462"/>
      <c r="E1950" s="462"/>
      <c r="F1950" s="448"/>
      <c r="G1950" s="448"/>
      <c r="H1950" s="448"/>
      <c r="I1950" s="448"/>
      <c r="J1950" s="448"/>
      <c r="K1950" s="448"/>
      <c r="L1950" s="448"/>
      <c r="M1950" s="448"/>
    </row>
    <row r="1951" spans="2:13" ht="15.75">
      <c r="B1951" s="447" t="s">
        <v>162</v>
      </c>
      <c r="C1951" s="447"/>
      <c r="D1951" s="447"/>
      <c r="E1951" s="447"/>
      <c r="F1951" s="448"/>
      <c r="G1951" s="448"/>
      <c r="H1951" s="448"/>
      <c r="I1951" s="448"/>
      <c r="J1951" s="448"/>
      <c r="K1951" s="448"/>
      <c r="L1951" s="448"/>
      <c r="M1951" s="448"/>
    </row>
    <row r="1952" spans="2:13" ht="15.75">
      <c r="B1952" s="449" t="s">
        <v>39</v>
      </c>
      <c r="C1952" s="449"/>
      <c r="D1952" s="449"/>
      <c r="E1952" s="449"/>
      <c r="F1952" s="448"/>
      <c r="G1952" s="448"/>
      <c r="H1952" s="448"/>
      <c r="I1952" s="448"/>
      <c r="J1952" s="448"/>
      <c r="K1952" s="448"/>
      <c r="L1952" s="448"/>
      <c r="M1952" s="448"/>
    </row>
    <row r="1953" spans="2:13" ht="15.75">
      <c r="B1953" s="450" t="s">
        <v>2</v>
      </c>
      <c r="C1953" s="451" t="s">
        <v>3</v>
      </c>
      <c r="D1953" s="451" t="s">
        <v>4</v>
      </c>
      <c r="E1953" s="451" t="s">
        <v>5</v>
      </c>
      <c r="F1953" s="451" t="s">
        <v>6</v>
      </c>
      <c r="G1953" s="451" t="s">
        <v>7</v>
      </c>
      <c r="H1953" s="451" t="s">
        <v>8</v>
      </c>
      <c r="I1953" s="451" t="s">
        <v>9</v>
      </c>
      <c r="J1953" s="451" t="s">
        <v>10</v>
      </c>
      <c r="K1953" s="451" t="s">
        <v>11</v>
      </c>
      <c r="L1953" s="451" t="s">
        <v>12</v>
      </c>
      <c r="M1953" s="450" t="s">
        <v>13</v>
      </c>
    </row>
    <row r="1954" spans="2:13" ht="15.75">
      <c r="B1954" s="452" t="s">
        <v>14</v>
      </c>
      <c r="C1954" s="463">
        <f>1150*2</f>
        <v>2300</v>
      </c>
      <c r="D1954" s="464">
        <f>1035*2</f>
        <v>2070</v>
      </c>
      <c r="E1954" s="464">
        <f>932*2</f>
        <v>1864</v>
      </c>
      <c r="F1954" s="464">
        <f>834*2</f>
        <v>1668</v>
      </c>
      <c r="G1954" s="464">
        <f>753*2</f>
        <v>1506</v>
      </c>
      <c r="H1954" s="464">
        <f>564*2</f>
        <v>1128</v>
      </c>
      <c r="I1954" s="464">
        <f>420*2</f>
        <v>840</v>
      </c>
      <c r="J1954" s="464">
        <f>316*2</f>
        <v>632</v>
      </c>
      <c r="K1954" s="464">
        <f>236*2</f>
        <v>472</v>
      </c>
      <c r="L1954" s="464">
        <f>178*2</f>
        <v>356</v>
      </c>
      <c r="M1954" s="465">
        <f>46*2</f>
        <v>92</v>
      </c>
    </row>
    <row r="1955" spans="2:13" ht="15.75">
      <c r="B1955" s="452" t="s">
        <v>15</v>
      </c>
      <c r="C1955" s="463">
        <f>673*2</f>
        <v>1346</v>
      </c>
      <c r="D1955" s="464">
        <f>605*2</f>
        <v>1210</v>
      </c>
      <c r="E1955" s="464">
        <f>545*2</f>
        <v>1090</v>
      </c>
      <c r="F1955" s="464">
        <f>488*2</f>
        <v>976</v>
      </c>
      <c r="G1955" s="464">
        <f>441*2</f>
        <v>882</v>
      </c>
      <c r="H1955" s="464">
        <f>330*2</f>
        <v>660</v>
      </c>
      <c r="I1955" s="464">
        <f>246*2</f>
        <v>492</v>
      </c>
      <c r="J1955" s="464">
        <f>185*2</f>
        <v>370</v>
      </c>
      <c r="K1955" s="464">
        <f>138*2</f>
        <v>276</v>
      </c>
      <c r="L1955" s="464">
        <f>104*2</f>
        <v>208</v>
      </c>
      <c r="M1955" s="465">
        <f>27*2</f>
        <v>54</v>
      </c>
    </row>
    <row r="1956" spans="2:13" ht="15.75">
      <c r="B1956" s="452" t="s">
        <v>16</v>
      </c>
      <c r="C1956" s="456" t="s">
        <v>18</v>
      </c>
      <c r="D1956" s="457"/>
      <c r="E1956" s="457"/>
      <c r="F1956" s="457"/>
      <c r="G1956" s="457"/>
      <c r="H1956" s="457"/>
      <c r="I1956" s="457"/>
      <c r="J1956" s="457"/>
      <c r="K1956" s="457"/>
      <c r="L1956" s="457"/>
      <c r="M1956" s="458"/>
    </row>
    <row r="1957" spans="2:13" ht="15.75">
      <c r="B1957" s="452" t="s">
        <v>17</v>
      </c>
      <c r="C1957" s="459" t="s">
        <v>18</v>
      </c>
      <c r="D1957" s="460"/>
      <c r="E1957" s="460"/>
      <c r="F1957" s="460"/>
      <c r="G1957" s="460"/>
      <c r="H1957" s="460"/>
      <c r="I1957" s="460"/>
      <c r="J1957" s="460"/>
      <c r="K1957" s="460"/>
      <c r="L1957" s="460"/>
      <c r="M1957" s="461"/>
    </row>
    <row r="1958" spans="2:13" ht="15.75">
      <c r="B1958" s="462"/>
      <c r="C1958" s="462"/>
      <c r="D1958" s="462"/>
      <c r="E1958" s="462"/>
      <c r="F1958" s="448"/>
      <c r="G1958" s="448"/>
      <c r="H1958" s="448"/>
      <c r="I1958" s="448"/>
      <c r="J1958" s="448"/>
      <c r="K1958" s="448"/>
      <c r="L1958" s="448"/>
      <c r="M1958" s="448"/>
    </row>
    <row r="1959" spans="2:13" ht="15.75">
      <c r="B1959" s="449" t="s">
        <v>19</v>
      </c>
      <c r="C1959" s="449"/>
      <c r="D1959" s="449"/>
      <c r="E1959" s="449"/>
      <c r="F1959" s="448"/>
      <c r="G1959" s="448"/>
      <c r="H1959" s="448"/>
      <c r="I1959" s="448"/>
      <c r="J1959" s="448"/>
      <c r="K1959" s="448"/>
      <c r="L1959" s="448"/>
      <c r="M1959" s="448"/>
    </row>
    <row r="1960" spans="2:13" ht="15.75">
      <c r="B1960" s="450" t="s">
        <v>2</v>
      </c>
      <c r="C1960" s="451" t="s">
        <v>3</v>
      </c>
      <c r="D1960" s="451" t="s">
        <v>4</v>
      </c>
      <c r="E1960" s="451" t="s">
        <v>5</v>
      </c>
      <c r="F1960" s="451" t="s">
        <v>6</v>
      </c>
      <c r="G1960" s="451" t="s">
        <v>7</v>
      </c>
      <c r="H1960" s="451" t="s">
        <v>8</v>
      </c>
      <c r="I1960" s="451" t="s">
        <v>9</v>
      </c>
      <c r="J1960" s="451" t="s">
        <v>10</v>
      </c>
      <c r="K1960" s="451" t="s">
        <v>11</v>
      </c>
      <c r="L1960" s="451" t="s">
        <v>12</v>
      </c>
      <c r="M1960" s="450" t="s">
        <v>13</v>
      </c>
    </row>
    <row r="1961" spans="2:13" ht="15.75">
      <c r="B1961" s="452" t="s">
        <v>14</v>
      </c>
      <c r="C1961" s="463">
        <f>2070*2</f>
        <v>4140</v>
      </c>
      <c r="D1961" s="464">
        <f>1863*2</f>
        <v>3726</v>
      </c>
      <c r="E1961" s="464">
        <f>1677*2</f>
        <v>3354</v>
      </c>
      <c r="F1961" s="464">
        <f>1501*2</f>
        <v>3002</v>
      </c>
      <c r="G1961" s="464">
        <f>1356*2</f>
        <v>2712</v>
      </c>
      <c r="H1961" s="464">
        <f>1014*2</f>
        <v>2028</v>
      </c>
      <c r="I1961" s="464">
        <f>756*2</f>
        <v>1512</v>
      </c>
      <c r="J1961" s="464">
        <f>569*2</f>
        <v>1138</v>
      </c>
      <c r="K1961" s="464">
        <f>424*2</f>
        <v>848</v>
      </c>
      <c r="L1961" s="464">
        <f>321*2</f>
        <v>642</v>
      </c>
      <c r="M1961" s="465">
        <f>83*2</f>
        <v>166</v>
      </c>
    </row>
    <row r="1962" spans="2:13" ht="15.75">
      <c r="B1962" s="452" t="s">
        <v>15</v>
      </c>
      <c r="C1962" s="463">
        <f>1211*2</f>
        <v>2422</v>
      </c>
      <c r="D1962" s="464">
        <f>1090*2</f>
        <v>2180</v>
      </c>
      <c r="E1962" s="464">
        <f>981*2</f>
        <v>1962</v>
      </c>
      <c r="F1962" s="464">
        <f>878*2</f>
        <v>1756</v>
      </c>
      <c r="G1962" s="464">
        <f>793*2</f>
        <v>1586</v>
      </c>
      <c r="H1962" s="464">
        <f>593*2</f>
        <v>1186</v>
      </c>
      <c r="I1962" s="464">
        <f>442*2</f>
        <v>884</v>
      </c>
      <c r="J1962" s="464">
        <f>333*2</f>
        <v>666</v>
      </c>
      <c r="K1962" s="464">
        <f>248*2</f>
        <v>496</v>
      </c>
      <c r="L1962" s="464">
        <f>188*2</f>
        <v>376</v>
      </c>
      <c r="M1962" s="465">
        <f>48*2</f>
        <v>96</v>
      </c>
    </row>
    <row r="1963" spans="2:13" ht="15.75">
      <c r="B1963" s="452" t="s">
        <v>16</v>
      </c>
      <c r="C1963" s="456" t="s">
        <v>18</v>
      </c>
      <c r="D1963" s="457"/>
      <c r="E1963" s="457"/>
      <c r="F1963" s="457"/>
      <c r="G1963" s="457"/>
      <c r="H1963" s="457"/>
      <c r="I1963" s="457"/>
      <c r="J1963" s="457"/>
      <c r="K1963" s="457"/>
      <c r="L1963" s="457"/>
      <c r="M1963" s="458"/>
    </row>
    <row r="1964" spans="2:13" ht="15.75">
      <c r="B1964" s="452" t="s">
        <v>17</v>
      </c>
      <c r="C1964" s="459" t="s">
        <v>18</v>
      </c>
      <c r="D1964" s="460"/>
      <c r="E1964" s="460"/>
      <c r="F1964" s="460"/>
      <c r="G1964" s="460"/>
      <c r="H1964" s="460"/>
      <c r="I1964" s="460"/>
      <c r="J1964" s="460"/>
      <c r="K1964" s="460"/>
      <c r="L1964" s="460"/>
      <c r="M1964" s="461"/>
    </row>
    <row r="1965" spans="2:13" ht="15.75">
      <c r="B1965" s="462"/>
      <c r="C1965" s="462"/>
      <c r="D1965" s="462"/>
      <c r="E1965" s="462"/>
      <c r="F1965" s="448"/>
      <c r="G1965" s="448"/>
      <c r="H1965" s="448"/>
      <c r="I1965" s="448"/>
      <c r="J1965" s="448"/>
      <c r="K1965" s="448"/>
      <c r="L1965" s="448"/>
      <c r="M1965" s="448"/>
    </row>
    <row r="1966" spans="2:13" ht="15.75">
      <c r="B1966" s="447" t="s">
        <v>163</v>
      </c>
      <c r="C1966" s="447"/>
      <c r="D1966" s="447"/>
      <c r="E1966" s="447"/>
      <c r="F1966" s="448"/>
      <c r="G1966" s="448"/>
      <c r="H1966" s="448"/>
      <c r="I1966" s="448"/>
      <c r="J1966" s="448"/>
      <c r="K1966" s="448"/>
      <c r="L1966" s="448"/>
      <c r="M1966" s="448"/>
    </row>
    <row r="1967" spans="2:13" ht="15.75">
      <c r="B1967" s="449" t="s">
        <v>39</v>
      </c>
      <c r="C1967" s="449"/>
      <c r="D1967" s="449"/>
      <c r="E1967" s="449"/>
      <c r="F1967" s="448"/>
      <c r="G1967" s="448"/>
      <c r="H1967" s="448"/>
      <c r="I1967" s="448"/>
      <c r="J1967" s="448"/>
      <c r="K1967" s="448"/>
      <c r="L1967" s="448"/>
      <c r="M1967" s="448"/>
    </row>
    <row r="1968" spans="2:13" ht="15.75">
      <c r="B1968" s="450" t="s">
        <v>2</v>
      </c>
      <c r="C1968" s="451" t="s">
        <v>3</v>
      </c>
      <c r="D1968" s="451" t="s">
        <v>4</v>
      </c>
      <c r="E1968" s="451" t="s">
        <v>5</v>
      </c>
      <c r="F1968" s="451" t="s">
        <v>6</v>
      </c>
      <c r="G1968" s="451" t="s">
        <v>7</v>
      </c>
      <c r="H1968" s="451" t="s">
        <v>8</v>
      </c>
      <c r="I1968" s="451" t="s">
        <v>9</v>
      </c>
      <c r="J1968" s="451" t="s">
        <v>10</v>
      </c>
      <c r="K1968" s="451" t="s">
        <v>11</v>
      </c>
      <c r="L1968" s="451" t="s">
        <v>12</v>
      </c>
      <c r="M1968" s="450" t="s">
        <v>13</v>
      </c>
    </row>
    <row r="1969" spans="2:13" ht="15.75">
      <c r="B1969" s="452" t="s">
        <v>14</v>
      </c>
      <c r="C1969" s="453">
        <f>1200*2</f>
        <v>2400</v>
      </c>
      <c r="D1969" s="454">
        <f>900*2</f>
        <v>1800</v>
      </c>
      <c r="E1969" s="454">
        <f>672*2</f>
        <v>1344</v>
      </c>
      <c r="F1969" s="454">
        <f>504*2</f>
        <v>1008</v>
      </c>
      <c r="G1969" s="454">
        <f>378*2</f>
        <v>756</v>
      </c>
      <c r="H1969" s="454">
        <f>282*2</f>
        <v>564</v>
      </c>
      <c r="I1969" s="454">
        <f>210*2</f>
        <v>420</v>
      </c>
      <c r="J1969" s="454">
        <f>156*2</f>
        <v>312</v>
      </c>
      <c r="K1969" s="454">
        <f>114*2</f>
        <v>228</v>
      </c>
      <c r="L1969" s="454">
        <f>84*2</f>
        <v>168</v>
      </c>
      <c r="M1969" s="454">
        <f>72*2</f>
        <v>144</v>
      </c>
    </row>
    <row r="1970" spans="2:13" ht="15.75">
      <c r="B1970" s="452" t="s">
        <v>15</v>
      </c>
      <c r="C1970" s="453">
        <f>900*2</f>
        <v>1800</v>
      </c>
      <c r="D1970" s="454">
        <f>675*2</f>
        <v>1350</v>
      </c>
      <c r="E1970" s="454">
        <f>504*2</f>
        <v>1008</v>
      </c>
      <c r="F1970" s="454">
        <f>378*2</f>
        <v>756</v>
      </c>
      <c r="G1970" s="454">
        <f>284*2</f>
        <v>568</v>
      </c>
      <c r="H1970" s="455">
        <f>212*2</f>
        <v>424</v>
      </c>
      <c r="I1970" s="454">
        <f>158*2</f>
        <v>316</v>
      </c>
      <c r="J1970" s="454">
        <f>117*2</f>
        <v>234</v>
      </c>
      <c r="K1970" s="454">
        <f>86*2</f>
        <v>172</v>
      </c>
      <c r="L1970" s="454">
        <f>63*2</f>
        <v>126</v>
      </c>
      <c r="M1970" s="454">
        <f>54*2</f>
        <v>108</v>
      </c>
    </row>
    <row r="1971" spans="2:13" ht="15.75">
      <c r="B1971" s="452" t="s">
        <v>16</v>
      </c>
      <c r="C1971" s="456" t="s">
        <v>18</v>
      </c>
      <c r="D1971" s="457"/>
      <c r="E1971" s="457"/>
      <c r="F1971" s="457"/>
      <c r="G1971" s="457"/>
      <c r="H1971" s="457"/>
      <c r="I1971" s="457"/>
      <c r="J1971" s="457"/>
      <c r="K1971" s="457"/>
      <c r="L1971" s="457"/>
      <c r="M1971" s="458"/>
    </row>
    <row r="1972" spans="2:13" ht="15.75">
      <c r="B1972" s="452" t="s">
        <v>17</v>
      </c>
      <c r="C1972" s="459" t="s">
        <v>18</v>
      </c>
      <c r="D1972" s="460"/>
      <c r="E1972" s="460"/>
      <c r="F1972" s="460"/>
      <c r="G1972" s="460"/>
      <c r="H1972" s="460"/>
      <c r="I1972" s="460"/>
      <c r="J1972" s="460"/>
      <c r="K1972" s="460"/>
      <c r="L1972" s="460"/>
      <c r="M1972" s="461"/>
    </row>
    <row r="1973" spans="2:13" ht="15.75">
      <c r="B1973" s="462"/>
      <c r="C1973" s="462"/>
      <c r="D1973" s="462"/>
      <c r="E1973" s="462"/>
      <c r="F1973" s="448"/>
      <c r="G1973" s="448"/>
      <c r="H1973" s="448"/>
      <c r="I1973" s="448"/>
      <c r="J1973" s="448"/>
      <c r="K1973" s="448"/>
      <c r="L1973" s="448"/>
      <c r="M1973" s="448"/>
    </row>
    <row r="1974" spans="2:13" ht="15.75">
      <c r="B1974" s="449" t="s">
        <v>19</v>
      </c>
      <c r="C1974" s="449"/>
      <c r="D1974" s="449"/>
      <c r="E1974" s="449"/>
      <c r="F1974" s="448"/>
      <c r="G1974" s="448"/>
      <c r="H1974" s="448"/>
      <c r="I1974" s="448"/>
      <c r="J1974" s="448"/>
      <c r="K1974" s="448"/>
      <c r="L1974" s="448"/>
      <c r="M1974" s="448"/>
    </row>
    <row r="1975" spans="2:13" ht="15.75">
      <c r="B1975" s="450" t="s">
        <v>2</v>
      </c>
      <c r="C1975" s="451" t="s">
        <v>3</v>
      </c>
      <c r="D1975" s="451" t="s">
        <v>4</v>
      </c>
      <c r="E1975" s="451" t="s">
        <v>5</v>
      </c>
      <c r="F1975" s="451" t="s">
        <v>6</v>
      </c>
      <c r="G1975" s="451" t="s">
        <v>7</v>
      </c>
      <c r="H1975" s="451" t="s">
        <v>8</v>
      </c>
      <c r="I1975" s="451" t="s">
        <v>9</v>
      </c>
      <c r="J1975" s="451" t="s">
        <v>10</v>
      </c>
      <c r="K1975" s="451" t="s">
        <v>11</v>
      </c>
      <c r="L1975" s="451" t="s">
        <v>12</v>
      </c>
      <c r="M1975" s="450" t="s">
        <v>13</v>
      </c>
    </row>
    <row r="1976" spans="2:13" ht="15.75">
      <c r="B1976" s="452" t="s">
        <v>14</v>
      </c>
      <c r="C1976" s="463">
        <f>2250*2</f>
        <v>4500</v>
      </c>
      <c r="D1976" s="464">
        <f>1688*2</f>
        <v>3376</v>
      </c>
      <c r="E1976" s="464">
        <f>1260*2</f>
        <v>2520</v>
      </c>
      <c r="F1976" s="464">
        <f>945*2</f>
        <v>1890</v>
      </c>
      <c r="G1976" s="464">
        <f>709*2</f>
        <v>1418</v>
      </c>
      <c r="H1976" s="464">
        <f>529*2</f>
        <v>1058</v>
      </c>
      <c r="I1976" s="464">
        <f>394*2</f>
        <v>788</v>
      </c>
      <c r="J1976" s="464">
        <f>293*2</f>
        <v>586</v>
      </c>
      <c r="K1976" s="464">
        <f>214*2</f>
        <v>428</v>
      </c>
      <c r="L1976" s="464">
        <f>158*2</f>
        <v>316</v>
      </c>
      <c r="M1976" s="465">
        <f>135*2</f>
        <v>270</v>
      </c>
    </row>
    <row r="1977" spans="2:13" ht="15.75">
      <c r="B1977" s="452" t="s">
        <v>15</v>
      </c>
      <c r="C1977" s="463">
        <f>1688*2</f>
        <v>3376</v>
      </c>
      <c r="D1977" s="464">
        <f>1266*2</f>
        <v>2532</v>
      </c>
      <c r="E1977" s="464">
        <f>709*2</f>
        <v>1418</v>
      </c>
      <c r="F1977" s="464">
        <f>532*2</f>
        <v>1064</v>
      </c>
      <c r="G1977" s="464">
        <f>532*2</f>
        <v>1064</v>
      </c>
      <c r="H1977" s="464">
        <f>397*2</f>
        <v>794</v>
      </c>
      <c r="I1977" s="464">
        <f>295*2</f>
        <v>590</v>
      </c>
      <c r="J1977" s="464">
        <f>219*2</f>
        <v>438</v>
      </c>
      <c r="K1977" s="464">
        <f>160*2</f>
        <v>320</v>
      </c>
      <c r="L1977" s="464">
        <f>118*2</f>
        <v>236</v>
      </c>
      <c r="M1977" s="465">
        <f>101*2</f>
        <v>202</v>
      </c>
    </row>
    <row r="1978" spans="2:13" ht="15.75">
      <c r="B1978" s="452" t="s">
        <v>16</v>
      </c>
      <c r="C1978" s="456" t="s">
        <v>18</v>
      </c>
      <c r="D1978" s="457"/>
      <c r="E1978" s="457"/>
      <c r="F1978" s="457"/>
      <c r="G1978" s="457"/>
      <c r="H1978" s="457"/>
      <c r="I1978" s="457"/>
      <c r="J1978" s="457"/>
      <c r="K1978" s="457"/>
      <c r="L1978" s="457"/>
      <c r="M1978" s="458"/>
    </row>
    <row r="1979" spans="2:13" ht="15.75">
      <c r="B1979" s="452" t="s">
        <v>17</v>
      </c>
      <c r="C1979" s="459" t="s">
        <v>18</v>
      </c>
      <c r="D1979" s="460"/>
      <c r="E1979" s="460"/>
      <c r="F1979" s="460"/>
      <c r="G1979" s="460"/>
      <c r="H1979" s="460"/>
      <c r="I1979" s="460"/>
      <c r="J1979" s="460"/>
      <c r="K1979" s="460"/>
      <c r="L1979" s="460"/>
      <c r="M1979" s="461"/>
    </row>
    <row r="1980" spans="2:13" ht="15.75">
      <c r="B1980" s="462"/>
      <c r="C1980" s="462"/>
      <c r="D1980" s="462"/>
      <c r="E1980" s="462"/>
      <c r="F1980" s="448"/>
      <c r="G1980" s="448"/>
      <c r="H1980" s="448"/>
      <c r="I1980" s="448"/>
      <c r="J1980" s="448"/>
      <c r="K1980" s="448"/>
      <c r="L1980" s="448"/>
      <c r="M1980" s="448"/>
    </row>
    <row r="1981" spans="2:13" ht="15.75">
      <c r="B1981" s="447" t="s">
        <v>164</v>
      </c>
      <c r="C1981" s="447"/>
      <c r="D1981" s="447"/>
      <c r="E1981" s="447"/>
      <c r="F1981" s="448"/>
      <c r="G1981" s="448"/>
      <c r="H1981" s="448"/>
      <c r="I1981" s="448"/>
      <c r="J1981" s="448"/>
      <c r="K1981" s="448"/>
      <c r="L1981" s="448"/>
      <c r="M1981" s="448"/>
    </row>
    <row r="1982" spans="2:13" ht="15.75">
      <c r="B1982" s="449" t="s">
        <v>39</v>
      </c>
      <c r="C1982" s="449"/>
      <c r="D1982" s="449"/>
      <c r="E1982" s="449"/>
      <c r="F1982" s="448"/>
      <c r="G1982" s="448"/>
      <c r="H1982" s="448"/>
      <c r="I1982" s="448"/>
      <c r="J1982" s="448"/>
      <c r="K1982" s="448"/>
      <c r="L1982" s="448"/>
      <c r="M1982" s="448"/>
    </row>
    <row r="1983" spans="2:13" ht="15.75">
      <c r="B1983" s="450" t="s">
        <v>2</v>
      </c>
      <c r="C1983" s="451" t="s">
        <v>3</v>
      </c>
      <c r="D1983" s="451" t="s">
        <v>4</v>
      </c>
      <c r="E1983" s="451" t="s">
        <v>5</v>
      </c>
      <c r="F1983" s="451" t="s">
        <v>6</v>
      </c>
      <c r="G1983" s="451" t="s">
        <v>7</v>
      </c>
      <c r="H1983" s="451" t="s">
        <v>8</v>
      </c>
      <c r="I1983" s="451" t="s">
        <v>9</v>
      </c>
      <c r="J1983" s="451" t="s">
        <v>10</v>
      </c>
      <c r="K1983" s="451" t="s">
        <v>11</v>
      </c>
      <c r="L1983" s="451" t="s">
        <v>12</v>
      </c>
      <c r="M1983" s="450" t="s">
        <v>13</v>
      </c>
    </row>
    <row r="1984" spans="2:13" ht="15.75">
      <c r="B1984" s="452" t="s">
        <v>14</v>
      </c>
      <c r="C1984" s="463">
        <f>2*500</f>
        <v>1000</v>
      </c>
      <c r="D1984" s="464">
        <f>2*374</f>
        <v>748</v>
      </c>
      <c r="E1984" s="464">
        <f>2*280</f>
        <v>560</v>
      </c>
      <c r="F1984" s="464">
        <f>2*209</f>
        <v>418</v>
      </c>
      <c r="G1984" s="464">
        <f>2*159</f>
        <v>318</v>
      </c>
      <c r="H1984" s="464">
        <f>120*2</f>
        <v>240</v>
      </c>
      <c r="I1984" s="464">
        <f>89*2</f>
        <v>178</v>
      </c>
      <c r="J1984" s="464">
        <f>71*2</f>
        <v>142</v>
      </c>
      <c r="K1984" s="464">
        <f>50*2</f>
        <v>100</v>
      </c>
      <c r="L1984" s="464">
        <f>34*2</f>
        <v>68</v>
      </c>
      <c r="M1984" s="465">
        <f>26*2</f>
        <v>52</v>
      </c>
    </row>
    <row r="1985" spans="2:13" ht="15.75">
      <c r="B1985" s="452" t="s">
        <v>15</v>
      </c>
      <c r="C1985" s="456" t="s">
        <v>18</v>
      </c>
      <c r="D1985" s="457"/>
      <c r="E1985" s="457"/>
      <c r="F1985" s="457"/>
      <c r="G1985" s="457"/>
      <c r="H1985" s="457"/>
      <c r="I1985" s="457"/>
      <c r="J1985" s="457"/>
      <c r="K1985" s="457"/>
      <c r="L1985" s="457"/>
      <c r="M1985" s="458"/>
    </row>
    <row r="1986" spans="2:13" ht="15.75">
      <c r="B1986" s="452" t="s">
        <v>16</v>
      </c>
      <c r="C1986" s="459" t="s">
        <v>18</v>
      </c>
      <c r="D1986" s="460"/>
      <c r="E1986" s="460"/>
      <c r="F1986" s="460"/>
      <c r="G1986" s="460"/>
      <c r="H1986" s="460"/>
      <c r="I1986" s="460"/>
      <c r="J1986" s="460"/>
      <c r="K1986" s="460"/>
      <c r="L1986" s="460"/>
      <c r="M1986" s="461"/>
    </row>
    <row r="1987" spans="2:13" ht="15.75">
      <c r="B1987" s="452" t="s">
        <v>17</v>
      </c>
      <c r="C1987" s="459" t="s">
        <v>18</v>
      </c>
      <c r="D1987" s="460"/>
      <c r="E1987" s="460"/>
      <c r="F1987" s="460"/>
      <c r="G1987" s="460"/>
      <c r="H1987" s="460"/>
      <c r="I1987" s="460"/>
      <c r="J1987" s="460"/>
      <c r="K1987" s="460"/>
      <c r="L1987" s="460"/>
      <c r="M1987" s="461"/>
    </row>
    <row r="1988" spans="2:13" ht="15.75">
      <c r="B1988" s="462"/>
      <c r="C1988" s="462"/>
      <c r="D1988" s="462"/>
      <c r="E1988" s="462"/>
      <c r="F1988" s="448"/>
      <c r="G1988" s="448"/>
      <c r="H1988" s="448"/>
      <c r="I1988" s="448"/>
      <c r="J1988" s="448"/>
      <c r="K1988" s="448"/>
      <c r="L1988" s="448"/>
      <c r="M1988" s="448"/>
    </row>
    <row r="1989" spans="2:13" ht="15.75">
      <c r="B1989" s="449" t="s">
        <v>19</v>
      </c>
      <c r="C1989" s="449"/>
      <c r="D1989" s="449"/>
      <c r="E1989" s="449"/>
      <c r="F1989" s="448"/>
      <c r="G1989" s="448"/>
      <c r="H1989" s="448"/>
      <c r="I1989" s="448"/>
      <c r="J1989" s="448"/>
      <c r="K1989" s="448"/>
      <c r="L1989" s="448"/>
      <c r="M1989" s="448"/>
    </row>
    <row r="1990" spans="2:13" ht="15.75">
      <c r="B1990" s="450" t="s">
        <v>2</v>
      </c>
      <c r="C1990" s="451" t="s">
        <v>3</v>
      </c>
      <c r="D1990" s="451" t="s">
        <v>4</v>
      </c>
      <c r="E1990" s="451" t="s">
        <v>5</v>
      </c>
      <c r="F1990" s="451" t="s">
        <v>6</v>
      </c>
      <c r="G1990" s="451" t="s">
        <v>7</v>
      </c>
      <c r="H1990" s="451" t="s">
        <v>8</v>
      </c>
      <c r="I1990" s="451" t="s">
        <v>9</v>
      </c>
      <c r="J1990" s="451" t="s">
        <v>10</v>
      </c>
      <c r="K1990" s="451" t="s">
        <v>11</v>
      </c>
      <c r="L1990" s="451" t="s">
        <v>12</v>
      </c>
      <c r="M1990" s="450" t="s">
        <v>13</v>
      </c>
    </row>
    <row r="1991" spans="2:13" ht="15.75">
      <c r="B1991" s="452" t="s">
        <v>14</v>
      </c>
      <c r="C1991" s="463">
        <f>990*2</f>
        <v>1980</v>
      </c>
      <c r="D1991" s="464">
        <f>743*2</f>
        <v>1486</v>
      </c>
      <c r="E1991" s="464">
        <f>555*2</f>
        <v>1110</v>
      </c>
      <c r="F1991" s="464">
        <f>417*2</f>
        <v>834</v>
      </c>
      <c r="G1991" s="464">
        <f>315*2</f>
        <v>630</v>
      </c>
      <c r="H1991" s="464">
        <f>239*2</f>
        <v>478</v>
      </c>
      <c r="I1991" s="464">
        <f>177*2</f>
        <v>354</v>
      </c>
      <c r="J1991" s="464">
        <f>137*2</f>
        <v>274</v>
      </c>
      <c r="K1991" s="464">
        <f>97*2</f>
        <v>194</v>
      </c>
      <c r="L1991" s="464">
        <f>68*2</f>
        <v>136</v>
      </c>
      <c r="M1991" s="465">
        <f>50*2</f>
        <v>100</v>
      </c>
    </row>
    <row r="1992" spans="2:13" ht="15.75">
      <c r="B1992" s="452" t="s">
        <v>15</v>
      </c>
      <c r="C1992" s="456" t="s">
        <v>18</v>
      </c>
      <c r="D1992" s="457"/>
      <c r="E1992" s="457"/>
      <c r="F1992" s="457"/>
      <c r="G1992" s="457"/>
      <c r="H1992" s="457"/>
      <c r="I1992" s="457"/>
      <c r="J1992" s="457"/>
      <c r="K1992" s="457"/>
      <c r="L1992" s="457"/>
      <c r="M1992" s="458"/>
    </row>
    <row r="1993" spans="2:13" ht="15.75">
      <c r="B1993" s="452" t="s">
        <v>16</v>
      </c>
      <c r="C1993" s="459" t="s">
        <v>18</v>
      </c>
      <c r="D1993" s="460"/>
      <c r="E1993" s="460"/>
      <c r="F1993" s="460"/>
      <c r="G1993" s="460"/>
      <c r="H1993" s="460"/>
      <c r="I1993" s="460"/>
      <c r="J1993" s="460"/>
      <c r="K1993" s="460"/>
      <c r="L1993" s="460"/>
      <c r="M1993" s="461"/>
    </row>
    <row r="1994" spans="2:13" ht="15.75">
      <c r="B1994" s="452" t="s">
        <v>17</v>
      </c>
      <c r="C1994" s="459" t="s">
        <v>18</v>
      </c>
      <c r="D1994" s="460"/>
      <c r="E1994" s="460"/>
      <c r="F1994" s="460"/>
      <c r="G1994" s="460"/>
      <c r="H1994" s="460"/>
      <c r="I1994" s="460"/>
      <c r="J1994" s="460"/>
      <c r="K1994" s="460"/>
      <c r="L1994" s="460"/>
      <c r="M1994" s="461"/>
    </row>
  </sheetData>
  <mergeCells count="249">
    <mergeCell ref="C7:M7"/>
    <mergeCell ref="C14:M14"/>
    <mergeCell ref="C37:M37"/>
    <mergeCell ref="C44:M44"/>
    <mergeCell ref="C50:M50"/>
    <mergeCell ref="C51:M51"/>
    <mergeCell ref="C52:M52"/>
    <mergeCell ref="C57:M57"/>
    <mergeCell ref="C58:M58"/>
    <mergeCell ref="C59:M59"/>
    <mergeCell ref="C65:M65"/>
    <mergeCell ref="C66:M66"/>
    <mergeCell ref="C67:M67"/>
    <mergeCell ref="C73:M73"/>
    <mergeCell ref="C74:M74"/>
    <mergeCell ref="C75:M75"/>
    <mergeCell ref="C80:M80"/>
    <mergeCell ref="C81:M81"/>
    <mergeCell ref="C82:M82"/>
    <mergeCell ref="C103:M103"/>
    <mergeCell ref="C104:M104"/>
    <mergeCell ref="C105:M105"/>
    <mergeCell ref="C110:M110"/>
    <mergeCell ref="C111:M111"/>
    <mergeCell ref="C112:M112"/>
    <mergeCell ref="C118:M118"/>
    <mergeCell ref="C119:M119"/>
    <mergeCell ref="C120:M120"/>
    <mergeCell ref="C125:M125"/>
    <mergeCell ref="C126:M126"/>
    <mergeCell ref="C127:M127"/>
    <mergeCell ref="C134:M134"/>
    <mergeCell ref="C135:M135"/>
    <mergeCell ref="C141:M141"/>
    <mergeCell ref="C142:M142"/>
    <mergeCell ref="C150:M150"/>
    <mergeCell ref="C157:M157"/>
    <mergeCell ref="C165:M165"/>
    <mergeCell ref="C172:M172"/>
    <mergeCell ref="C179:M179"/>
    <mergeCell ref="C180:M180"/>
    <mergeCell ref="C187:M187"/>
    <mergeCell ref="C188:M188"/>
    <mergeCell ref="C210:M210"/>
    <mergeCell ref="C211:M211"/>
    <mergeCell ref="C217:M217"/>
    <mergeCell ref="C218:M218"/>
    <mergeCell ref="C225:M225"/>
    <mergeCell ref="C226:M226"/>
    <mergeCell ref="C232:M232"/>
    <mergeCell ref="C233:M233"/>
    <mergeCell ref="C241:M241"/>
    <mergeCell ref="C248:M248"/>
    <mergeCell ref="C256:M256"/>
    <mergeCell ref="C263:M263"/>
    <mergeCell ref="C269:M269"/>
    <mergeCell ref="C270:M270"/>
    <mergeCell ref="C271:M271"/>
    <mergeCell ref="C276:M276"/>
    <mergeCell ref="C277:M277"/>
    <mergeCell ref="C278:M278"/>
    <mergeCell ref="C285:M285"/>
    <mergeCell ref="C286:M286"/>
    <mergeCell ref="C292:M292"/>
    <mergeCell ref="C293:M293"/>
    <mergeCell ref="C300:M300"/>
    <mergeCell ref="C301:M301"/>
    <mergeCell ref="C307:M307"/>
    <mergeCell ref="C308:M308"/>
    <mergeCell ref="C316:M316"/>
    <mergeCell ref="C323:M323"/>
    <mergeCell ref="C345:M345"/>
    <mergeCell ref="C346:M346"/>
    <mergeCell ref="C353:M353"/>
    <mergeCell ref="C354:M354"/>
    <mergeCell ref="C361:M361"/>
    <mergeCell ref="C362:M362"/>
    <mergeCell ref="C368:M368"/>
    <mergeCell ref="C369:M369"/>
    <mergeCell ref="C377:M377"/>
    <mergeCell ref="C384:M384"/>
    <mergeCell ref="C421:M421"/>
    <mergeCell ref="C422:M422"/>
    <mergeCell ref="C443:M443"/>
    <mergeCell ref="C444:M444"/>
    <mergeCell ref="C445:M445"/>
    <mergeCell ref="C450:M450"/>
    <mergeCell ref="C451:M451"/>
    <mergeCell ref="C452:M452"/>
    <mergeCell ref="C460:M460"/>
    <mergeCell ref="C467:M467"/>
    <mergeCell ref="C474:M474"/>
    <mergeCell ref="C475:M475"/>
    <mergeCell ref="C481:M481"/>
    <mergeCell ref="C482:M482"/>
    <mergeCell ref="C490:M490"/>
    <mergeCell ref="C497:M497"/>
    <mergeCell ref="C505:M505"/>
    <mergeCell ref="C512:M512"/>
    <mergeCell ref="C520:M520"/>
    <mergeCell ref="C527:M527"/>
    <mergeCell ref="C535:M535"/>
    <mergeCell ref="C542:M542"/>
    <mergeCell ref="C549:M549"/>
    <mergeCell ref="C550:M550"/>
    <mergeCell ref="C556:M556"/>
    <mergeCell ref="C557:M557"/>
    <mergeCell ref="C563:M563"/>
    <mergeCell ref="C564:M564"/>
    <mergeCell ref="C565:M565"/>
    <mergeCell ref="C570:M570"/>
    <mergeCell ref="C571:M571"/>
    <mergeCell ref="C572:M572"/>
    <mergeCell ref="C625:M625"/>
    <mergeCell ref="C632:M632"/>
    <mergeCell ref="C640:M640"/>
    <mergeCell ref="C647:M647"/>
    <mergeCell ref="C655:M655"/>
    <mergeCell ref="C663:M663"/>
    <mergeCell ref="C670:M670"/>
    <mergeCell ref="C708:M708"/>
    <mergeCell ref="C715:M715"/>
    <mergeCell ref="C722:M722"/>
    <mergeCell ref="C723:M723"/>
    <mergeCell ref="C729:M729"/>
    <mergeCell ref="C730:M730"/>
    <mergeCell ref="C738:M738"/>
    <mergeCell ref="C745:M745"/>
    <mergeCell ref="C752:M752"/>
    <mergeCell ref="C753:M753"/>
    <mergeCell ref="C759:M759"/>
    <mergeCell ref="C760:M760"/>
    <mergeCell ref="C766:M766"/>
    <mergeCell ref="C767:M767"/>
    <mergeCell ref="C768:M768"/>
    <mergeCell ref="C773:M773"/>
    <mergeCell ref="C774:M774"/>
    <mergeCell ref="C775:M775"/>
    <mergeCell ref="C781:M781"/>
    <mergeCell ref="C782:M782"/>
    <mergeCell ref="C783:M783"/>
    <mergeCell ref="C788:M788"/>
    <mergeCell ref="C789:M789"/>
    <mergeCell ref="C790:M790"/>
    <mergeCell ref="C797:M797"/>
    <mergeCell ref="C798:M798"/>
    <mergeCell ref="C804:M804"/>
    <mergeCell ref="C805:M805"/>
    <mergeCell ref="C811:M811"/>
    <mergeCell ref="C812:M812"/>
    <mergeCell ref="C813:M813"/>
    <mergeCell ref="C818:M818"/>
    <mergeCell ref="C819:M819"/>
    <mergeCell ref="C820:M820"/>
    <mergeCell ref="C826:M826"/>
    <mergeCell ref="C827:M827"/>
    <mergeCell ref="C828:M828"/>
    <mergeCell ref="C833:M833"/>
    <mergeCell ref="C834:M834"/>
    <mergeCell ref="C835:M835"/>
    <mergeCell ref="C843:M843"/>
    <mergeCell ref="C850:M850"/>
    <mergeCell ref="C856:M856"/>
    <mergeCell ref="C857:M857"/>
    <mergeCell ref="C858:M858"/>
    <mergeCell ref="C863:M863"/>
    <mergeCell ref="C864:M864"/>
    <mergeCell ref="C865:M865"/>
    <mergeCell ref="C872:M872"/>
    <mergeCell ref="C873:M873"/>
    <mergeCell ref="C879:M879"/>
    <mergeCell ref="C880:M880"/>
    <mergeCell ref="C881:M881"/>
    <mergeCell ref="C886:M886"/>
    <mergeCell ref="C887:M887"/>
    <mergeCell ref="C888:M888"/>
    <mergeCell ref="C896:M896"/>
    <mergeCell ref="C903:M903"/>
    <mergeCell ref="C911:M911"/>
    <mergeCell ref="C918:M918"/>
    <mergeCell ref="C925:M925"/>
    <mergeCell ref="C926:M926"/>
    <mergeCell ref="C933:M933"/>
    <mergeCell ref="C934:M934"/>
    <mergeCell ref="C941:M941"/>
    <mergeCell ref="C942:M942"/>
    <mergeCell ref="C948:M948"/>
    <mergeCell ref="C949:M949"/>
    <mergeCell ref="C957:M957"/>
    <mergeCell ref="C964:M964"/>
    <mergeCell ref="C972:M972"/>
    <mergeCell ref="C979:M979"/>
    <mergeCell ref="C986:M986"/>
    <mergeCell ref="C987:M987"/>
    <mergeCell ref="C993:M993"/>
    <mergeCell ref="C994:M994"/>
    <mergeCell ref="C995:M995"/>
    <mergeCell ref="C1000:M1000"/>
    <mergeCell ref="C1001:M1001"/>
    <mergeCell ref="C1002:M1002"/>
    <mergeCell ref="C1010:M1010"/>
    <mergeCell ref="C1017:M1017"/>
    <mergeCell ref="C1048:M1048"/>
    <mergeCell ref="C1055:M1055"/>
    <mergeCell ref="C1062:M1062"/>
    <mergeCell ref="C1063:M1063"/>
    <mergeCell ref="C1070:M1070"/>
    <mergeCell ref="C1071:M1071"/>
    <mergeCell ref="C1077:M1077"/>
    <mergeCell ref="C1078:M1078"/>
    <mergeCell ref="C1085:M1085"/>
    <mergeCell ref="C1086:M1086"/>
    <mergeCell ref="C1094:M1094"/>
    <mergeCell ref="C1101:M1101"/>
    <mergeCell ref="C1122:M1122"/>
    <mergeCell ref="C1123:M1123"/>
    <mergeCell ref="C1124:M1124"/>
    <mergeCell ref="C1129:M1129"/>
    <mergeCell ref="C1130:M1130"/>
    <mergeCell ref="C1131:M1131"/>
    <mergeCell ref="C1137:M1137"/>
    <mergeCell ref="C1138:M1138"/>
    <mergeCell ref="C1139:M1139"/>
    <mergeCell ref="C1144:M1144"/>
    <mergeCell ref="C1145:M1145"/>
    <mergeCell ref="C1146:M1146"/>
    <mergeCell ref="C1153:M1153"/>
    <mergeCell ref="C1154:M1154"/>
    <mergeCell ref="C1160:M1160"/>
    <mergeCell ref="C1161:M1161"/>
    <mergeCell ref="C1183:M1183"/>
    <mergeCell ref="C1184:M1184"/>
    <mergeCell ref="C1190:M1190"/>
    <mergeCell ref="C1191:M1191"/>
    <mergeCell ref="C1274:M1274"/>
    <mergeCell ref="C1279:M1279"/>
    <mergeCell ref="C1280:M1280"/>
    <mergeCell ref="C1281:M1281"/>
    <mergeCell ref="C1289:M1289"/>
    <mergeCell ref="C1296:M1296"/>
    <mergeCell ref="C1199:M1199"/>
    <mergeCell ref="C1206:M1206"/>
    <mergeCell ref="C1221:M1221"/>
    <mergeCell ref="C1228:M1228"/>
    <mergeCell ref="C1229:M1229"/>
    <mergeCell ref="C1235:M1235"/>
    <mergeCell ref="C1236:M1236"/>
    <mergeCell ref="C1272:M1272"/>
    <mergeCell ref="C1273:M127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I21"/>
  <sheetViews>
    <sheetView workbookViewId="0">
      <selection activeCell="B4" sqref="B4"/>
    </sheetView>
  </sheetViews>
  <sheetFormatPr defaultColWidth="9" defaultRowHeight="15"/>
  <cols>
    <col min="1" max="1" width="26" customWidth="1"/>
    <col min="2" max="2" width="15.7109375" customWidth="1"/>
    <col min="3" max="3" width="14.28515625" customWidth="1"/>
    <col min="4" max="4" width="15.5703125" customWidth="1"/>
    <col min="5" max="7" width="14.85546875" customWidth="1"/>
    <col min="9" max="9" width="10.5703125" customWidth="1"/>
  </cols>
  <sheetData>
    <row r="1" spans="1:9">
      <c r="A1" s="480" t="s">
        <v>165</v>
      </c>
      <c r="B1" s="480"/>
      <c r="C1" s="480"/>
      <c r="D1" s="480"/>
      <c r="E1" s="480"/>
      <c r="F1" s="480"/>
      <c r="G1" s="480"/>
      <c r="H1" s="480"/>
    </row>
    <row r="2" spans="1:9" ht="45" customHeight="1">
      <c r="A2" s="480" t="s">
        <v>166</v>
      </c>
      <c r="B2" s="480" t="s">
        <v>167</v>
      </c>
      <c r="C2" s="480"/>
      <c r="D2" s="481" t="s">
        <v>168</v>
      </c>
      <c r="E2" s="481"/>
      <c r="F2" s="482" t="s">
        <v>169</v>
      </c>
      <c r="G2" s="483"/>
      <c r="H2" s="321"/>
    </row>
    <row r="3" spans="1:9">
      <c r="A3" s="480"/>
      <c r="B3" s="321" t="s">
        <v>170</v>
      </c>
      <c r="C3" s="321" t="s">
        <v>171</v>
      </c>
      <c r="D3" s="321" t="s">
        <v>170</v>
      </c>
      <c r="E3" s="321" t="s">
        <v>171</v>
      </c>
      <c r="F3" s="321" t="s">
        <v>170</v>
      </c>
      <c r="G3" s="321" t="s">
        <v>171</v>
      </c>
      <c r="H3" s="424" t="s">
        <v>172</v>
      </c>
    </row>
    <row r="4" spans="1:9" ht="22.5" customHeight="1">
      <c r="A4" s="321" t="s">
        <v>173</v>
      </c>
      <c r="B4" s="328">
        <f>'G+ Buildings'!D166</f>
        <v>18745.138800000001</v>
      </c>
      <c r="C4" s="328">
        <f>'G+ Buildings'!E166</f>
        <v>11081.784600000001</v>
      </c>
      <c r="D4" s="328">
        <v>15582</v>
      </c>
      <c r="E4" s="328">
        <v>7588</v>
      </c>
      <c r="F4" s="328">
        <f>B4-D4</f>
        <v>3163.1388000000002</v>
      </c>
      <c r="G4" s="328">
        <f>C4-E4</f>
        <v>3493.7846</v>
      </c>
      <c r="H4" s="321" t="s">
        <v>174</v>
      </c>
    </row>
    <row r="5" spans="1:9" ht="22.5" customHeight="1">
      <c r="A5" s="321" t="s">
        <v>175</v>
      </c>
      <c r="B5" s="328">
        <f>'G+ Buildings'!I166</f>
        <v>16537.649399999998</v>
      </c>
      <c r="C5" s="328">
        <f>'G+ Buildings'!J166</f>
        <v>11107.468800000001</v>
      </c>
      <c r="D5" s="328">
        <v>16618</v>
      </c>
      <c r="E5" s="328">
        <v>9170</v>
      </c>
      <c r="F5" s="416">
        <f t="shared" ref="F5:F21" si="0">B5-D5</f>
        <v>-80.350599999997897</v>
      </c>
      <c r="G5" s="328">
        <f t="shared" ref="G5:G21" si="1">C5-E5</f>
        <v>1937.4688000000001</v>
      </c>
      <c r="H5" s="321" t="s">
        <v>174</v>
      </c>
    </row>
    <row r="6" spans="1:9" ht="22.5" customHeight="1">
      <c r="A6" s="321" t="s">
        <v>176</v>
      </c>
      <c r="B6" s="328">
        <f>'G+ Buildings'!N166</f>
        <v>16167.2562</v>
      </c>
      <c r="C6" s="328">
        <f>'G+ Buildings'!O166</f>
        <v>11070.9702</v>
      </c>
      <c r="D6" s="328">
        <v>17122</v>
      </c>
      <c r="E6" s="328">
        <v>8680</v>
      </c>
      <c r="F6" s="416">
        <f t="shared" si="0"/>
        <v>-954.74379999999996</v>
      </c>
      <c r="G6" s="328">
        <f t="shared" si="1"/>
        <v>2390.9702000000002</v>
      </c>
      <c r="H6" s="321" t="s">
        <v>174</v>
      </c>
    </row>
    <row r="7" spans="1:9" ht="22.5" customHeight="1">
      <c r="A7" s="321" t="s">
        <v>177</v>
      </c>
      <c r="B7" s="328">
        <f>'G+ Buildings'!S166</f>
        <v>19888.761600000002</v>
      </c>
      <c r="C7" s="328">
        <f>'G+ Buildings'!T166</f>
        <v>11065.563</v>
      </c>
      <c r="D7" s="479">
        <v>16660</v>
      </c>
      <c r="E7" s="479">
        <v>12292</v>
      </c>
      <c r="F7" s="426">
        <f t="shared" si="0"/>
        <v>3228.7615999999998</v>
      </c>
      <c r="G7" s="426">
        <f t="shared" si="1"/>
        <v>-1226.4369999999999</v>
      </c>
      <c r="H7" s="321" t="s">
        <v>174</v>
      </c>
    </row>
    <row r="8" spans="1:9" ht="22.5" customHeight="1">
      <c r="A8" s="321" t="s">
        <v>178</v>
      </c>
      <c r="B8" s="328">
        <f>'G+ Buildings'!X166</f>
        <v>13517.7282</v>
      </c>
      <c r="C8" s="328">
        <f>'G+ Buildings'!Y166</f>
        <v>10670.8374</v>
      </c>
      <c r="D8" s="479"/>
      <c r="E8" s="479"/>
      <c r="F8" s="426">
        <f t="shared" si="0"/>
        <v>13517.7282</v>
      </c>
      <c r="G8" s="426">
        <f t="shared" si="1"/>
        <v>10670.8374</v>
      </c>
      <c r="H8" s="321" t="s">
        <v>174</v>
      </c>
    </row>
    <row r="9" spans="1:9" ht="22.5" customHeight="1">
      <c r="A9" s="321" t="s">
        <v>179</v>
      </c>
      <c r="B9" s="328">
        <f>'G+ Buildings'!AC166</f>
        <v>16584.9624</v>
      </c>
      <c r="C9" s="328">
        <f>'G+ Buildings'!AD166</f>
        <v>10918.2168</v>
      </c>
      <c r="D9" s="479"/>
      <c r="E9" s="479"/>
      <c r="F9" s="426">
        <f t="shared" si="0"/>
        <v>16584.9624</v>
      </c>
      <c r="G9" s="426">
        <f t="shared" si="1"/>
        <v>10918.2168</v>
      </c>
      <c r="H9" s="321" t="s">
        <v>174</v>
      </c>
    </row>
    <row r="10" spans="1:9" ht="22.5" customHeight="1">
      <c r="A10" s="321" t="s">
        <v>180</v>
      </c>
      <c r="B10" s="328">
        <f>'G+ Buildings'!AH166</f>
        <v>16455.189600000002</v>
      </c>
      <c r="C10" s="328">
        <f>'G+ Buildings'!AI166</f>
        <v>11022.305399999999</v>
      </c>
      <c r="D10" s="479"/>
      <c r="E10" s="479"/>
      <c r="F10" s="426">
        <f t="shared" si="0"/>
        <v>16455.189600000002</v>
      </c>
      <c r="G10" s="426">
        <f t="shared" si="1"/>
        <v>11022.305399999999</v>
      </c>
      <c r="H10" s="321" t="s">
        <v>174</v>
      </c>
    </row>
    <row r="11" spans="1:9" ht="22.5" customHeight="1">
      <c r="A11" s="321" t="s">
        <v>181</v>
      </c>
      <c r="B11" s="328">
        <f>'G+ Buildings'!AM166</f>
        <v>16725.549599999998</v>
      </c>
      <c r="C11" s="328">
        <f>'G+ Buildings'!AN166</f>
        <v>10946.604600000001</v>
      </c>
      <c r="D11" s="479"/>
      <c r="E11" s="479"/>
      <c r="F11" s="426">
        <f t="shared" si="0"/>
        <v>16725.549599999998</v>
      </c>
      <c r="G11" s="426">
        <f t="shared" si="1"/>
        <v>10946.604600000001</v>
      </c>
      <c r="H11" s="321" t="s">
        <v>174</v>
      </c>
    </row>
    <row r="12" spans="1:9" ht="22.5" customHeight="1">
      <c r="A12" s="321" t="s">
        <v>182</v>
      </c>
      <c r="B12" s="328">
        <f>'Villa Higher'!D178</f>
        <v>25555.452799999999</v>
      </c>
      <c r="C12" s="328">
        <f>'Villa Higher'!E178</f>
        <v>7776.2407999999996</v>
      </c>
      <c r="D12" s="427">
        <v>16245</v>
      </c>
      <c r="E12" s="328">
        <v>3976</v>
      </c>
      <c r="F12" s="328">
        <f t="shared" si="0"/>
        <v>9310.4527999999991</v>
      </c>
      <c r="G12" s="328">
        <f t="shared" si="1"/>
        <v>3800.2408</v>
      </c>
      <c r="H12" s="321" t="s">
        <v>174</v>
      </c>
    </row>
    <row r="13" spans="1:9" ht="22.5" customHeight="1">
      <c r="A13" s="321" t="s">
        <v>183</v>
      </c>
      <c r="B13" s="328">
        <f>'Villa Lower'!E62</f>
        <v>8862.0375000000004</v>
      </c>
      <c r="C13" s="328">
        <f>'Villa Lower'!G62</f>
        <v>1510.0039999999999</v>
      </c>
      <c r="D13" s="427">
        <v>4032</v>
      </c>
      <c r="E13" s="328">
        <v>1694</v>
      </c>
      <c r="F13" s="328">
        <f t="shared" si="0"/>
        <v>4830.0375000000004</v>
      </c>
      <c r="G13" s="416">
        <f t="shared" si="1"/>
        <v>-183.99600000000001</v>
      </c>
      <c r="H13" s="321" t="s">
        <v>174</v>
      </c>
    </row>
    <row r="14" spans="1:9" ht="22.5" customHeight="1">
      <c r="A14" s="321" t="s">
        <v>184</v>
      </c>
      <c r="B14" s="328">
        <f>'Multi-Purposed halls'!D151</f>
        <v>59422.792600000001</v>
      </c>
      <c r="C14" s="328">
        <f>'Multi-Purposed halls'!E151</f>
        <v>11724.0929</v>
      </c>
      <c r="D14" s="427">
        <v>9604</v>
      </c>
      <c r="E14" s="328">
        <v>1694</v>
      </c>
      <c r="F14" s="328">
        <f t="shared" si="0"/>
        <v>49818.792600000001</v>
      </c>
      <c r="G14" s="328">
        <f t="shared" si="1"/>
        <v>10030.0929</v>
      </c>
      <c r="H14" s="321" t="s">
        <v>174</v>
      </c>
      <c r="I14" s="91"/>
    </row>
    <row r="15" spans="1:9" ht="22.5" customHeight="1">
      <c r="A15" s="321" t="s">
        <v>185</v>
      </c>
      <c r="B15" s="328">
        <f>'Multi-Purposed halls'!H151</f>
        <v>17215.989600000001</v>
      </c>
      <c r="C15" s="328">
        <f>'Multi-Purposed halls'!I151</f>
        <v>3344.6534000000001</v>
      </c>
      <c r="D15" s="328">
        <v>4732</v>
      </c>
      <c r="E15" s="328">
        <v>378</v>
      </c>
      <c r="F15" s="328">
        <f t="shared" si="0"/>
        <v>12483.989600000001</v>
      </c>
      <c r="G15" s="328">
        <f t="shared" si="1"/>
        <v>2966.6534000000001</v>
      </c>
      <c r="H15" s="321" t="s">
        <v>174</v>
      </c>
    </row>
    <row r="16" spans="1:9" ht="22.5" customHeight="1">
      <c r="A16" s="321" t="s">
        <v>186</v>
      </c>
      <c r="B16" s="328">
        <f>'Multi-Purposed halls'!L151</f>
        <v>1785.288</v>
      </c>
      <c r="C16" s="328">
        <f>'Multi-Purposed halls'!M151</f>
        <v>486.21199999999999</v>
      </c>
      <c r="D16" s="479">
        <v>1705</v>
      </c>
      <c r="E16" s="479">
        <v>196</v>
      </c>
      <c r="F16" s="328">
        <f t="shared" si="0"/>
        <v>80.288000000000196</v>
      </c>
      <c r="G16" s="328">
        <f t="shared" si="1"/>
        <v>290.21199999999999</v>
      </c>
      <c r="H16" s="321" t="s">
        <v>187</v>
      </c>
    </row>
    <row r="17" spans="1:8" ht="22.5" customHeight="1">
      <c r="A17" s="321" t="s">
        <v>188</v>
      </c>
      <c r="B17" s="328">
        <f>'Multi-Purposed halls'!P151</f>
        <v>1578.3152</v>
      </c>
      <c r="C17" s="328">
        <f>'Multi-Purposed halls'!Q151</f>
        <v>425.5908</v>
      </c>
      <c r="D17" s="479"/>
      <c r="E17" s="479"/>
      <c r="F17" s="328">
        <f t="shared" si="0"/>
        <v>1578.3152</v>
      </c>
      <c r="G17" s="328">
        <f t="shared" si="1"/>
        <v>425.5908</v>
      </c>
      <c r="H17" s="321" t="s">
        <v>187</v>
      </c>
    </row>
    <row r="18" spans="1:8" ht="22.5" customHeight="1">
      <c r="A18" s="321" t="s">
        <v>189</v>
      </c>
      <c r="B18" s="328">
        <f>'Multi-Purposed halls'!T151</f>
        <v>1364.8510000000001</v>
      </c>
      <c r="C18" s="328">
        <f>'Multi-Purposed halls'!U151</f>
        <v>359.7115</v>
      </c>
      <c r="D18" s="479">
        <v>1324</v>
      </c>
      <c r="E18" s="479">
        <v>154</v>
      </c>
      <c r="F18" s="328">
        <f t="shared" si="0"/>
        <v>40.8509999999999</v>
      </c>
      <c r="G18" s="328">
        <f t="shared" si="1"/>
        <v>205.7115</v>
      </c>
      <c r="H18" s="321" t="s">
        <v>187</v>
      </c>
    </row>
    <row r="19" spans="1:8" ht="22.5" customHeight="1">
      <c r="A19" s="321" t="s">
        <v>190</v>
      </c>
      <c r="B19" s="328">
        <f>'Multi-Purposed halls'!X151</f>
        <v>1297.5762</v>
      </c>
      <c r="C19" s="328">
        <f>'Multi-Purposed halls'!Y151</f>
        <v>331.90230000000003</v>
      </c>
      <c r="D19" s="479"/>
      <c r="E19" s="479"/>
      <c r="F19" s="328">
        <f t="shared" si="0"/>
        <v>1297.5762</v>
      </c>
      <c r="G19" s="328">
        <f t="shared" si="1"/>
        <v>331.90230000000003</v>
      </c>
      <c r="H19" s="321" t="s">
        <v>187</v>
      </c>
    </row>
    <row r="20" spans="1:8" ht="22.5" customHeight="1">
      <c r="A20" s="321" t="s">
        <v>191</v>
      </c>
      <c r="B20" s="328">
        <f>'Multi-Purposed halls'!AB151</f>
        <v>1178.3779999999999</v>
      </c>
      <c r="C20" s="328">
        <f>'Multi-Purposed halls'!AC151</f>
        <v>310.95699999999999</v>
      </c>
      <c r="D20" s="479">
        <v>1113</v>
      </c>
      <c r="E20" s="479">
        <v>154</v>
      </c>
      <c r="F20" s="328">
        <f t="shared" si="0"/>
        <v>65.377999999999901</v>
      </c>
      <c r="G20" s="328">
        <f t="shared" si="1"/>
        <v>156.95699999999999</v>
      </c>
      <c r="H20" s="321" t="s">
        <v>187</v>
      </c>
    </row>
    <row r="21" spans="1:8" ht="22.5" customHeight="1">
      <c r="A21" s="321" t="s">
        <v>192</v>
      </c>
      <c r="B21" s="328">
        <f>'Multi-Purposed halls'!AF151</f>
        <v>1127.7940000000001</v>
      </c>
      <c r="C21" s="328">
        <f>'Multi-Purposed halls'!AG151</f>
        <v>293.26100000000002</v>
      </c>
      <c r="D21" s="479"/>
      <c r="E21" s="479"/>
      <c r="F21" s="328">
        <f t="shared" si="0"/>
        <v>1127.7940000000001</v>
      </c>
      <c r="G21" s="328">
        <f t="shared" si="1"/>
        <v>293.26100000000002</v>
      </c>
      <c r="H21" s="321" t="s">
        <v>187</v>
      </c>
    </row>
  </sheetData>
  <mergeCells count="13">
    <mergeCell ref="A1:H1"/>
    <mergeCell ref="B2:C2"/>
    <mergeCell ref="D2:E2"/>
    <mergeCell ref="F2:G2"/>
    <mergeCell ref="A2:A3"/>
    <mergeCell ref="D7:D11"/>
    <mergeCell ref="D16:D17"/>
    <mergeCell ref="D18:D19"/>
    <mergeCell ref="D20:D21"/>
    <mergeCell ref="E7:E11"/>
    <mergeCell ref="E16:E17"/>
    <mergeCell ref="E18:E19"/>
    <mergeCell ref="E20:E2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I66"/>
  <sheetViews>
    <sheetView topLeftCell="A52" workbookViewId="0">
      <selection activeCell="H61" sqref="H61"/>
    </sheetView>
  </sheetViews>
  <sheetFormatPr defaultColWidth="9" defaultRowHeight="15"/>
  <cols>
    <col min="2" max="2" width="27" customWidth="1"/>
    <col min="4" max="4" width="10.5703125" hidden="1" customWidth="1"/>
    <col min="5" max="7" width="12.5703125" hidden="1" customWidth="1"/>
    <col min="9" max="9" width="14.28515625" customWidth="1"/>
  </cols>
  <sheetData>
    <row r="1" spans="1:9" ht="41.25" customHeight="1"/>
    <row r="2" spans="1:9">
      <c r="A2" s="321" t="s">
        <v>193</v>
      </c>
      <c r="B2" s="484" t="s">
        <v>194</v>
      </c>
      <c r="C2" s="485"/>
      <c r="D2" s="485"/>
      <c r="E2" s="485"/>
      <c r="F2" s="485"/>
      <c r="G2" s="485"/>
      <c r="H2" s="485"/>
      <c r="I2" s="486"/>
    </row>
    <row r="3" spans="1:9" ht="15.75">
      <c r="A3" s="321">
        <v>1</v>
      </c>
      <c r="B3" s="393" t="s">
        <v>195</v>
      </c>
      <c r="C3" s="321" t="s">
        <v>196</v>
      </c>
      <c r="D3" s="321"/>
      <c r="E3" s="321" t="s">
        <v>170</v>
      </c>
      <c r="F3" s="321"/>
      <c r="G3" s="321" t="s">
        <v>171</v>
      </c>
      <c r="H3" s="321"/>
      <c r="I3" s="321"/>
    </row>
    <row r="4" spans="1:9" ht="32.25" customHeight="1">
      <c r="A4" s="397"/>
      <c r="B4" s="398" t="s">
        <v>197</v>
      </c>
      <c r="C4" s="407">
        <v>1</v>
      </c>
      <c r="D4" s="407"/>
      <c r="E4" s="407">
        <f>MAX(C4:C7)</f>
        <v>47.16</v>
      </c>
      <c r="F4" s="407">
        <f>MAX(D4:D7)</f>
        <v>0</v>
      </c>
      <c r="G4" s="407">
        <f>MIN(C4:C7)</f>
        <v>1</v>
      </c>
      <c r="H4" s="321"/>
      <c r="I4" s="321">
        <f>$C4*H4/100</f>
        <v>0</v>
      </c>
    </row>
    <row r="5" spans="1:9" ht="32.25" customHeight="1">
      <c r="A5" s="397"/>
      <c r="B5" s="398" t="s">
        <v>198</v>
      </c>
      <c r="C5" s="407">
        <v>4</v>
      </c>
      <c r="D5" s="407"/>
      <c r="E5" s="407"/>
      <c r="F5" s="407"/>
      <c r="G5" s="407"/>
      <c r="H5" s="321">
        <v>100</v>
      </c>
      <c r="I5" s="321">
        <f t="shared" ref="I5:I60" si="0">$C5*H5/100</f>
        <v>4</v>
      </c>
    </row>
    <row r="6" spans="1:9" ht="46.5" customHeight="1">
      <c r="A6" s="397"/>
      <c r="B6" s="398" t="s">
        <v>199</v>
      </c>
      <c r="C6" s="407">
        <v>20.49</v>
      </c>
      <c r="D6" s="407"/>
      <c r="E6" s="407"/>
      <c r="F6" s="407"/>
      <c r="G6" s="407"/>
      <c r="H6" s="321"/>
      <c r="I6" s="321">
        <f t="shared" si="0"/>
        <v>0</v>
      </c>
    </row>
    <row r="7" spans="1:9" ht="46.5" customHeight="1">
      <c r="A7" s="397"/>
      <c r="B7" s="398" t="s">
        <v>200</v>
      </c>
      <c r="C7" s="407">
        <v>47.16</v>
      </c>
      <c r="D7" s="407"/>
      <c r="E7" s="407"/>
      <c r="F7" s="407"/>
      <c r="G7" s="407"/>
      <c r="H7" s="321"/>
      <c r="I7" s="321">
        <f t="shared" si="0"/>
        <v>0</v>
      </c>
    </row>
    <row r="8" spans="1:9" ht="15.75">
      <c r="A8" s="321">
        <v>2</v>
      </c>
      <c r="B8" s="408" t="s">
        <v>201</v>
      </c>
      <c r="C8" s="407"/>
      <c r="D8" s="407"/>
      <c r="E8" s="407"/>
      <c r="F8" s="407"/>
      <c r="G8" s="407"/>
      <c r="H8" s="321"/>
      <c r="I8" s="321">
        <f t="shared" si="0"/>
        <v>0</v>
      </c>
    </row>
    <row r="9" spans="1:9" ht="15.75">
      <c r="A9" s="321">
        <v>3</v>
      </c>
      <c r="B9" s="408" t="s">
        <v>202</v>
      </c>
      <c r="C9" s="407"/>
      <c r="D9" s="407"/>
      <c r="E9" s="407"/>
      <c r="F9" s="407"/>
      <c r="G9" s="407"/>
      <c r="H9" s="321"/>
      <c r="I9" s="321">
        <f t="shared" si="0"/>
        <v>0</v>
      </c>
    </row>
    <row r="10" spans="1:9" ht="15.75">
      <c r="A10" s="397"/>
      <c r="B10" s="398" t="s">
        <v>203</v>
      </c>
      <c r="C10" s="407">
        <v>2.16</v>
      </c>
      <c r="D10" s="407"/>
      <c r="E10" s="407">
        <f>MAX(C10:C13)</f>
        <v>10.63</v>
      </c>
      <c r="F10" s="407">
        <f>MAX(D10:D13)</f>
        <v>0</v>
      </c>
      <c r="G10" s="407">
        <f>MIN(C10:C14)</f>
        <v>1</v>
      </c>
      <c r="H10" s="321"/>
      <c r="I10" s="321">
        <f t="shared" si="0"/>
        <v>0</v>
      </c>
    </row>
    <row r="11" spans="1:9" ht="15.75">
      <c r="A11" s="397"/>
      <c r="B11" s="398" t="s">
        <v>204</v>
      </c>
      <c r="C11" s="407">
        <v>1</v>
      </c>
      <c r="D11" s="407"/>
      <c r="E11" s="407"/>
      <c r="F11" s="407"/>
      <c r="G11" s="407"/>
      <c r="H11" s="321"/>
      <c r="I11" s="321">
        <f t="shared" si="0"/>
        <v>0</v>
      </c>
    </row>
    <row r="12" spans="1:9" ht="32.25" customHeight="1">
      <c r="A12" s="397"/>
      <c r="B12" s="398" t="s">
        <v>205</v>
      </c>
      <c r="C12" s="407">
        <v>10.63</v>
      </c>
      <c r="D12" s="407"/>
      <c r="E12" s="407"/>
      <c r="F12" s="407"/>
      <c r="G12" s="407"/>
      <c r="H12" s="321">
        <v>100</v>
      </c>
      <c r="I12" s="321">
        <f t="shared" si="0"/>
        <v>10.63</v>
      </c>
    </row>
    <row r="13" spans="1:9" ht="31.5" customHeight="1">
      <c r="A13" s="397"/>
      <c r="B13" s="398" t="s">
        <v>206</v>
      </c>
      <c r="C13" s="407">
        <v>8.4</v>
      </c>
      <c r="D13" s="407"/>
      <c r="E13" s="407"/>
      <c r="F13" s="407"/>
      <c r="G13" s="407"/>
      <c r="H13" s="321"/>
      <c r="I13" s="321">
        <f t="shared" si="0"/>
        <v>0</v>
      </c>
    </row>
    <row r="14" spans="1:9" ht="15.75">
      <c r="A14" s="397"/>
      <c r="B14" s="398" t="s">
        <v>207</v>
      </c>
      <c r="C14" s="407">
        <v>1.89</v>
      </c>
      <c r="D14" s="407"/>
      <c r="E14" s="407"/>
      <c r="F14" s="407"/>
      <c r="G14" s="407"/>
      <c r="H14" s="321"/>
      <c r="I14" s="321">
        <f t="shared" si="0"/>
        <v>0</v>
      </c>
    </row>
    <row r="15" spans="1:9" ht="15.75">
      <c r="A15" s="321">
        <v>4</v>
      </c>
      <c r="B15" s="408" t="s">
        <v>208</v>
      </c>
      <c r="C15" s="407"/>
      <c r="D15" s="407"/>
      <c r="E15" s="407"/>
      <c r="F15" s="407"/>
      <c r="G15" s="407"/>
      <c r="H15" s="321"/>
      <c r="I15" s="321">
        <f t="shared" si="0"/>
        <v>0</v>
      </c>
    </row>
    <row r="16" spans="1:9" ht="15.75">
      <c r="A16" s="397"/>
      <c r="B16" s="398" t="s">
        <v>209</v>
      </c>
      <c r="C16" s="407">
        <v>2.16</v>
      </c>
      <c r="D16" s="407"/>
      <c r="E16" s="407">
        <f>MAX(C16:C20)</f>
        <v>10.63</v>
      </c>
      <c r="F16" s="407">
        <f>MAX(D16:D20)</f>
        <v>0</v>
      </c>
      <c r="G16" s="407">
        <f>MIN(C16:C20)</f>
        <v>1</v>
      </c>
      <c r="H16" s="321"/>
      <c r="I16" s="321">
        <f t="shared" si="0"/>
        <v>0</v>
      </c>
    </row>
    <row r="17" spans="1:9" ht="15.75">
      <c r="A17" s="397"/>
      <c r="B17" s="398" t="s">
        <v>210</v>
      </c>
      <c r="C17" s="407">
        <v>1</v>
      </c>
      <c r="D17" s="407"/>
      <c r="E17" s="407"/>
      <c r="F17" s="407"/>
      <c r="G17" s="407"/>
      <c r="H17" s="321"/>
      <c r="I17" s="321">
        <f t="shared" si="0"/>
        <v>0</v>
      </c>
    </row>
    <row r="18" spans="1:9" ht="34.5" customHeight="1">
      <c r="A18" s="397"/>
      <c r="B18" s="398" t="s">
        <v>211</v>
      </c>
      <c r="C18" s="407">
        <v>10.63</v>
      </c>
      <c r="D18" s="407"/>
      <c r="E18" s="407"/>
      <c r="F18" s="407"/>
      <c r="G18" s="407"/>
      <c r="H18" s="321">
        <v>100</v>
      </c>
      <c r="I18" s="321">
        <f t="shared" si="0"/>
        <v>10.63</v>
      </c>
    </row>
    <row r="19" spans="1:9" ht="30" customHeight="1">
      <c r="A19" s="397"/>
      <c r="B19" s="398" t="s">
        <v>212</v>
      </c>
      <c r="C19" s="407">
        <v>8.4</v>
      </c>
      <c r="D19" s="407"/>
      <c r="E19" s="407"/>
      <c r="F19" s="407"/>
      <c r="G19" s="407"/>
      <c r="H19" s="321"/>
      <c r="I19" s="321">
        <f t="shared" si="0"/>
        <v>0</v>
      </c>
    </row>
    <row r="20" spans="1:9" ht="15.75">
      <c r="A20" s="397"/>
      <c r="B20" s="398" t="s">
        <v>213</v>
      </c>
      <c r="C20" s="407">
        <v>1.89</v>
      </c>
      <c r="D20" s="407"/>
      <c r="E20" s="407"/>
      <c r="F20" s="407"/>
      <c r="G20" s="407"/>
      <c r="H20" s="321"/>
      <c r="I20" s="321">
        <f t="shared" si="0"/>
        <v>0</v>
      </c>
    </row>
    <row r="21" spans="1:9" ht="15.75">
      <c r="A21" s="321">
        <v>5</v>
      </c>
      <c r="B21" s="408" t="s">
        <v>214</v>
      </c>
      <c r="C21" s="407"/>
      <c r="D21" s="407"/>
      <c r="E21" s="407"/>
      <c r="F21" s="407"/>
      <c r="G21" s="407"/>
      <c r="H21" s="321"/>
      <c r="I21" s="321">
        <f t="shared" si="0"/>
        <v>0</v>
      </c>
    </row>
    <row r="22" spans="1:9" ht="15.75">
      <c r="A22" s="397"/>
      <c r="B22" s="398" t="s">
        <v>215</v>
      </c>
      <c r="C22" s="407">
        <v>1</v>
      </c>
      <c r="D22" s="407"/>
      <c r="E22" s="407">
        <f>MAX(C22:C24)</f>
        <v>1.62</v>
      </c>
      <c r="F22" s="407">
        <f>MAX(D22:D24)</f>
        <v>0</v>
      </c>
      <c r="G22" s="407">
        <f>MIN(C22:C24)</f>
        <v>1</v>
      </c>
      <c r="H22" s="321">
        <v>100</v>
      </c>
      <c r="I22" s="321">
        <f t="shared" si="0"/>
        <v>1</v>
      </c>
    </row>
    <row r="23" spans="1:9" ht="15.75">
      <c r="A23" s="397"/>
      <c r="B23" s="410" t="s">
        <v>216</v>
      </c>
      <c r="C23" s="407">
        <v>1.37</v>
      </c>
      <c r="D23" s="407"/>
      <c r="E23" s="407"/>
      <c r="F23" s="407"/>
      <c r="G23" s="407"/>
      <c r="H23" s="321"/>
      <c r="I23" s="321">
        <f t="shared" si="0"/>
        <v>0</v>
      </c>
    </row>
    <row r="24" spans="1:9" ht="15.75">
      <c r="A24" s="397"/>
      <c r="B24" s="410" t="s">
        <v>217</v>
      </c>
      <c r="C24" s="407">
        <v>1.62</v>
      </c>
      <c r="D24" s="407"/>
      <c r="E24" s="407"/>
      <c r="F24" s="407"/>
      <c r="G24" s="407"/>
      <c r="H24" s="321"/>
      <c r="I24" s="321">
        <f t="shared" si="0"/>
        <v>0</v>
      </c>
    </row>
    <row r="25" spans="1:9" ht="15.75">
      <c r="A25" s="321">
        <v>6</v>
      </c>
      <c r="B25" s="408" t="s">
        <v>218</v>
      </c>
      <c r="C25" s="407"/>
      <c r="D25" s="407"/>
      <c r="E25" s="407"/>
      <c r="F25" s="407"/>
      <c r="G25" s="407"/>
      <c r="H25" s="321"/>
      <c r="I25" s="321">
        <f t="shared" si="0"/>
        <v>0</v>
      </c>
    </row>
    <row r="26" spans="1:9" ht="31.5" customHeight="1">
      <c r="A26" s="397"/>
      <c r="B26" s="398" t="s">
        <v>219</v>
      </c>
      <c r="C26" s="407">
        <v>1.67</v>
      </c>
      <c r="D26" s="407"/>
      <c r="E26" s="407">
        <f>MAX(C26:C27)</f>
        <v>1.67</v>
      </c>
      <c r="F26" s="407">
        <f>MAX(D26:D27)</f>
        <v>0</v>
      </c>
      <c r="G26" s="407">
        <f>MIN(C26:C27)</f>
        <v>1</v>
      </c>
      <c r="H26" s="321"/>
      <c r="I26" s="321">
        <f t="shared" si="0"/>
        <v>0</v>
      </c>
    </row>
    <row r="27" spans="1:9" ht="31.5" customHeight="1">
      <c r="A27" s="397"/>
      <c r="B27" s="398" t="s">
        <v>220</v>
      </c>
      <c r="C27" s="407">
        <v>1</v>
      </c>
      <c r="D27" s="407"/>
      <c r="E27" s="407"/>
      <c r="F27" s="407"/>
      <c r="G27" s="407"/>
      <c r="H27" s="321"/>
      <c r="I27" s="321">
        <f t="shared" si="0"/>
        <v>0</v>
      </c>
    </row>
    <row r="28" spans="1:9" ht="15.75">
      <c r="A28" s="321">
        <v>7</v>
      </c>
      <c r="B28" s="408" t="s">
        <v>221</v>
      </c>
      <c r="C28" s="407"/>
      <c r="D28" s="407"/>
      <c r="E28" s="407"/>
      <c r="F28" s="407"/>
      <c r="G28" s="407"/>
      <c r="H28" s="321"/>
      <c r="I28" s="321">
        <f t="shared" si="0"/>
        <v>0</v>
      </c>
    </row>
    <row r="29" spans="1:9" ht="15.75" customHeight="1">
      <c r="A29" s="397"/>
      <c r="B29" s="398" t="s">
        <v>222</v>
      </c>
      <c r="C29" s="407">
        <v>1</v>
      </c>
      <c r="D29" s="407"/>
      <c r="E29" s="407">
        <f>MAX(C29)</f>
        <v>1</v>
      </c>
      <c r="F29" s="407">
        <f>MAX(D29)</f>
        <v>0</v>
      </c>
      <c r="G29" s="407">
        <f>MIN(C29:C30)</f>
        <v>1</v>
      </c>
      <c r="H29" s="321">
        <v>100</v>
      </c>
      <c r="I29" s="321">
        <f t="shared" si="0"/>
        <v>1</v>
      </c>
    </row>
    <row r="30" spans="1:9" ht="15.75">
      <c r="A30" s="321">
        <v>8</v>
      </c>
      <c r="B30" s="408" t="s">
        <v>223</v>
      </c>
      <c r="C30" s="407"/>
      <c r="D30" s="407"/>
      <c r="E30" s="407"/>
      <c r="F30" s="407"/>
      <c r="G30" s="407"/>
      <c r="H30" s="321"/>
      <c r="I30" s="321">
        <f t="shared" si="0"/>
        <v>0</v>
      </c>
    </row>
    <row r="31" spans="1:9" ht="15.75">
      <c r="A31" s="397"/>
      <c r="B31" s="398" t="s">
        <v>224</v>
      </c>
      <c r="C31" s="407">
        <v>1</v>
      </c>
      <c r="D31" s="407"/>
      <c r="E31" s="407">
        <f>MAX(C31:C34)</f>
        <v>6.49</v>
      </c>
      <c r="F31" s="407">
        <f>MAX(D31:D34)</f>
        <v>0</v>
      </c>
      <c r="G31" s="407">
        <f>MIN(C31:C34)</f>
        <v>1</v>
      </c>
      <c r="H31" s="321">
        <v>100</v>
      </c>
      <c r="I31" s="321">
        <f t="shared" si="0"/>
        <v>1</v>
      </c>
    </row>
    <row r="32" spans="1:9" ht="33.75" customHeight="1">
      <c r="A32" s="397"/>
      <c r="B32" s="398" t="s">
        <v>225</v>
      </c>
      <c r="C32" s="407">
        <v>2.72</v>
      </c>
      <c r="D32" s="407"/>
      <c r="E32" s="407"/>
      <c r="F32" s="407"/>
      <c r="G32" s="407"/>
      <c r="H32" s="321"/>
      <c r="I32" s="321">
        <f t="shared" si="0"/>
        <v>0</v>
      </c>
    </row>
    <row r="33" spans="1:9" ht="36" customHeight="1">
      <c r="A33" s="397"/>
      <c r="B33" s="398" t="s">
        <v>226</v>
      </c>
      <c r="C33" s="407">
        <v>3.06</v>
      </c>
      <c r="D33" s="407"/>
      <c r="E33" s="407"/>
      <c r="F33" s="407"/>
      <c r="G33" s="407"/>
      <c r="H33" s="321"/>
      <c r="I33" s="321">
        <f t="shared" si="0"/>
        <v>0</v>
      </c>
    </row>
    <row r="34" spans="1:9" ht="19.5" customHeight="1">
      <c r="A34" s="397"/>
      <c r="B34" s="398" t="s">
        <v>227</v>
      </c>
      <c r="C34" s="407">
        <v>6.49</v>
      </c>
      <c r="D34" s="407"/>
      <c r="E34" s="407"/>
      <c r="F34" s="407"/>
      <c r="G34" s="407"/>
      <c r="H34" s="321"/>
      <c r="I34" s="321">
        <f t="shared" si="0"/>
        <v>0</v>
      </c>
    </row>
    <row r="35" spans="1:9" ht="15.75">
      <c r="A35" s="321">
        <v>9</v>
      </c>
      <c r="B35" s="408" t="s">
        <v>228</v>
      </c>
      <c r="C35" s="407"/>
      <c r="D35" s="407"/>
      <c r="E35" s="407"/>
      <c r="F35" s="407"/>
      <c r="G35" s="407"/>
      <c r="H35" s="321"/>
      <c r="I35" s="321">
        <f t="shared" si="0"/>
        <v>0</v>
      </c>
    </row>
    <row r="36" spans="1:9" ht="15.75">
      <c r="A36" s="397"/>
      <c r="B36" s="398" t="s">
        <v>229</v>
      </c>
      <c r="C36" s="407">
        <v>1</v>
      </c>
      <c r="D36" s="407"/>
      <c r="E36" s="407">
        <f>MAX(C36:C39)</f>
        <v>4.04</v>
      </c>
      <c r="F36" s="407">
        <f>MAX(D36:D39)</f>
        <v>0</v>
      </c>
      <c r="G36" s="407">
        <f>MIN(C36:C39)</f>
        <v>1</v>
      </c>
      <c r="H36" s="321">
        <v>100</v>
      </c>
      <c r="I36" s="321">
        <f t="shared" si="0"/>
        <v>1</v>
      </c>
    </row>
    <row r="37" spans="1:9" ht="15.75">
      <c r="A37" s="397"/>
      <c r="B37" s="398" t="s">
        <v>230</v>
      </c>
      <c r="C37" s="407">
        <v>1.08</v>
      </c>
      <c r="D37" s="407"/>
      <c r="E37" s="407"/>
      <c r="F37" s="407"/>
      <c r="G37" s="407"/>
      <c r="H37" s="321"/>
      <c r="I37" s="321">
        <f t="shared" si="0"/>
        <v>0</v>
      </c>
    </row>
    <row r="38" spans="1:9" ht="15.75">
      <c r="A38" s="397"/>
      <c r="B38" s="398" t="s">
        <v>231</v>
      </c>
      <c r="C38" s="407">
        <v>2.96</v>
      </c>
      <c r="D38" s="407"/>
      <c r="E38" s="407"/>
      <c r="F38" s="407"/>
      <c r="G38" s="407"/>
      <c r="H38" s="321"/>
      <c r="I38" s="321">
        <f t="shared" si="0"/>
        <v>0</v>
      </c>
    </row>
    <row r="39" spans="1:9" ht="15.75">
      <c r="A39" s="397"/>
      <c r="B39" s="398" t="s">
        <v>232</v>
      </c>
      <c r="C39" s="407">
        <v>4.04</v>
      </c>
      <c r="D39" s="407"/>
      <c r="E39" s="407"/>
      <c r="F39" s="407"/>
      <c r="G39" s="407"/>
      <c r="H39" s="321"/>
      <c r="I39" s="321">
        <f t="shared" si="0"/>
        <v>0</v>
      </c>
    </row>
    <row r="40" spans="1:9" ht="15.75">
      <c r="A40" s="411">
        <v>10</v>
      </c>
      <c r="B40" s="408" t="s">
        <v>233</v>
      </c>
      <c r="C40" s="407"/>
      <c r="D40" s="407"/>
      <c r="E40" s="407"/>
      <c r="F40" s="407"/>
      <c r="G40" s="407"/>
      <c r="H40" s="321"/>
      <c r="I40" s="321">
        <f t="shared" si="0"/>
        <v>0</v>
      </c>
    </row>
    <row r="41" spans="1:9" ht="15.75">
      <c r="A41" s="397"/>
      <c r="B41" s="398" t="s">
        <v>234</v>
      </c>
      <c r="C41" s="407">
        <v>1</v>
      </c>
      <c r="D41" s="407"/>
      <c r="E41" s="407">
        <f>MAX(C41:C48)</f>
        <v>13.32</v>
      </c>
      <c r="F41" s="407">
        <f>MAX(D41:D48)</f>
        <v>0</v>
      </c>
      <c r="G41" s="407">
        <f>MIN(C41:C48)</f>
        <v>1</v>
      </c>
      <c r="H41" s="321">
        <v>100</v>
      </c>
      <c r="I41" s="321">
        <f t="shared" si="0"/>
        <v>1</v>
      </c>
    </row>
    <row r="42" spans="1:9" ht="15.75">
      <c r="A42" s="397"/>
      <c r="B42" s="398" t="s">
        <v>235</v>
      </c>
      <c r="C42" s="407">
        <v>1.08</v>
      </c>
      <c r="D42" s="407"/>
      <c r="E42" s="407"/>
      <c r="F42" s="407"/>
      <c r="G42" s="407"/>
      <c r="H42" s="321"/>
      <c r="I42" s="321">
        <f t="shared" si="0"/>
        <v>0</v>
      </c>
    </row>
    <row r="43" spans="1:9" ht="38.25" customHeight="1">
      <c r="A43" s="397"/>
      <c r="B43" s="398" t="s">
        <v>236</v>
      </c>
      <c r="C43" s="407">
        <v>2.96</v>
      </c>
      <c r="D43" s="407"/>
      <c r="E43" s="407"/>
      <c r="F43" s="407"/>
      <c r="G43" s="407"/>
      <c r="H43" s="321"/>
      <c r="I43" s="321">
        <f t="shared" si="0"/>
        <v>0</v>
      </c>
    </row>
    <row r="44" spans="1:9" ht="36" customHeight="1">
      <c r="A44" s="397"/>
      <c r="B44" s="398" t="s">
        <v>237</v>
      </c>
      <c r="C44" s="407">
        <v>2.96</v>
      </c>
      <c r="D44" s="407"/>
      <c r="E44" s="407"/>
      <c r="F44" s="407"/>
      <c r="G44" s="407"/>
      <c r="H44" s="321"/>
      <c r="I44" s="321">
        <f t="shared" si="0"/>
        <v>0</v>
      </c>
    </row>
    <row r="45" spans="1:9" ht="34.5" customHeight="1">
      <c r="A45" s="397"/>
      <c r="B45" s="398" t="s">
        <v>238</v>
      </c>
      <c r="C45" s="407">
        <v>4.04</v>
      </c>
      <c r="D45" s="407"/>
      <c r="E45" s="407"/>
      <c r="F45" s="407"/>
      <c r="G45" s="407"/>
      <c r="H45" s="321"/>
      <c r="I45" s="321">
        <f t="shared" si="0"/>
        <v>0</v>
      </c>
    </row>
    <row r="46" spans="1:9" ht="49.5" customHeight="1">
      <c r="A46" s="397"/>
      <c r="B46" s="398" t="s">
        <v>239</v>
      </c>
      <c r="C46" s="407">
        <v>12.12</v>
      </c>
      <c r="D46" s="407"/>
      <c r="E46" s="407"/>
      <c r="F46" s="407"/>
      <c r="G46" s="407"/>
      <c r="H46" s="321"/>
      <c r="I46" s="321">
        <f t="shared" si="0"/>
        <v>0</v>
      </c>
    </row>
    <row r="47" spans="1:9" ht="18" customHeight="1">
      <c r="A47" s="397"/>
      <c r="B47" s="398" t="s">
        <v>240</v>
      </c>
      <c r="C47" s="407">
        <v>10.55</v>
      </c>
      <c r="D47" s="407"/>
      <c r="E47" s="407"/>
      <c r="F47" s="407"/>
      <c r="G47" s="407"/>
      <c r="H47" s="321"/>
      <c r="I47" s="321">
        <f t="shared" si="0"/>
        <v>0</v>
      </c>
    </row>
    <row r="48" spans="1:9" ht="15.75">
      <c r="A48" s="397"/>
      <c r="B48" s="398" t="s">
        <v>241</v>
      </c>
      <c r="C48" s="407">
        <v>13.32</v>
      </c>
      <c r="D48" s="407"/>
      <c r="E48" s="407"/>
      <c r="F48" s="407"/>
      <c r="G48" s="407"/>
      <c r="H48" s="321"/>
      <c r="I48" s="321">
        <f t="shared" si="0"/>
        <v>0</v>
      </c>
    </row>
    <row r="49" spans="1:9" ht="15.75">
      <c r="A49" s="321">
        <v>11</v>
      </c>
      <c r="B49" s="408" t="s">
        <v>242</v>
      </c>
      <c r="C49" s="407"/>
      <c r="D49" s="407"/>
      <c r="E49" s="407"/>
      <c r="F49" s="407"/>
      <c r="G49" s="407"/>
      <c r="H49" s="321"/>
      <c r="I49" s="321">
        <f t="shared" si="0"/>
        <v>0</v>
      </c>
    </row>
    <row r="50" spans="1:9" ht="35.25" customHeight="1">
      <c r="A50" s="397"/>
      <c r="B50" s="398" t="s">
        <v>243</v>
      </c>
      <c r="C50" s="407">
        <v>1.48</v>
      </c>
      <c r="D50" s="407"/>
      <c r="E50" s="407">
        <f>MAX(C50:C54)</f>
        <v>1.48</v>
      </c>
      <c r="F50" s="407">
        <f>MAX(D50:D54)</f>
        <v>0</v>
      </c>
      <c r="G50" s="407">
        <f>MIN(C50:C54)</f>
        <v>0.2</v>
      </c>
      <c r="H50" s="321"/>
      <c r="I50" s="321">
        <f t="shared" si="0"/>
        <v>0</v>
      </c>
    </row>
    <row r="51" spans="1:9" ht="17.25" customHeight="1">
      <c r="A51" s="397"/>
      <c r="B51" s="398" t="s">
        <v>244</v>
      </c>
      <c r="C51" s="407">
        <v>1</v>
      </c>
      <c r="D51" s="407"/>
      <c r="E51" s="407"/>
      <c r="F51" s="407"/>
      <c r="G51" s="407"/>
      <c r="H51" s="321"/>
      <c r="I51" s="321">
        <f t="shared" si="0"/>
        <v>0</v>
      </c>
    </row>
    <row r="52" spans="1:9" ht="15.75">
      <c r="A52" s="397"/>
      <c r="B52" s="398" t="s">
        <v>245</v>
      </c>
      <c r="C52" s="407">
        <v>0.2</v>
      </c>
      <c r="D52" s="407"/>
      <c r="E52" s="407"/>
      <c r="F52" s="407"/>
      <c r="G52" s="407"/>
      <c r="H52" s="321"/>
      <c r="I52" s="321">
        <f t="shared" si="0"/>
        <v>0</v>
      </c>
    </row>
    <row r="53" spans="1:9" ht="33" customHeight="1">
      <c r="A53" s="397"/>
      <c r="B53" s="398" t="s">
        <v>246</v>
      </c>
      <c r="C53" s="407">
        <v>1.19</v>
      </c>
      <c r="D53" s="407"/>
      <c r="E53" s="407"/>
      <c r="F53" s="407"/>
      <c r="G53" s="407"/>
      <c r="H53" s="321"/>
      <c r="I53" s="321">
        <f t="shared" si="0"/>
        <v>0</v>
      </c>
    </row>
    <row r="54" spans="1:9" ht="35.25" customHeight="1">
      <c r="A54" s="397"/>
      <c r="B54" s="398" t="s">
        <v>247</v>
      </c>
      <c r="C54" s="407">
        <v>1.24</v>
      </c>
      <c r="D54" s="407"/>
      <c r="E54" s="407"/>
      <c r="F54" s="407"/>
      <c r="G54" s="407"/>
      <c r="H54" s="321"/>
      <c r="I54" s="321">
        <f t="shared" si="0"/>
        <v>0</v>
      </c>
    </row>
    <row r="55" spans="1:9" ht="15.75">
      <c r="A55" s="321">
        <v>12</v>
      </c>
      <c r="B55" s="408" t="s">
        <v>248</v>
      </c>
      <c r="C55" s="407"/>
      <c r="D55" s="407"/>
      <c r="E55" s="407"/>
      <c r="F55" s="407"/>
      <c r="G55" s="407"/>
      <c r="H55" s="321"/>
      <c r="I55" s="321">
        <f t="shared" si="0"/>
        <v>0</v>
      </c>
    </row>
    <row r="56" spans="1:9" ht="15.75">
      <c r="A56" s="397"/>
      <c r="B56" s="398" t="s">
        <v>249</v>
      </c>
      <c r="C56" s="407">
        <v>4.21</v>
      </c>
      <c r="D56" s="407"/>
      <c r="E56" s="407">
        <f>MAX(C56:C60)</f>
        <v>4.21</v>
      </c>
      <c r="F56" s="407">
        <f>MAX(D56:D60)</f>
        <v>0</v>
      </c>
      <c r="G56" s="407">
        <f>MIN(C56:C60)</f>
        <v>1</v>
      </c>
      <c r="H56" s="321"/>
      <c r="I56" s="321">
        <f t="shared" si="0"/>
        <v>0</v>
      </c>
    </row>
    <row r="57" spans="1:9" ht="15.75">
      <c r="A57" s="397"/>
      <c r="B57" s="398" t="s">
        <v>250</v>
      </c>
      <c r="C57" s="407">
        <v>3.55</v>
      </c>
      <c r="D57" s="407"/>
      <c r="E57" s="407"/>
      <c r="F57" s="407"/>
      <c r="G57" s="407"/>
      <c r="H57" s="321"/>
      <c r="I57" s="321">
        <f t="shared" si="0"/>
        <v>0</v>
      </c>
    </row>
    <row r="58" spans="1:9" ht="15.75">
      <c r="A58" s="397"/>
      <c r="B58" s="398" t="s">
        <v>251</v>
      </c>
      <c r="C58" s="407">
        <v>2.31</v>
      </c>
      <c r="D58" s="407"/>
      <c r="E58" s="407"/>
      <c r="F58" s="407"/>
      <c r="G58" s="407"/>
      <c r="H58" s="321"/>
      <c r="I58" s="321">
        <f t="shared" si="0"/>
        <v>0</v>
      </c>
    </row>
    <row r="59" spans="1:9" ht="15.75">
      <c r="A59" s="397"/>
      <c r="B59" s="398" t="s">
        <v>252</v>
      </c>
      <c r="C59" s="407">
        <v>1.66</v>
      </c>
      <c r="D59" s="407"/>
      <c r="E59" s="407"/>
      <c r="F59" s="407"/>
      <c r="G59" s="407"/>
      <c r="H59" s="321"/>
      <c r="I59" s="321">
        <f t="shared" si="0"/>
        <v>0</v>
      </c>
    </row>
    <row r="60" spans="1:9" ht="15.75">
      <c r="A60" s="397"/>
      <c r="B60" s="398" t="s">
        <v>253</v>
      </c>
      <c r="C60" s="407">
        <v>1</v>
      </c>
      <c r="D60" s="407"/>
      <c r="E60" s="407"/>
      <c r="F60" s="407"/>
      <c r="G60" s="407"/>
      <c r="H60" s="321">
        <v>100</v>
      </c>
      <c r="I60" s="321">
        <f t="shared" si="0"/>
        <v>1</v>
      </c>
    </row>
    <row r="61" spans="1:9" ht="15.75">
      <c r="A61" s="321"/>
      <c r="B61" s="413" t="s">
        <v>254</v>
      </c>
      <c r="C61" s="414">
        <f>SUM(C4:C60)</f>
        <v>216.69</v>
      </c>
      <c r="D61" s="414">
        <f>SUM(D4:D60)</f>
        <v>0</v>
      </c>
      <c r="E61" s="414">
        <f>SUM(E4:E60)</f>
        <v>102.25</v>
      </c>
      <c r="F61" s="414">
        <f>SUM(F4:F60)</f>
        <v>0</v>
      </c>
      <c r="G61" s="414">
        <f>SUM(G4:G60)</f>
        <v>10.199999999999999</v>
      </c>
      <c r="H61" s="414"/>
      <c r="I61" s="414">
        <f>ROUND(SUM(I4:I60),2)</f>
        <v>31.26</v>
      </c>
    </row>
    <row r="62" spans="1:9" ht="47.25">
      <c r="A62" s="321"/>
      <c r="B62" s="413" t="s">
        <v>255</v>
      </c>
      <c r="C62" s="415"/>
      <c r="D62" s="416">
        <f>IF(D61&gt;0,(79.87*D61+695.33),0)</f>
        <v>0</v>
      </c>
      <c r="E62" s="416">
        <f>IF(E61&gt;0,(79.87*E61+695.33),0)</f>
        <v>8862.0375000000004</v>
      </c>
      <c r="F62" s="416">
        <f>IF(F61&gt;0,(79.87*F61+695.33),0)</f>
        <v>0</v>
      </c>
      <c r="G62" s="416">
        <f>IF(G61&gt;0,(79.87*G61+695.33),0)</f>
        <v>1510.0039999999999</v>
      </c>
      <c r="H62" s="415"/>
      <c r="I62" s="416">
        <f>IF(I61&gt;0,(79.87*I61+695.33),0)</f>
        <v>3192.0662000000002</v>
      </c>
    </row>
    <row r="63" spans="1:9" ht="15.75">
      <c r="A63" s="321"/>
      <c r="B63" s="413" t="s">
        <v>256</v>
      </c>
      <c r="C63" s="415"/>
      <c r="D63" s="415"/>
      <c r="E63" s="415"/>
      <c r="F63" s="415"/>
      <c r="G63" s="415"/>
      <c r="H63" s="415"/>
      <c r="I63" s="415"/>
    </row>
    <row r="64" spans="1:9" ht="47.25">
      <c r="A64" s="321"/>
      <c r="B64" s="413" t="s">
        <v>255</v>
      </c>
      <c r="C64" s="415"/>
      <c r="D64" s="415"/>
      <c r="E64" s="415"/>
      <c r="F64" s="415"/>
      <c r="G64" s="415"/>
      <c r="H64" s="415"/>
      <c r="I64" s="416">
        <f>(1-H63%)*I62</f>
        <v>3192.0662000000002</v>
      </c>
    </row>
    <row r="65" spans="1:9" ht="15.75">
      <c r="A65" s="321"/>
      <c r="B65" s="413" t="s">
        <v>257</v>
      </c>
      <c r="C65" s="415"/>
      <c r="D65" s="415"/>
      <c r="E65" s="415"/>
      <c r="F65" s="415"/>
      <c r="G65" s="415"/>
      <c r="H65" s="415"/>
      <c r="I65" s="415" t="e">
        <f>#REF!+#REF!+#REF!</f>
        <v>#REF!</v>
      </c>
    </row>
    <row r="66" spans="1:9">
      <c r="A66" s="321"/>
      <c r="B66" s="415" t="s">
        <v>258</v>
      </c>
      <c r="C66" s="415"/>
      <c r="D66" s="415"/>
      <c r="E66" s="415"/>
      <c r="F66" s="415"/>
      <c r="G66" s="415"/>
      <c r="H66" s="415"/>
      <c r="I66" s="416" t="e">
        <f>I64*I65</f>
        <v>#REF!</v>
      </c>
    </row>
  </sheetData>
  <mergeCells count="1">
    <mergeCell ref="B2:I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182"/>
  <sheetViews>
    <sheetView topLeftCell="A169" workbookViewId="0">
      <selection activeCell="G182" sqref="G182"/>
    </sheetView>
  </sheetViews>
  <sheetFormatPr defaultColWidth="9" defaultRowHeight="15"/>
  <cols>
    <col min="2" max="2" width="27" customWidth="1"/>
    <col min="4" max="4" width="10.5703125" hidden="1" customWidth="1"/>
    <col min="5" max="5" width="9.5703125" hidden="1" customWidth="1"/>
    <col min="7" max="8" width="13.28515625" customWidth="1"/>
    <col min="9" max="9" width="11.5703125" customWidth="1"/>
  </cols>
  <sheetData>
    <row r="1" spans="1:7" ht="41.25" customHeight="1"/>
    <row r="2" spans="1:7">
      <c r="A2" s="321" t="s">
        <v>193</v>
      </c>
      <c r="B2" s="484" t="s">
        <v>194</v>
      </c>
      <c r="C2" s="485"/>
      <c r="D2" s="485"/>
      <c r="E2" s="485"/>
      <c r="F2" s="485"/>
      <c r="G2" s="486"/>
    </row>
    <row r="3" spans="1:7" ht="15.75">
      <c r="A3" s="321">
        <v>1</v>
      </c>
      <c r="B3" s="393" t="s">
        <v>195</v>
      </c>
      <c r="C3" s="321" t="s">
        <v>196</v>
      </c>
      <c r="D3" s="321" t="s">
        <v>170</v>
      </c>
      <c r="E3" s="321" t="s">
        <v>171</v>
      </c>
      <c r="F3" s="321"/>
      <c r="G3" s="321"/>
    </row>
    <row r="4" spans="1:7" ht="32.25" customHeight="1">
      <c r="A4" s="397"/>
      <c r="B4" s="398" t="s">
        <v>259</v>
      </c>
      <c r="C4" s="398">
        <v>1.31</v>
      </c>
      <c r="D4" s="398">
        <f>MAX(C4:C8)</f>
        <v>8.3000000000000007</v>
      </c>
      <c r="E4" s="398">
        <f>MIN(C4:C8)</f>
        <v>1.31</v>
      </c>
      <c r="F4" s="321"/>
      <c r="G4" s="321">
        <f>$C4*F4/100</f>
        <v>0</v>
      </c>
    </row>
    <row r="5" spans="1:7" ht="32.25" customHeight="1">
      <c r="A5" s="397"/>
      <c r="B5" s="398" t="s">
        <v>260</v>
      </c>
      <c r="C5" s="407">
        <v>1.48</v>
      </c>
      <c r="D5" s="407"/>
      <c r="E5" s="407"/>
      <c r="F5" s="321"/>
      <c r="G5" s="321">
        <f t="shared" ref="G5:G175" si="0">$C5*F5/100</f>
        <v>0</v>
      </c>
    </row>
    <row r="6" spans="1:7" ht="46.5" customHeight="1">
      <c r="A6" s="397"/>
      <c r="B6" s="398" t="s">
        <v>261</v>
      </c>
      <c r="C6" s="407">
        <v>2.85</v>
      </c>
      <c r="D6" s="407"/>
      <c r="E6" s="407"/>
      <c r="F6" s="321"/>
      <c r="G6" s="321">
        <f t="shared" si="0"/>
        <v>0</v>
      </c>
    </row>
    <row r="7" spans="1:7" ht="46.5" customHeight="1">
      <c r="A7" s="397"/>
      <c r="B7" s="398" t="s">
        <v>262</v>
      </c>
      <c r="C7" s="407">
        <v>5.53</v>
      </c>
      <c r="D7" s="407"/>
      <c r="E7" s="407"/>
      <c r="F7" s="321"/>
      <c r="G7" s="321">
        <f t="shared" si="0"/>
        <v>0</v>
      </c>
    </row>
    <row r="8" spans="1:7" ht="46.5" customHeight="1">
      <c r="A8" s="397"/>
      <c r="B8" s="398" t="s">
        <v>263</v>
      </c>
      <c r="C8" s="407">
        <v>8.3000000000000007</v>
      </c>
      <c r="D8" s="407"/>
      <c r="E8" s="407"/>
      <c r="F8" s="321">
        <v>100</v>
      </c>
      <c r="G8" s="321">
        <f t="shared" si="0"/>
        <v>8.3000000000000007</v>
      </c>
    </row>
    <row r="9" spans="1:7" ht="15.75">
      <c r="A9" s="321">
        <v>2</v>
      </c>
      <c r="B9" s="408" t="s">
        <v>201</v>
      </c>
      <c r="C9" s="407"/>
      <c r="D9" s="407"/>
      <c r="E9" s="407"/>
      <c r="F9" s="321"/>
      <c r="G9" s="321">
        <f t="shared" si="0"/>
        <v>0</v>
      </c>
    </row>
    <row r="10" spans="1:7" ht="46.5" customHeight="1">
      <c r="A10" s="397"/>
      <c r="B10" s="398" t="s">
        <v>264</v>
      </c>
      <c r="C10" s="407"/>
      <c r="D10" s="398">
        <f>MAX(C10:C12)</f>
        <v>9.19</v>
      </c>
      <c r="E10" s="398">
        <f>MIN(C10:C12)</f>
        <v>4.2</v>
      </c>
      <c r="F10" s="321"/>
      <c r="G10" s="321">
        <f t="shared" si="0"/>
        <v>0</v>
      </c>
    </row>
    <row r="11" spans="1:7" ht="46.5" customHeight="1">
      <c r="A11" s="397"/>
      <c r="B11" s="398" t="s">
        <v>265</v>
      </c>
      <c r="C11" s="407">
        <v>4.2</v>
      </c>
      <c r="D11" s="407"/>
      <c r="E11" s="407"/>
      <c r="F11" s="321">
        <v>100</v>
      </c>
      <c r="G11" s="321">
        <f t="shared" si="0"/>
        <v>4.2</v>
      </c>
    </row>
    <row r="12" spans="1:7" ht="46.5" customHeight="1">
      <c r="A12" s="397"/>
      <c r="B12" s="398" t="s">
        <v>266</v>
      </c>
      <c r="C12" s="407">
        <v>9.19</v>
      </c>
      <c r="D12" s="407"/>
      <c r="E12" s="407"/>
      <c r="F12" s="321"/>
      <c r="G12" s="321">
        <f t="shared" si="0"/>
        <v>0</v>
      </c>
    </row>
    <row r="13" spans="1:7" ht="15.75">
      <c r="A13" s="321">
        <v>3</v>
      </c>
      <c r="B13" s="408" t="s">
        <v>267</v>
      </c>
      <c r="C13" s="407"/>
      <c r="D13" s="407"/>
      <c r="E13" s="407"/>
      <c r="F13" s="321"/>
      <c r="G13" s="321">
        <f t="shared" si="0"/>
        <v>0</v>
      </c>
    </row>
    <row r="14" spans="1:7" ht="15.75">
      <c r="A14" s="321"/>
      <c r="B14" s="408" t="s">
        <v>268</v>
      </c>
      <c r="C14" s="407"/>
      <c r="D14" s="407"/>
      <c r="E14" s="407"/>
      <c r="F14" s="321"/>
      <c r="G14" s="321">
        <f t="shared" si="0"/>
        <v>0</v>
      </c>
    </row>
    <row r="15" spans="1:7" ht="15.75">
      <c r="A15" s="397"/>
      <c r="B15" s="398" t="s">
        <v>269</v>
      </c>
      <c r="C15" s="407">
        <v>0.48</v>
      </c>
      <c r="D15" s="398">
        <f>MAX(C15:C26)</f>
        <v>6.92</v>
      </c>
      <c r="E15" s="398">
        <f>MIN(C15:C38)</f>
        <v>0.48</v>
      </c>
      <c r="F15" s="321"/>
      <c r="G15" s="321">
        <f t="shared" si="0"/>
        <v>0</v>
      </c>
    </row>
    <row r="16" spans="1:7" ht="15.75">
      <c r="A16" s="397"/>
      <c r="B16" s="398" t="s">
        <v>270</v>
      </c>
      <c r="C16" s="407">
        <v>0.75</v>
      </c>
      <c r="D16" s="407"/>
      <c r="E16" s="407"/>
      <c r="F16" s="321"/>
      <c r="G16" s="321">
        <f t="shared" si="0"/>
        <v>0</v>
      </c>
    </row>
    <row r="17" spans="1:7" ht="32.25" customHeight="1">
      <c r="A17" s="397"/>
      <c r="B17" s="398" t="s">
        <v>271</v>
      </c>
      <c r="C17" s="407">
        <v>0.71</v>
      </c>
      <c r="D17" s="407"/>
      <c r="E17" s="407"/>
      <c r="F17" s="321"/>
      <c r="G17" s="321">
        <f t="shared" si="0"/>
        <v>0</v>
      </c>
    </row>
    <row r="18" spans="1:7" ht="31.5" customHeight="1">
      <c r="A18" s="397"/>
      <c r="B18" s="398" t="s">
        <v>272</v>
      </c>
      <c r="C18" s="407">
        <v>0.96</v>
      </c>
      <c r="D18" s="407"/>
      <c r="E18" s="407"/>
      <c r="F18" s="321"/>
      <c r="G18" s="321">
        <f t="shared" si="0"/>
        <v>0</v>
      </c>
    </row>
    <row r="19" spans="1:7" ht="31.5" customHeight="1">
      <c r="A19" s="397"/>
      <c r="B19" s="398" t="s">
        <v>273</v>
      </c>
      <c r="C19" s="407">
        <v>0.69</v>
      </c>
      <c r="D19" s="407"/>
      <c r="E19" s="407"/>
      <c r="F19" s="321">
        <v>100</v>
      </c>
      <c r="G19" s="321">
        <f t="shared" si="0"/>
        <v>0.69</v>
      </c>
    </row>
    <row r="20" spans="1:7" ht="31.5" customHeight="1">
      <c r="A20" s="397"/>
      <c r="B20" s="398" t="s">
        <v>274</v>
      </c>
      <c r="C20" s="407">
        <v>2.2000000000000002</v>
      </c>
      <c r="D20" s="407"/>
      <c r="E20" s="407"/>
      <c r="F20" s="321"/>
      <c r="G20" s="321">
        <f t="shared" si="0"/>
        <v>0</v>
      </c>
    </row>
    <row r="21" spans="1:7" ht="31.5" customHeight="1">
      <c r="A21" s="397"/>
      <c r="B21" s="398" t="s">
        <v>275</v>
      </c>
      <c r="C21" s="407">
        <v>1.21</v>
      </c>
      <c r="D21" s="407"/>
      <c r="E21" s="407"/>
      <c r="F21" s="321"/>
      <c r="G21" s="321">
        <f t="shared" si="0"/>
        <v>0</v>
      </c>
    </row>
    <row r="22" spans="1:7" ht="31.5" customHeight="1">
      <c r="A22" s="397"/>
      <c r="B22" s="398" t="s">
        <v>276</v>
      </c>
      <c r="C22" s="407">
        <v>1.03</v>
      </c>
      <c r="D22" s="407"/>
      <c r="E22" s="407"/>
      <c r="F22" s="321"/>
      <c r="G22" s="321">
        <f t="shared" si="0"/>
        <v>0</v>
      </c>
    </row>
    <row r="23" spans="1:7" ht="31.5" customHeight="1">
      <c r="A23" s="397"/>
      <c r="B23" s="398" t="s">
        <v>277</v>
      </c>
      <c r="C23" s="407">
        <v>6.92</v>
      </c>
      <c r="D23" s="407"/>
      <c r="E23" s="407"/>
      <c r="F23" s="321"/>
      <c r="G23" s="321">
        <f t="shared" si="0"/>
        <v>0</v>
      </c>
    </row>
    <row r="24" spans="1:7" ht="31.5" customHeight="1">
      <c r="A24" s="397"/>
      <c r="B24" s="398" t="s">
        <v>278</v>
      </c>
      <c r="C24" s="407">
        <v>0.55000000000000004</v>
      </c>
      <c r="D24" s="407"/>
      <c r="E24" s="407"/>
      <c r="F24" s="321"/>
      <c r="G24" s="321">
        <f t="shared" si="0"/>
        <v>0</v>
      </c>
    </row>
    <row r="25" spans="1:7" ht="31.5" customHeight="1">
      <c r="A25" s="397"/>
      <c r="B25" s="398" t="s">
        <v>279</v>
      </c>
      <c r="C25" s="407">
        <v>0.65</v>
      </c>
      <c r="D25" s="407"/>
      <c r="E25" s="407"/>
      <c r="F25" s="321"/>
      <c r="G25" s="321">
        <f t="shared" si="0"/>
        <v>0</v>
      </c>
    </row>
    <row r="26" spans="1:7" ht="31.5">
      <c r="A26" s="397"/>
      <c r="B26" s="398" t="s">
        <v>280</v>
      </c>
      <c r="C26" s="407">
        <v>1.1200000000000001</v>
      </c>
      <c r="D26" s="407"/>
      <c r="E26" s="407"/>
      <c r="F26" s="321"/>
      <c r="G26" s="321">
        <f t="shared" si="0"/>
        <v>0</v>
      </c>
    </row>
    <row r="27" spans="1:7" ht="15.75">
      <c r="A27" s="321"/>
      <c r="B27" s="408" t="s">
        <v>281</v>
      </c>
      <c r="C27" s="407"/>
      <c r="D27" s="407"/>
      <c r="E27" s="407"/>
      <c r="F27" s="321"/>
      <c r="G27" s="321">
        <f t="shared" si="0"/>
        <v>0</v>
      </c>
    </row>
    <row r="28" spans="1:7" ht="15.75">
      <c r="A28" s="397"/>
      <c r="B28" s="398" t="s">
        <v>282</v>
      </c>
      <c r="C28" s="407">
        <v>0.93</v>
      </c>
      <c r="D28" s="398">
        <f>MAX(C28:C38)</f>
        <v>18.59</v>
      </c>
      <c r="E28" s="398">
        <f>MIN(C28:C38)</f>
        <v>0.93</v>
      </c>
      <c r="F28" s="321"/>
      <c r="G28" s="321">
        <f t="shared" si="0"/>
        <v>0</v>
      </c>
    </row>
    <row r="29" spans="1:7" ht="15.75">
      <c r="A29" s="397"/>
      <c r="B29" s="398" t="s">
        <v>283</v>
      </c>
      <c r="C29" s="407">
        <v>1.44</v>
      </c>
      <c r="D29" s="407"/>
      <c r="E29" s="407"/>
      <c r="F29" s="321"/>
      <c r="G29" s="321">
        <f t="shared" si="0"/>
        <v>0</v>
      </c>
    </row>
    <row r="30" spans="1:7" ht="15.75">
      <c r="A30" s="397"/>
      <c r="B30" s="398" t="s">
        <v>284</v>
      </c>
      <c r="C30" s="407">
        <v>1.37</v>
      </c>
      <c r="D30" s="407"/>
      <c r="E30" s="407"/>
      <c r="F30" s="321"/>
      <c r="G30" s="321">
        <f t="shared" si="0"/>
        <v>0</v>
      </c>
    </row>
    <row r="31" spans="1:7" ht="15.75">
      <c r="A31" s="397"/>
      <c r="B31" s="398" t="s">
        <v>285</v>
      </c>
      <c r="C31" s="407">
        <v>1.86</v>
      </c>
      <c r="D31" s="407"/>
      <c r="E31" s="407"/>
      <c r="F31" s="321"/>
      <c r="G31" s="321">
        <f t="shared" si="0"/>
        <v>0</v>
      </c>
    </row>
    <row r="32" spans="1:7" ht="15.75">
      <c r="A32" s="397"/>
      <c r="B32" s="398" t="s">
        <v>286</v>
      </c>
      <c r="C32" s="407">
        <v>2.33</v>
      </c>
      <c r="D32" s="407"/>
      <c r="E32" s="407"/>
      <c r="F32" s="321"/>
      <c r="G32" s="321">
        <f t="shared" si="0"/>
        <v>0</v>
      </c>
    </row>
    <row r="33" spans="1:7" ht="15.75">
      <c r="A33" s="397"/>
      <c r="B33" s="398" t="s">
        <v>287</v>
      </c>
      <c r="C33" s="407">
        <v>1.35</v>
      </c>
      <c r="D33" s="407"/>
      <c r="E33" s="407"/>
      <c r="F33" s="321">
        <v>100</v>
      </c>
      <c r="G33" s="321">
        <f t="shared" si="0"/>
        <v>1.35</v>
      </c>
    </row>
    <row r="34" spans="1:7" ht="15.75">
      <c r="A34" s="397"/>
      <c r="B34" s="398" t="s">
        <v>288</v>
      </c>
      <c r="C34" s="407">
        <v>8.7100000000000009</v>
      </c>
      <c r="D34" s="407"/>
      <c r="E34" s="407"/>
      <c r="F34" s="321"/>
      <c r="G34" s="321">
        <f t="shared" si="0"/>
        <v>0</v>
      </c>
    </row>
    <row r="35" spans="1:7" ht="15.75">
      <c r="A35" s="397"/>
      <c r="B35" s="398" t="s">
        <v>289</v>
      </c>
      <c r="C35" s="407">
        <v>2.34</v>
      </c>
      <c r="D35" s="407"/>
      <c r="E35" s="407"/>
      <c r="F35" s="321"/>
      <c r="G35" s="321">
        <f t="shared" si="0"/>
        <v>0</v>
      </c>
    </row>
    <row r="36" spans="1:7" ht="15.75">
      <c r="A36" s="397"/>
      <c r="B36" s="398" t="s">
        <v>290</v>
      </c>
      <c r="C36" s="407">
        <v>2.93</v>
      </c>
      <c r="D36" s="407"/>
      <c r="E36" s="407"/>
      <c r="F36" s="321"/>
      <c r="G36" s="321">
        <f t="shared" si="0"/>
        <v>0</v>
      </c>
    </row>
    <row r="37" spans="1:7" ht="15.75">
      <c r="A37" s="397"/>
      <c r="B37" s="398" t="s">
        <v>291</v>
      </c>
      <c r="C37" s="407">
        <v>13.8</v>
      </c>
      <c r="D37" s="407"/>
      <c r="E37" s="407"/>
      <c r="F37" s="321"/>
      <c r="G37" s="321">
        <f t="shared" si="0"/>
        <v>0</v>
      </c>
    </row>
    <row r="38" spans="1:7" ht="63">
      <c r="A38" s="397"/>
      <c r="B38" s="398" t="s">
        <v>292</v>
      </c>
      <c r="C38" s="407">
        <v>18.59</v>
      </c>
      <c r="D38" s="407"/>
      <c r="E38" s="407"/>
      <c r="F38" s="321"/>
      <c r="G38" s="321">
        <f t="shared" si="0"/>
        <v>0</v>
      </c>
    </row>
    <row r="39" spans="1:7" ht="15.75">
      <c r="A39" s="321">
        <v>4</v>
      </c>
      <c r="B39" s="408" t="s">
        <v>214</v>
      </c>
      <c r="C39" s="407"/>
      <c r="D39" s="407"/>
      <c r="E39" s="407"/>
      <c r="F39" s="321"/>
      <c r="G39" s="321">
        <f t="shared" si="0"/>
        <v>0</v>
      </c>
    </row>
    <row r="40" spans="1:7" ht="15.75">
      <c r="A40" s="397"/>
      <c r="B40" s="398" t="s">
        <v>293</v>
      </c>
      <c r="C40" s="407">
        <v>1.6</v>
      </c>
      <c r="D40" s="398">
        <f>MAX(C40:C54)</f>
        <v>4.9800000000000004</v>
      </c>
      <c r="E40" s="398">
        <f>MIN(C40:C54)</f>
        <v>1.6</v>
      </c>
      <c r="F40" s="321"/>
      <c r="G40" s="321">
        <f t="shared" si="0"/>
        <v>0</v>
      </c>
    </row>
    <row r="41" spans="1:7" ht="15.75">
      <c r="A41" s="397"/>
      <c r="B41" s="410" t="s">
        <v>294</v>
      </c>
      <c r="C41" s="407">
        <v>1.61</v>
      </c>
      <c r="D41" s="407"/>
      <c r="E41" s="407"/>
      <c r="F41" s="321"/>
      <c r="G41" s="321">
        <f t="shared" si="0"/>
        <v>0</v>
      </c>
    </row>
    <row r="42" spans="1:7" ht="15.75">
      <c r="A42" s="397"/>
      <c r="B42" s="410" t="s">
        <v>295</v>
      </c>
      <c r="C42" s="407">
        <v>1.97</v>
      </c>
      <c r="D42" s="407"/>
      <c r="E42" s="407"/>
      <c r="F42" s="321">
        <v>100</v>
      </c>
      <c r="G42" s="321">
        <f t="shared" si="0"/>
        <v>1.97</v>
      </c>
    </row>
    <row r="43" spans="1:7" ht="15.75">
      <c r="A43" s="397"/>
      <c r="B43" s="410" t="s">
        <v>296</v>
      </c>
      <c r="C43" s="407">
        <v>3.24</v>
      </c>
      <c r="D43" s="407"/>
      <c r="E43" s="407"/>
      <c r="F43" s="321"/>
      <c r="G43" s="321">
        <f t="shared" si="0"/>
        <v>0</v>
      </c>
    </row>
    <row r="44" spans="1:7" ht="15.75">
      <c r="A44" s="397"/>
      <c r="B44" s="410" t="s">
        <v>297</v>
      </c>
      <c r="C44" s="407">
        <v>2.16</v>
      </c>
      <c r="D44" s="407"/>
      <c r="E44" s="407"/>
      <c r="F44" s="321"/>
      <c r="G44" s="321">
        <f t="shared" si="0"/>
        <v>0</v>
      </c>
    </row>
    <row r="45" spans="1:7" ht="15.75">
      <c r="A45" s="397"/>
      <c r="B45" s="410" t="s">
        <v>298</v>
      </c>
      <c r="C45" s="407">
        <v>2.95</v>
      </c>
      <c r="D45" s="407"/>
      <c r="E45" s="407"/>
      <c r="F45" s="321"/>
      <c r="G45" s="321">
        <f t="shared" si="0"/>
        <v>0</v>
      </c>
    </row>
    <row r="46" spans="1:7" ht="15.75">
      <c r="A46" s="397"/>
      <c r="B46" s="410" t="s">
        <v>299</v>
      </c>
      <c r="C46" s="407">
        <v>2.46</v>
      </c>
      <c r="D46" s="407"/>
      <c r="E46" s="407"/>
      <c r="F46" s="321"/>
      <c r="G46" s="321">
        <f t="shared" si="0"/>
        <v>0</v>
      </c>
    </row>
    <row r="47" spans="1:7" ht="31.5">
      <c r="A47" s="397"/>
      <c r="B47" s="410" t="s">
        <v>300</v>
      </c>
      <c r="C47" s="407">
        <v>3.73</v>
      </c>
      <c r="D47" s="407"/>
      <c r="E47" s="407"/>
      <c r="F47" s="321"/>
      <c r="G47" s="321">
        <f t="shared" si="0"/>
        <v>0</v>
      </c>
    </row>
    <row r="48" spans="1:7" ht="47.25">
      <c r="A48" s="397"/>
      <c r="B48" s="410" t="s">
        <v>301</v>
      </c>
      <c r="C48" s="407">
        <v>2.99</v>
      </c>
      <c r="D48" s="407"/>
      <c r="E48" s="407"/>
      <c r="F48" s="321"/>
      <c r="G48" s="321">
        <f t="shared" si="0"/>
        <v>0</v>
      </c>
    </row>
    <row r="49" spans="1:7" ht="31.5">
      <c r="A49" s="397"/>
      <c r="B49" s="410" t="s">
        <v>302</v>
      </c>
      <c r="C49" s="407">
        <v>4.9800000000000004</v>
      </c>
      <c r="D49" s="407"/>
      <c r="E49" s="407"/>
      <c r="F49" s="321"/>
      <c r="G49" s="321">
        <f t="shared" si="0"/>
        <v>0</v>
      </c>
    </row>
    <row r="50" spans="1:7" ht="31.5">
      <c r="A50" s="397"/>
      <c r="B50" s="410" t="s">
        <v>303</v>
      </c>
      <c r="C50" s="407">
        <v>3.48</v>
      </c>
      <c r="D50" s="407"/>
      <c r="E50" s="407"/>
      <c r="F50" s="321"/>
      <c r="G50" s="321">
        <f t="shared" si="0"/>
        <v>0</v>
      </c>
    </row>
    <row r="51" spans="1:7" ht="47.25">
      <c r="A51" s="397"/>
      <c r="B51" s="410" t="s">
        <v>304</v>
      </c>
      <c r="C51" s="407">
        <v>3.28</v>
      </c>
      <c r="D51" s="407"/>
      <c r="E51" s="407"/>
      <c r="F51" s="321"/>
      <c r="G51" s="321">
        <f t="shared" si="0"/>
        <v>0</v>
      </c>
    </row>
    <row r="52" spans="1:7" ht="47.25">
      <c r="A52" s="397"/>
      <c r="B52" s="410" t="s">
        <v>305</v>
      </c>
      <c r="C52" s="407">
        <v>2.04</v>
      </c>
      <c r="D52" s="407"/>
      <c r="E52" s="407"/>
      <c r="F52" s="321"/>
      <c r="G52" s="321">
        <f t="shared" si="0"/>
        <v>0</v>
      </c>
    </row>
    <row r="53" spans="1:7" ht="47.25">
      <c r="A53" s="397"/>
      <c r="B53" s="410" t="s">
        <v>306</v>
      </c>
      <c r="C53" s="407">
        <v>4.92</v>
      </c>
      <c r="D53" s="407"/>
      <c r="E53" s="407"/>
      <c r="F53" s="321"/>
      <c r="G53" s="321">
        <f t="shared" si="0"/>
        <v>0</v>
      </c>
    </row>
    <row r="54" spans="1:7" ht="47.25">
      <c r="A54" s="397"/>
      <c r="B54" s="410" t="s">
        <v>307</v>
      </c>
      <c r="C54" s="407">
        <v>3.06</v>
      </c>
      <c r="D54" s="407"/>
      <c r="E54" s="407"/>
      <c r="F54" s="321"/>
      <c r="G54" s="321">
        <f t="shared" si="0"/>
        <v>0</v>
      </c>
    </row>
    <row r="55" spans="1:7" ht="15.75">
      <c r="A55" s="321">
        <v>5</v>
      </c>
      <c r="B55" s="408" t="s">
        <v>218</v>
      </c>
      <c r="C55" s="407"/>
      <c r="D55" s="407"/>
      <c r="E55" s="407"/>
      <c r="F55" s="321"/>
      <c r="G55" s="321">
        <f t="shared" si="0"/>
        <v>0</v>
      </c>
    </row>
    <row r="56" spans="1:7" ht="31.5" customHeight="1">
      <c r="A56" s="397"/>
      <c r="B56" s="398" t="s">
        <v>308</v>
      </c>
      <c r="C56" s="407">
        <v>1.07</v>
      </c>
      <c r="D56" s="398">
        <f>MAX(C56:C62)</f>
        <v>4.58</v>
      </c>
      <c r="E56" s="398">
        <f>MIN(C56:C62)</f>
        <v>1.07</v>
      </c>
      <c r="F56" s="321"/>
      <c r="G56" s="321">
        <f t="shared" si="0"/>
        <v>0</v>
      </c>
    </row>
    <row r="57" spans="1:7" ht="31.5" customHeight="1">
      <c r="A57" s="397"/>
      <c r="B57" s="398" t="s">
        <v>309</v>
      </c>
      <c r="C57" s="407">
        <v>1.3</v>
      </c>
      <c r="D57" s="407"/>
      <c r="E57" s="407"/>
      <c r="F57" s="321">
        <v>100</v>
      </c>
      <c r="G57" s="321">
        <f t="shared" si="0"/>
        <v>1.3</v>
      </c>
    </row>
    <row r="58" spans="1:7" ht="31.5" customHeight="1">
      <c r="A58" s="397"/>
      <c r="B58" s="398" t="s">
        <v>310</v>
      </c>
      <c r="C58" s="407">
        <v>2.35</v>
      </c>
      <c r="D58" s="407"/>
      <c r="E58" s="407"/>
      <c r="F58" s="321"/>
      <c r="G58" s="321">
        <f t="shared" si="0"/>
        <v>0</v>
      </c>
    </row>
    <row r="59" spans="1:7" ht="31.5" customHeight="1">
      <c r="A59" s="397"/>
      <c r="B59" s="398" t="s">
        <v>311</v>
      </c>
      <c r="C59" s="407">
        <v>2.72</v>
      </c>
      <c r="D59" s="407"/>
      <c r="E59" s="407"/>
      <c r="F59" s="321"/>
      <c r="G59" s="321">
        <f t="shared" si="0"/>
        <v>0</v>
      </c>
    </row>
    <row r="60" spans="1:7" ht="31.5" customHeight="1">
      <c r="A60" s="397"/>
      <c r="B60" s="398" t="s">
        <v>312</v>
      </c>
      <c r="C60" s="407">
        <v>2.86</v>
      </c>
      <c r="D60" s="407"/>
      <c r="E60" s="407"/>
      <c r="F60" s="321"/>
      <c r="G60" s="321">
        <f t="shared" si="0"/>
        <v>0</v>
      </c>
    </row>
    <row r="61" spans="1:7" ht="31.5" customHeight="1">
      <c r="A61" s="397"/>
      <c r="B61" s="398" t="s">
        <v>313</v>
      </c>
      <c r="C61" s="407">
        <v>4.3499999999999996</v>
      </c>
      <c r="D61" s="407"/>
      <c r="E61" s="407"/>
      <c r="F61" s="321"/>
      <c r="G61" s="321">
        <f t="shared" si="0"/>
        <v>0</v>
      </c>
    </row>
    <row r="62" spans="1:7" ht="31.5" customHeight="1">
      <c r="A62" s="397"/>
      <c r="B62" s="398" t="s">
        <v>314</v>
      </c>
      <c r="C62" s="407">
        <v>4.58</v>
      </c>
      <c r="D62" s="407"/>
      <c r="E62" s="407"/>
      <c r="F62" s="321"/>
      <c r="G62" s="321">
        <f t="shared" si="0"/>
        <v>0</v>
      </c>
    </row>
    <row r="63" spans="1:7" ht="15.75">
      <c r="A63" s="321">
        <v>6</v>
      </c>
      <c r="B63" s="408" t="s">
        <v>221</v>
      </c>
      <c r="C63" s="407"/>
      <c r="D63" s="407"/>
      <c r="E63" s="407"/>
      <c r="F63" s="321"/>
      <c r="G63" s="321">
        <f t="shared" si="0"/>
        <v>0</v>
      </c>
    </row>
    <row r="64" spans="1:7" ht="15.75" customHeight="1">
      <c r="A64" s="397"/>
      <c r="B64" s="398" t="s">
        <v>315</v>
      </c>
      <c r="C64" s="407">
        <v>2.5499999999999998</v>
      </c>
      <c r="D64" s="398">
        <f>MAX(C64:C76)</f>
        <v>4.13</v>
      </c>
      <c r="E64" s="398">
        <f>MIN(C64:C76)</f>
        <v>1.92</v>
      </c>
      <c r="F64" s="321"/>
      <c r="G64" s="321">
        <f t="shared" si="0"/>
        <v>0</v>
      </c>
    </row>
    <row r="65" spans="1:7" ht="15.75" customHeight="1">
      <c r="A65" s="397"/>
      <c r="B65" s="398" t="s">
        <v>316</v>
      </c>
      <c r="C65" s="407">
        <v>2.65</v>
      </c>
      <c r="D65" s="407"/>
      <c r="E65" s="407"/>
      <c r="F65" s="321"/>
      <c r="G65" s="321">
        <f t="shared" si="0"/>
        <v>0</v>
      </c>
    </row>
    <row r="66" spans="1:7" ht="15.75" customHeight="1">
      <c r="A66" s="397"/>
      <c r="B66" s="398" t="s">
        <v>317</v>
      </c>
      <c r="C66" s="407">
        <v>2.64</v>
      </c>
      <c r="D66" s="407"/>
      <c r="E66" s="407"/>
      <c r="F66" s="321">
        <v>100</v>
      </c>
      <c r="G66" s="321">
        <f t="shared" si="0"/>
        <v>2.64</v>
      </c>
    </row>
    <row r="67" spans="1:7" ht="15.75" customHeight="1">
      <c r="A67" s="397"/>
      <c r="B67" s="398" t="s">
        <v>318</v>
      </c>
      <c r="C67" s="407">
        <v>3</v>
      </c>
      <c r="D67" s="407"/>
      <c r="E67" s="407"/>
      <c r="F67" s="321"/>
      <c r="G67" s="321">
        <f t="shared" si="0"/>
        <v>0</v>
      </c>
    </row>
    <row r="68" spans="1:7" ht="15.75" customHeight="1">
      <c r="A68" s="397"/>
      <c r="B68" s="398" t="s">
        <v>319</v>
      </c>
      <c r="C68" s="407">
        <v>1.92</v>
      </c>
      <c r="D68" s="407"/>
      <c r="E68" s="407"/>
      <c r="F68" s="321"/>
      <c r="G68" s="321">
        <f t="shared" si="0"/>
        <v>0</v>
      </c>
    </row>
    <row r="69" spans="1:7" ht="15.75" customHeight="1">
      <c r="A69" s="397"/>
      <c r="B69" s="398" t="s">
        <v>320</v>
      </c>
      <c r="C69" s="407">
        <v>1.98</v>
      </c>
      <c r="D69" s="407"/>
      <c r="E69" s="407"/>
      <c r="F69" s="321"/>
      <c r="G69" s="321">
        <f t="shared" si="0"/>
        <v>0</v>
      </c>
    </row>
    <row r="70" spans="1:7" ht="15.75" customHeight="1">
      <c r="A70" s="397"/>
      <c r="B70" s="398" t="s">
        <v>321</v>
      </c>
      <c r="C70" s="407">
        <v>2.0099999999999998</v>
      </c>
      <c r="D70" s="407"/>
      <c r="E70" s="407"/>
      <c r="F70" s="321"/>
      <c r="G70" s="321">
        <f t="shared" si="0"/>
        <v>0</v>
      </c>
    </row>
    <row r="71" spans="1:7" ht="15.75" customHeight="1">
      <c r="A71" s="397"/>
      <c r="B71" s="398" t="s">
        <v>322</v>
      </c>
      <c r="C71" s="407">
        <v>2.36</v>
      </c>
      <c r="D71" s="407"/>
      <c r="E71" s="407"/>
      <c r="F71" s="321"/>
      <c r="G71" s="321">
        <f t="shared" si="0"/>
        <v>0</v>
      </c>
    </row>
    <row r="72" spans="1:7" ht="15.75" customHeight="1">
      <c r="A72" s="397"/>
      <c r="B72" s="398" t="s">
        <v>323</v>
      </c>
      <c r="C72" s="407">
        <v>3.04</v>
      </c>
      <c r="D72" s="407"/>
      <c r="E72" s="407"/>
      <c r="F72" s="321"/>
      <c r="G72" s="321">
        <f t="shared" si="0"/>
        <v>0</v>
      </c>
    </row>
    <row r="73" spans="1:7" ht="15.75" customHeight="1">
      <c r="A73" s="397"/>
      <c r="B73" s="398" t="s">
        <v>324</v>
      </c>
      <c r="C73" s="407">
        <v>3.08</v>
      </c>
      <c r="D73" s="407"/>
      <c r="E73" s="407"/>
      <c r="F73" s="321"/>
      <c r="G73" s="321">
        <f t="shared" si="0"/>
        <v>0</v>
      </c>
    </row>
    <row r="74" spans="1:7" ht="15.75" customHeight="1">
      <c r="A74" s="397"/>
      <c r="B74" s="398" t="s">
        <v>325</v>
      </c>
      <c r="C74" s="407">
        <v>3.08</v>
      </c>
      <c r="D74" s="407"/>
      <c r="E74" s="407"/>
      <c r="F74" s="321"/>
      <c r="G74" s="321">
        <f t="shared" si="0"/>
        <v>0</v>
      </c>
    </row>
    <row r="75" spans="1:7" ht="15.75" customHeight="1">
      <c r="A75" s="397"/>
      <c r="B75" s="398" t="s">
        <v>326</v>
      </c>
      <c r="C75" s="407">
        <v>3.24</v>
      </c>
      <c r="D75" s="407"/>
      <c r="E75" s="407"/>
      <c r="F75" s="321"/>
      <c r="G75" s="321">
        <f t="shared" si="0"/>
        <v>0</v>
      </c>
    </row>
    <row r="76" spans="1:7" ht="15.75" customHeight="1">
      <c r="A76" s="397"/>
      <c r="B76" s="398" t="s">
        <v>327</v>
      </c>
      <c r="C76" s="407">
        <v>4.13</v>
      </c>
      <c r="D76" s="407"/>
      <c r="E76" s="407"/>
      <c r="F76" s="321"/>
      <c r="G76" s="321">
        <f t="shared" si="0"/>
        <v>0</v>
      </c>
    </row>
    <row r="77" spans="1:7" ht="15.75">
      <c r="A77" s="321">
        <v>7</v>
      </c>
      <c r="B77" s="408" t="s">
        <v>223</v>
      </c>
      <c r="C77" s="407"/>
      <c r="D77" s="407"/>
      <c r="E77" s="407"/>
      <c r="F77" s="321"/>
      <c r="G77" s="321">
        <f t="shared" si="0"/>
        <v>0</v>
      </c>
    </row>
    <row r="78" spans="1:7" ht="15.75">
      <c r="A78" s="397"/>
      <c r="B78" s="398" t="s">
        <v>328</v>
      </c>
      <c r="C78" s="407">
        <v>0.68</v>
      </c>
      <c r="D78" s="398">
        <f>MAX(C78:C95)</f>
        <v>10.42</v>
      </c>
      <c r="E78" s="398">
        <f>MIN(C78:C95)</f>
        <v>0.68</v>
      </c>
      <c r="F78" s="425">
        <v>80</v>
      </c>
      <c r="G78" s="321">
        <f t="shared" si="0"/>
        <v>0.54400000000000004</v>
      </c>
    </row>
    <row r="79" spans="1:7" ht="33.75" customHeight="1">
      <c r="A79" s="397"/>
      <c r="B79" s="398" t="s">
        <v>329</v>
      </c>
      <c r="C79" s="407">
        <v>1.43</v>
      </c>
      <c r="D79" s="407"/>
      <c r="E79" s="407"/>
      <c r="F79" s="321"/>
      <c r="G79" s="321">
        <f t="shared" si="0"/>
        <v>0</v>
      </c>
    </row>
    <row r="80" spans="1:7" ht="36" customHeight="1">
      <c r="A80" s="397"/>
      <c r="B80" s="398" t="s">
        <v>330</v>
      </c>
      <c r="C80" s="407">
        <v>2.0299999999999998</v>
      </c>
      <c r="D80" s="407"/>
      <c r="E80" s="407"/>
      <c r="F80" s="321"/>
      <c r="G80" s="321">
        <f t="shared" si="0"/>
        <v>0</v>
      </c>
    </row>
    <row r="81" spans="1:7" ht="36" customHeight="1">
      <c r="A81" s="397"/>
      <c r="B81" s="398" t="s">
        <v>331</v>
      </c>
      <c r="C81" s="407">
        <v>2.38</v>
      </c>
      <c r="D81" s="407"/>
      <c r="E81" s="407"/>
      <c r="F81" s="321"/>
      <c r="G81" s="321">
        <f t="shared" si="0"/>
        <v>0</v>
      </c>
    </row>
    <row r="82" spans="1:7" ht="36" customHeight="1">
      <c r="A82" s="397"/>
      <c r="B82" s="398" t="s">
        <v>332</v>
      </c>
      <c r="C82" s="407">
        <v>3.37</v>
      </c>
      <c r="D82" s="407"/>
      <c r="E82" s="407"/>
      <c r="F82" s="321">
        <v>20</v>
      </c>
      <c r="G82" s="321">
        <f t="shared" si="0"/>
        <v>0.67400000000000004</v>
      </c>
    </row>
    <row r="83" spans="1:7" ht="36" customHeight="1">
      <c r="A83" s="397"/>
      <c r="B83" s="398" t="s">
        <v>333</v>
      </c>
      <c r="C83" s="407">
        <v>4.21</v>
      </c>
      <c r="D83" s="407"/>
      <c r="E83" s="407"/>
      <c r="F83" s="321"/>
      <c r="G83" s="321">
        <f t="shared" si="0"/>
        <v>0</v>
      </c>
    </row>
    <row r="84" spans="1:7" ht="36" customHeight="1">
      <c r="A84" s="397"/>
      <c r="B84" s="398" t="s">
        <v>334</v>
      </c>
      <c r="C84" s="407">
        <v>3.54</v>
      </c>
      <c r="D84" s="407"/>
      <c r="E84" s="407"/>
      <c r="F84" s="321"/>
      <c r="G84" s="321">
        <f t="shared" si="0"/>
        <v>0</v>
      </c>
    </row>
    <row r="85" spans="1:7" ht="36" customHeight="1">
      <c r="A85" s="397"/>
      <c r="B85" s="398" t="s">
        <v>335</v>
      </c>
      <c r="C85" s="407">
        <v>4.4400000000000004</v>
      </c>
      <c r="D85" s="407"/>
      <c r="E85" s="407"/>
      <c r="F85" s="321"/>
      <c r="G85" s="321">
        <f t="shared" si="0"/>
        <v>0</v>
      </c>
    </row>
    <row r="86" spans="1:7" ht="36" customHeight="1">
      <c r="A86" s="397"/>
      <c r="B86" s="398" t="s">
        <v>336</v>
      </c>
      <c r="C86" s="407">
        <v>5.33</v>
      </c>
      <c r="D86" s="407"/>
      <c r="E86" s="407"/>
      <c r="F86" s="321"/>
      <c r="G86" s="321">
        <f t="shared" si="0"/>
        <v>0</v>
      </c>
    </row>
    <row r="87" spans="1:7" ht="36" customHeight="1">
      <c r="A87" s="397"/>
      <c r="B87" s="398" t="s">
        <v>337</v>
      </c>
      <c r="C87" s="407">
        <v>6.2</v>
      </c>
      <c r="D87" s="407"/>
      <c r="E87" s="407"/>
      <c r="F87" s="321"/>
      <c r="G87" s="321">
        <f t="shared" si="0"/>
        <v>0</v>
      </c>
    </row>
    <row r="88" spans="1:7" ht="36" customHeight="1">
      <c r="A88" s="397"/>
      <c r="B88" s="398" t="s">
        <v>338</v>
      </c>
      <c r="C88" s="407">
        <v>8.77</v>
      </c>
      <c r="D88" s="407"/>
      <c r="E88" s="407"/>
      <c r="F88" s="321"/>
      <c r="G88" s="321">
        <f t="shared" si="0"/>
        <v>0</v>
      </c>
    </row>
    <row r="89" spans="1:7" ht="36" customHeight="1">
      <c r="A89" s="397"/>
      <c r="B89" s="398" t="s">
        <v>339</v>
      </c>
      <c r="C89" s="407">
        <v>4.5199999999999996</v>
      </c>
      <c r="D89" s="407"/>
      <c r="E89" s="407"/>
      <c r="F89" s="321"/>
      <c r="G89" s="321">
        <f t="shared" si="0"/>
        <v>0</v>
      </c>
    </row>
    <row r="90" spans="1:7" ht="36" customHeight="1">
      <c r="A90" s="397"/>
      <c r="B90" s="398" t="s">
        <v>340</v>
      </c>
      <c r="C90" s="407">
        <v>10.42</v>
      </c>
      <c r="D90" s="407"/>
      <c r="E90" s="407"/>
      <c r="F90" s="321"/>
      <c r="G90" s="321">
        <f t="shared" si="0"/>
        <v>0</v>
      </c>
    </row>
    <row r="91" spans="1:7" ht="36" customHeight="1">
      <c r="A91" s="397"/>
      <c r="B91" s="398" t="s">
        <v>341</v>
      </c>
      <c r="C91" s="407">
        <v>7.07</v>
      </c>
      <c r="D91" s="407"/>
      <c r="E91" s="407"/>
      <c r="F91" s="321"/>
      <c r="G91" s="321">
        <f t="shared" si="0"/>
        <v>0</v>
      </c>
    </row>
    <row r="92" spans="1:7" ht="36" customHeight="1">
      <c r="A92" s="397"/>
      <c r="B92" s="398" t="s">
        <v>342</v>
      </c>
      <c r="C92" s="407">
        <v>5.66</v>
      </c>
      <c r="D92" s="407"/>
      <c r="E92" s="407"/>
      <c r="F92" s="321"/>
      <c r="G92" s="321">
        <f t="shared" si="0"/>
        <v>0</v>
      </c>
    </row>
    <row r="93" spans="1:7" ht="36" customHeight="1">
      <c r="A93" s="397"/>
      <c r="B93" s="398" t="s">
        <v>343</v>
      </c>
      <c r="C93" s="407">
        <v>3.84</v>
      </c>
      <c r="D93" s="407"/>
      <c r="E93" s="407"/>
      <c r="F93" s="321"/>
      <c r="G93" s="321">
        <f t="shared" si="0"/>
        <v>0</v>
      </c>
    </row>
    <row r="94" spans="1:7" ht="36" customHeight="1">
      <c r="A94" s="397"/>
      <c r="B94" s="398" t="s">
        <v>344</v>
      </c>
      <c r="C94" s="407">
        <v>6.58</v>
      </c>
      <c r="D94" s="407"/>
      <c r="E94" s="407"/>
      <c r="F94" s="321"/>
      <c r="G94" s="321">
        <f t="shared" si="0"/>
        <v>0</v>
      </c>
    </row>
    <row r="95" spans="1:7" ht="19.5" customHeight="1">
      <c r="A95" s="397"/>
      <c r="B95" s="398" t="s">
        <v>345</v>
      </c>
      <c r="C95" s="407">
        <v>5.12</v>
      </c>
      <c r="D95" s="407"/>
      <c r="E95" s="407"/>
      <c r="F95" s="321"/>
      <c r="G95" s="321">
        <f t="shared" si="0"/>
        <v>0</v>
      </c>
    </row>
    <row r="96" spans="1:7" ht="15.75">
      <c r="A96" s="321">
        <v>8</v>
      </c>
      <c r="B96" s="408" t="s">
        <v>346</v>
      </c>
      <c r="C96" s="407"/>
      <c r="D96" s="407"/>
      <c r="E96" s="407"/>
      <c r="F96" s="321"/>
      <c r="G96" s="321">
        <f t="shared" si="0"/>
        <v>0</v>
      </c>
    </row>
    <row r="97" spans="1:7" ht="15.75">
      <c r="A97" s="321"/>
      <c r="B97" s="408" t="s">
        <v>347</v>
      </c>
      <c r="C97" s="407"/>
      <c r="D97" s="407"/>
      <c r="E97" s="407"/>
      <c r="F97" s="321"/>
      <c r="G97" s="321">
        <f t="shared" si="0"/>
        <v>0</v>
      </c>
    </row>
    <row r="98" spans="1:7" ht="15.75">
      <c r="A98" s="397"/>
      <c r="B98" s="398" t="s">
        <v>348</v>
      </c>
      <c r="C98" s="407">
        <v>1.05</v>
      </c>
      <c r="D98" s="398">
        <f>MAX(C98:C115)</f>
        <v>9.9700000000000006</v>
      </c>
      <c r="E98" s="398">
        <f>MIN(C98:C115)</f>
        <v>0.46</v>
      </c>
      <c r="F98" s="407"/>
      <c r="G98" s="321">
        <f t="shared" si="0"/>
        <v>0</v>
      </c>
    </row>
    <row r="99" spans="1:7" ht="15.75">
      <c r="A99" s="397"/>
      <c r="B99" s="398" t="s">
        <v>349</v>
      </c>
      <c r="C99" s="407">
        <v>1.41</v>
      </c>
      <c r="D99" s="407"/>
      <c r="E99" s="407"/>
      <c r="F99" s="425">
        <v>100</v>
      </c>
      <c r="G99" s="321">
        <f t="shared" si="0"/>
        <v>1.41</v>
      </c>
    </row>
    <row r="100" spans="1:7" ht="15.75">
      <c r="A100" s="397"/>
      <c r="B100" s="398" t="s">
        <v>350</v>
      </c>
      <c r="C100" s="407">
        <v>0.46</v>
      </c>
      <c r="D100" s="407"/>
      <c r="E100" s="407"/>
      <c r="F100" s="321"/>
      <c r="G100" s="321">
        <f t="shared" si="0"/>
        <v>0</v>
      </c>
    </row>
    <row r="101" spans="1:7" ht="15.75">
      <c r="A101" s="397"/>
      <c r="B101" s="398" t="s">
        <v>351</v>
      </c>
      <c r="C101" s="407">
        <v>0.6</v>
      </c>
      <c r="D101" s="407"/>
      <c r="E101" s="407"/>
      <c r="F101" s="321"/>
      <c r="G101" s="321">
        <f t="shared" si="0"/>
        <v>0</v>
      </c>
    </row>
    <row r="102" spans="1:7" ht="15.75">
      <c r="A102" s="397"/>
      <c r="B102" s="398" t="s">
        <v>352</v>
      </c>
      <c r="C102" s="407">
        <v>0.75</v>
      </c>
      <c r="D102" s="407"/>
      <c r="E102" s="407"/>
      <c r="F102" s="321"/>
      <c r="G102" s="321">
        <f t="shared" si="0"/>
        <v>0</v>
      </c>
    </row>
    <row r="103" spans="1:7" ht="31.5">
      <c r="A103" s="397"/>
      <c r="B103" s="398" t="s">
        <v>353</v>
      </c>
      <c r="C103" s="407">
        <v>3.62</v>
      </c>
      <c r="D103" s="407"/>
      <c r="E103" s="407"/>
      <c r="F103" s="321"/>
      <c r="G103" s="321">
        <f t="shared" si="0"/>
        <v>0</v>
      </c>
    </row>
    <row r="104" spans="1:7" ht="15.75">
      <c r="A104" s="397"/>
      <c r="B104" s="398" t="s">
        <v>354</v>
      </c>
      <c r="C104" s="407">
        <v>6.86</v>
      </c>
      <c r="D104" s="407"/>
      <c r="E104" s="407"/>
      <c r="F104" s="321"/>
      <c r="G104" s="321">
        <f t="shared" si="0"/>
        <v>0</v>
      </c>
    </row>
    <row r="105" spans="1:7" ht="31.5">
      <c r="A105" s="397"/>
      <c r="B105" s="398" t="s">
        <v>355</v>
      </c>
      <c r="C105" s="407">
        <v>5.63</v>
      </c>
      <c r="D105" s="407"/>
      <c r="E105" s="407"/>
      <c r="F105" s="321"/>
      <c r="G105" s="321">
        <f t="shared" si="0"/>
        <v>0</v>
      </c>
    </row>
    <row r="106" spans="1:7" ht="31.5">
      <c r="A106" s="397"/>
      <c r="B106" s="398" t="s">
        <v>356</v>
      </c>
      <c r="C106" s="407">
        <v>3.55</v>
      </c>
      <c r="D106" s="407"/>
      <c r="E106" s="407"/>
      <c r="F106" s="321"/>
      <c r="G106" s="321">
        <f t="shared" si="0"/>
        <v>0</v>
      </c>
    </row>
    <row r="107" spans="1:7" ht="31.5">
      <c r="A107" s="397"/>
      <c r="B107" s="398" t="s">
        <v>357</v>
      </c>
      <c r="C107" s="407">
        <v>2.62</v>
      </c>
      <c r="D107" s="407"/>
      <c r="E107" s="407"/>
      <c r="F107" s="425"/>
      <c r="G107" s="321">
        <f t="shared" si="0"/>
        <v>0</v>
      </c>
    </row>
    <row r="108" spans="1:7" ht="31.5">
      <c r="A108" s="397"/>
      <c r="B108" s="398" t="s">
        <v>358</v>
      </c>
      <c r="C108" s="407">
        <v>2.58</v>
      </c>
      <c r="D108" s="407"/>
      <c r="E108" s="407"/>
      <c r="F108" s="321"/>
      <c r="G108" s="321">
        <f t="shared" si="0"/>
        <v>0</v>
      </c>
    </row>
    <row r="109" spans="1:7" ht="31.5">
      <c r="A109" s="397"/>
      <c r="B109" s="398" t="s">
        <v>359</v>
      </c>
      <c r="C109" s="407">
        <v>0.83</v>
      </c>
      <c r="D109" s="407"/>
      <c r="E109" s="407"/>
      <c r="F109" s="321"/>
      <c r="G109" s="321">
        <f t="shared" si="0"/>
        <v>0</v>
      </c>
    </row>
    <row r="110" spans="1:7" ht="31.5">
      <c r="A110" s="397"/>
      <c r="B110" s="398" t="s">
        <v>360</v>
      </c>
      <c r="C110" s="407">
        <v>1.1100000000000001</v>
      </c>
      <c r="D110" s="407"/>
      <c r="E110" s="407"/>
      <c r="F110" s="321"/>
      <c r="G110" s="321">
        <f t="shared" si="0"/>
        <v>0</v>
      </c>
    </row>
    <row r="111" spans="1:7" ht="15.75">
      <c r="A111" s="397"/>
      <c r="B111" s="398" t="s">
        <v>361</v>
      </c>
      <c r="C111" s="407">
        <v>6.29</v>
      </c>
      <c r="D111" s="407"/>
      <c r="E111" s="407"/>
      <c r="F111" s="321"/>
      <c r="G111" s="321">
        <f t="shared" si="0"/>
        <v>0</v>
      </c>
    </row>
    <row r="112" spans="1:7" ht="15.75">
      <c r="A112" s="397"/>
      <c r="B112" s="398" t="s">
        <v>362</v>
      </c>
      <c r="C112" s="407">
        <v>8.67</v>
      </c>
      <c r="D112" s="407"/>
      <c r="E112" s="407"/>
      <c r="F112" s="321"/>
      <c r="G112" s="321">
        <f t="shared" si="0"/>
        <v>0</v>
      </c>
    </row>
    <row r="113" spans="1:7" ht="15.75">
      <c r="A113" s="397"/>
      <c r="B113" s="398" t="s">
        <v>363</v>
      </c>
      <c r="C113" s="407">
        <v>9.9700000000000006</v>
      </c>
      <c r="D113" s="407"/>
      <c r="E113" s="407"/>
      <c r="F113" s="321"/>
      <c r="G113" s="321">
        <f t="shared" si="0"/>
        <v>0</v>
      </c>
    </row>
    <row r="114" spans="1:7" ht="31.5">
      <c r="A114" s="397"/>
      <c r="B114" s="398" t="s">
        <v>364</v>
      </c>
      <c r="C114" s="407">
        <v>8.67</v>
      </c>
      <c r="D114" s="407"/>
      <c r="E114" s="407"/>
      <c r="F114" s="321"/>
      <c r="G114" s="321">
        <f t="shared" si="0"/>
        <v>0</v>
      </c>
    </row>
    <row r="115" spans="1:7" ht="15.75">
      <c r="A115" s="397"/>
      <c r="B115" s="398" t="s">
        <v>365</v>
      </c>
      <c r="C115" s="407">
        <v>9.33</v>
      </c>
      <c r="D115" s="407"/>
      <c r="E115" s="407"/>
      <c r="F115" s="321"/>
      <c r="G115" s="321">
        <f t="shared" si="0"/>
        <v>0</v>
      </c>
    </row>
    <row r="116" spans="1:7" ht="15.75">
      <c r="A116" s="411"/>
      <c r="B116" s="408" t="s">
        <v>366</v>
      </c>
      <c r="C116" s="407"/>
      <c r="D116" s="407"/>
      <c r="E116" s="407"/>
      <c r="F116" s="321"/>
      <c r="G116" s="321">
        <f t="shared" si="0"/>
        <v>0</v>
      </c>
    </row>
    <row r="117" spans="1:7" ht="15.75">
      <c r="A117" s="397"/>
      <c r="B117" s="398" t="s">
        <v>367</v>
      </c>
      <c r="C117" s="407">
        <v>0.64</v>
      </c>
      <c r="D117" s="398">
        <f>MAX(C117:C144)</f>
        <v>6.12</v>
      </c>
      <c r="E117" s="398">
        <f>MIN(C117:C144)</f>
        <v>0.28999999999999998</v>
      </c>
      <c r="F117" s="321"/>
      <c r="G117" s="321">
        <f t="shared" si="0"/>
        <v>0</v>
      </c>
    </row>
    <row r="118" spans="1:7" ht="15.75">
      <c r="A118" s="397"/>
      <c r="B118" s="398" t="s">
        <v>368</v>
      </c>
      <c r="C118" s="407">
        <v>0.87</v>
      </c>
      <c r="D118" s="407"/>
      <c r="E118" s="407"/>
      <c r="F118" s="321"/>
      <c r="G118" s="321">
        <f t="shared" si="0"/>
        <v>0</v>
      </c>
    </row>
    <row r="119" spans="1:7" ht="15.75">
      <c r="A119" s="397"/>
      <c r="B119" s="398" t="s">
        <v>369</v>
      </c>
      <c r="C119" s="407">
        <v>0.28999999999999998</v>
      </c>
      <c r="D119" s="407"/>
      <c r="E119" s="407"/>
      <c r="F119" s="321"/>
      <c r="G119" s="321">
        <f t="shared" si="0"/>
        <v>0</v>
      </c>
    </row>
    <row r="120" spans="1:7" ht="15.75">
      <c r="A120" s="397"/>
      <c r="B120" s="398" t="s">
        <v>370</v>
      </c>
      <c r="C120" s="407">
        <v>0.37</v>
      </c>
      <c r="D120" s="407"/>
      <c r="E120" s="407"/>
      <c r="F120" s="321"/>
      <c r="G120" s="321">
        <f t="shared" si="0"/>
        <v>0</v>
      </c>
    </row>
    <row r="121" spans="1:7" ht="15.75">
      <c r="A121" s="397"/>
      <c r="B121" s="398" t="s">
        <v>371</v>
      </c>
      <c r="C121" s="407">
        <v>3.99</v>
      </c>
      <c r="D121" s="407"/>
      <c r="E121" s="407"/>
      <c r="F121" s="321"/>
      <c r="G121" s="321">
        <f t="shared" si="0"/>
        <v>0</v>
      </c>
    </row>
    <row r="122" spans="1:7" ht="31.5">
      <c r="A122" s="397"/>
      <c r="B122" s="398" t="s">
        <v>372</v>
      </c>
      <c r="C122" s="407">
        <v>3.62</v>
      </c>
      <c r="D122" s="407"/>
      <c r="E122" s="407"/>
      <c r="F122" s="321"/>
      <c r="G122" s="321">
        <f t="shared" si="0"/>
        <v>0</v>
      </c>
    </row>
    <row r="123" spans="1:7" ht="31.5">
      <c r="A123" s="397"/>
      <c r="B123" s="398" t="s">
        <v>373</v>
      </c>
      <c r="C123" s="407">
        <v>4.4800000000000004</v>
      </c>
      <c r="D123" s="407"/>
      <c r="E123" s="407"/>
      <c r="F123" s="321"/>
      <c r="G123" s="321">
        <f t="shared" si="0"/>
        <v>0</v>
      </c>
    </row>
    <row r="124" spans="1:7" ht="31.5">
      <c r="A124" s="397"/>
      <c r="B124" s="398" t="s">
        <v>374</v>
      </c>
      <c r="C124" s="407">
        <v>4.12</v>
      </c>
      <c r="D124" s="407"/>
      <c r="E124" s="407"/>
      <c r="F124" s="321"/>
      <c r="G124" s="321">
        <f t="shared" si="0"/>
        <v>0</v>
      </c>
    </row>
    <row r="125" spans="1:7" ht="31.5">
      <c r="A125" s="397"/>
      <c r="B125" s="398" t="s">
        <v>375</v>
      </c>
      <c r="C125" s="407">
        <v>4.12</v>
      </c>
      <c r="D125" s="407"/>
      <c r="E125" s="407"/>
      <c r="F125" s="321"/>
      <c r="G125" s="321">
        <f t="shared" si="0"/>
        <v>0</v>
      </c>
    </row>
    <row r="126" spans="1:7" ht="15.75">
      <c r="A126" s="397"/>
      <c r="B126" s="398" t="s">
        <v>376</v>
      </c>
      <c r="C126" s="407">
        <v>0.46</v>
      </c>
      <c r="D126" s="407"/>
      <c r="E126" s="407"/>
      <c r="F126" s="321"/>
      <c r="G126" s="321">
        <f t="shared" si="0"/>
        <v>0</v>
      </c>
    </row>
    <row r="127" spans="1:7" ht="15.75">
      <c r="A127" s="397"/>
      <c r="B127" s="398" t="s">
        <v>377</v>
      </c>
      <c r="C127" s="407">
        <v>0.64</v>
      </c>
      <c r="D127" s="407"/>
      <c r="E127" s="407"/>
      <c r="F127" s="321"/>
      <c r="G127" s="321">
        <f t="shared" si="0"/>
        <v>0</v>
      </c>
    </row>
    <row r="128" spans="1:7" ht="15.75">
      <c r="A128" s="397"/>
      <c r="B128" s="398" t="s">
        <v>378</v>
      </c>
      <c r="C128" s="407">
        <v>0.87</v>
      </c>
      <c r="D128" s="407"/>
      <c r="E128" s="407"/>
      <c r="F128" s="321">
        <v>100</v>
      </c>
      <c r="G128" s="321">
        <f t="shared" si="0"/>
        <v>0.87</v>
      </c>
    </row>
    <row r="129" spans="1:7" ht="31.5">
      <c r="A129" s="397"/>
      <c r="B129" s="398" t="s">
        <v>379</v>
      </c>
      <c r="C129" s="407">
        <v>2.2200000000000002</v>
      </c>
      <c r="D129" s="407"/>
      <c r="E129" s="407"/>
      <c r="F129" s="321"/>
      <c r="G129" s="321">
        <f t="shared" si="0"/>
        <v>0</v>
      </c>
    </row>
    <row r="130" spans="1:7" ht="15.75">
      <c r="A130" s="397"/>
      <c r="B130" s="398" t="s">
        <v>380</v>
      </c>
      <c r="C130" s="407">
        <v>4.22</v>
      </c>
      <c r="D130" s="407"/>
      <c r="E130" s="407"/>
      <c r="F130" s="321"/>
      <c r="G130" s="321">
        <f t="shared" si="0"/>
        <v>0</v>
      </c>
    </row>
    <row r="131" spans="1:7" ht="31.5">
      <c r="A131" s="397"/>
      <c r="B131" s="398" t="s">
        <v>381</v>
      </c>
      <c r="C131" s="407">
        <v>3.46</v>
      </c>
      <c r="D131" s="407"/>
      <c r="E131" s="407"/>
      <c r="F131" s="321"/>
      <c r="G131" s="321">
        <f t="shared" si="0"/>
        <v>0</v>
      </c>
    </row>
    <row r="132" spans="1:7" ht="15.75">
      <c r="A132" s="397"/>
      <c r="B132" s="398" t="s">
        <v>382</v>
      </c>
      <c r="C132" s="407">
        <v>2.1800000000000002</v>
      </c>
      <c r="D132" s="407"/>
      <c r="E132" s="407"/>
      <c r="F132" s="321"/>
      <c r="G132" s="321">
        <f t="shared" si="0"/>
        <v>0</v>
      </c>
    </row>
    <row r="133" spans="1:7" ht="31.5">
      <c r="A133" s="397"/>
      <c r="B133" s="398" t="s">
        <v>383</v>
      </c>
      <c r="C133" s="407">
        <v>1.61</v>
      </c>
      <c r="D133" s="407"/>
      <c r="E133" s="407"/>
      <c r="F133" s="321"/>
      <c r="G133" s="321">
        <f t="shared" si="0"/>
        <v>0</v>
      </c>
    </row>
    <row r="134" spans="1:7" ht="31.5">
      <c r="A134" s="397"/>
      <c r="B134" s="398" t="s">
        <v>384</v>
      </c>
      <c r="C134" s="407">
        <v>1.59</v>
      </c>
      <c r="D134" s="407"/>
      <c r="E134" s="407"/>
      <c r="F134" s="321"/>
      <c r="G134" s="321">
        <f t="shared" si="0"/>
        <v>0</v>
      </c>
    </row>
    <row r="135" spans="1:7" ht="31.5">
      <c r="A135" s="397"/>
      <c r="B135" s="398" t="s">
        <v>385</v>
      </c>
      <c r="C135" s="407">
        <v>0.51</v>
      </c>
      <c r="D135" s="407"/>
      <c r="E135" s="407"/>
      <c r="F135" s="321"/>
      <c r="G135" s="321">
        <f t="shared" si="0"/>
        <v>0</v>
      </c>
    </row>
    <row r="136" spans="1:7" ht="31.5">
      <c r="A136" s="397"/>
      <c r="B136" s="398" t="s">
        <v>386</v>
      </c>
      <c r="C136" s="407">
        <v>0.68</v>
      </c>
      <c r="D136" s="407"/>
      <c r="E136" s="407"/>
      <c r="F136" s="321"/>
      <c r="G136" s="321">
        <f t="shared" si="0"/>
        <v>0</v>
      </c>
    </row>
    <row r="137" spans="1:7" ht="15.75">
      <c r="A137" s="397"/>
      <c r="B137" s="398" t="s">
        <v>387</v>
      </c>
      <c r="C137" s="407">
        <v>3.86</v>
      </c>
      <c r="D137" s="407"/>
      <c r="E137" s="407"/>
      <c r="F137" s="321"/>
      <c r="G137" s="321">
        <f t="shared" si="0"/>
        <v>0</v>
      </c>
    </row>
    <row r="138" spans="1:7" ht="15.75">
      <c r="A138" s="397"/>
      <c r="B138" s="398" t="s">
        <v>388</v>
      </c>
      <c r="C138" s="407">
        <v>5.33</v>
      </c>
      <c r="D138" s="407"/>
      <c r="E138" s="407"/>
      <c r="F138" s="321"/>
      <c r="G138" s="321">
        <f t="shared" si="0"/>
        <v>0</v>
      </c>
    </row>
    <row r="139" spans="1:7" ht="15.75">
      <c r="A139" s="397"/>
      <c r="B139" s="398" t="s">
        <v>389</v>
      </c>
      <c r="C139" s="407">
        <v>6.12</v>
      </c>
      <c r="D139" s="407"/>
      <c r="E139" s="407"/>
      <c r="F139" s="321"/>
      <c r="G139" s="321">
        <f t="shared" si="0"/>
        <v>0</v>
      </c>
    </row>
    <row r="140" spans="1:7" ht="15.75">
      <c r="A140" s="397"/>
      <c r="B140" s="398" t="s">
        <v>390</v>
      </c>
      <c r="C140" s="407">
        <v>5.73</v>
      </c>
      <c r="D140" s="407"/>
      <c r="E140" s="407"/>
      <c r="F140" s="321"/>
      <c r="G140" s="321">
        <f t="shared" si="0"/>
        <v>0</v>
      </c>
    </row>
    <row r="141" spans="1:7" ht="15.75">
      <c r="A141" s="397"/>
      <c r="B141" s="398" t="s">
        <v>391</v>
      </c>
      <c r="C141" s="407">
        <v>5.33</v>
      </c>
      <c r="D141" s="407"/>
      <c r="E141" s="407"/>
      <c r="F141" s="321"/>
      <c r="G141" s="321">
        <f t="shared" si="0"/>
        <v>0</v>
      </c>
    </row>
    <row r="142" spans="1:7" ht="15.75">
      <c r="A142" s="397"/>
      <c r="B142" s="398" t="s">
        <v>392</v>
      </c>
      <c r="C142" s="407">
        <v>1.08</v>
      </c>
      <c r="D142" s="407"/>
      <c r="E142" s="407"/>
      <c r="F142" s="321"/>
      <c r="G142" s="321">
        <f t="shared" si="0"/>
        <v>0</v>
      </c>
    </row>
    <row r="143" spans="1:7" ht="15.75">
      <c r="A143" s="397"/>
      <c r="B143" s="398" t="s">
        <v>393</v>
      </c>
      <c r="C143" s="407">
        <v>1.08</v>
      </c>
      <c r="D143" s="407"/>
      <c r="E143" s="407"/>
      <c r="F143" s="321"/>
      <c r="G143" s="321">
        <f t="shared" si="0"/>
        <v>0</v>
      </c>
    </row>
    <row r="144" spans="1:7" ht="15.75">
      <c r="A144" s="397"/>
      <c r="B144" s="398" t="s">
        <v>394</v>
      </c>
      <c r="C144" s="407">
        <v>1.61</v>
      </c>
      <c r="D144" s="407"/>
      <c r="E144" s="407"/>
      <c r="F144" s="321"/>
      <c r="G144" s="321">
        <f t="shared" si="0"/>
        <v>0</v>
      </c>
    </row>
    <row r="145" spans="1:7" ht="15.75">
      <c r="A145" s="321">
        <v>9</v>
      </c>
      <c r="B145" s="408" t="s">
        <v>242</v>
      </c>
      <c r="C145" s="407"/>
      <c r="D145" s="407"/>
      <c r="E145" s="407"/>
      <c r="F145" s="321"/>
      <c r="G145" s="321">
        <f t="shared" si="0"/>
        <v>0</v>
      </c>
    </row>
    <row r="146" spans="1:7" ht="35.25" customHeight="1">
      <c r="A146" s="397"/>
      <c r="B146" s="398" t="s">
        <v>395</v>
      </c>
      <c r="C146" s="407">
        <v>0.38</v>
      </c>
      <c r="D146" s="398">
        <f>MAX(C146:C165)</f>
        <v>4.58</v>
      </c>
      <c r="E146" s="398">
        <f>MIN(C146:C165)</f>
        <v>0.23</v>
      </c>
      <c r="F146" s="321"/>
      <c r="G146" s="321">
        <f t="shared" si="0"/>
        <v>0</v>
      </c>
    </row>
    <row r="147" spans="1:7" ht="35.25" customHeight="1">
      <c r="A147" s="397"/>
      <c r="B147" s="398" t="s">
        <v>396</v>
      </c>
      <c r="C147" s="407">
        <v>0.69</v>
      </c>
      <c r="D147" s="407"/>
      <c r="E147" s="407"/>
      <c r="F147" s="321"/>
      <c r="G147" s="321">
        <f t="shared" si="0"/>
        <v>0</v>
      </c>
    </row>
    <row r="148" spans="1:7" ht="35.25" customHeight="1">
      <c r="A148" s="397"/>
      <c r="B148" s="398" t="s">
        <v>397</v>
      </c>
      <c r="C148" s="407">
        <v>0.24</v>
      </c>
      <c r="D148" s="407"/>
      <c r="E148" s="407"/>
      <c r="F148" s="321"/>
      <c r="G148" s="321">
        <f t="shared" si="0"/>
        <v>0</v>
      </c>
    </row>
    <row r="149" spans="1:7" ht="35.25" customHeight="1">
      <c r="A149" s="397"/>
      <c r="B149" s="398" t="s">
        <v>398</v>
      </c>
      <c r="C149" s="407">
        <v>0.55000000000000004</v>
      </c>
      <c r="D149" s="407"/>
      <c r="E149" s="407"/>
      <c r="F149" s="321"/>
      <c r="G149" s="321">
        <f t="shared" si="0"/>
        <v>0</v>
      </c>
    </row>
    <row r="150" spans="1:7" ht="35.25" customHeight="1">
      <c r="A150" s="397"/>
      <c r="B150" s="398" t="s">
        <v>399</v>
      </c>
      <c r="C150" s="407">
        <v>0.53</v>
      </c>
      <c r="D150" s="407"/>
      <c r="E150" s="407"/>
      <c r="F150" s="321"/>
      <c r="G150" s="321">
        <f t="shared" si="0"/>
        <v>0</v>
      </c>
    </row>
    <row r="151" spans="1:7" ht="35.25" customHeight="1">
      <c r="A151" s="397"/>
      <c r="B151" s="398" t="s">
        <v>400</v>
      </c>
      <c r="C151" s="407">
        <v>0.67</v>
      </c>
      <c r="D151" s="407"/>
      <c r="E151" s="407"/>
      <c r="F151" s="321"/>
      <c r="G151" s="321">
        <f t="shared" si="0"/>
        <v>0</v>
      </c>
    </row>
    <row r="152" spans="1:7" ht="35.25" customHeight="1">
      <c r="A152" s="397"/>
      <c r="B152" s="398" t="s">
        <v>401</v>
      </c>
      <c r="C152" s="407">
        <v>1.55</v>
      </c>
      <c r="D152" s="407"/>
      <c r="E152" s="407"/>
      <c r="F152" s="321"/>
      <c r="G152" s="321">
        <f t="shared" si="0"/>
        <v>0</v>
      </c>
    </row>
    <row r="153" spans="1:7" ht="35.25" customHeight="1">
      <c r="A153" s="397"/>
      <c r="B153" s="398" t="s">
        <v>402</v>
      </c>
      <c r="C153" s="407">
        <v>0.96</v>
      </c>
      <c r="D153" s="407"/>
      <c r="E153" s="407"/>
      <c r="F153" s="321"/>
      <c r="G153" s="321">
        <f t="shared" si="0"/>
        <v>0</v>
      </c>
    </row>
    <row r="154" spans="1:7" ht="35.25" customHeight="1">
      <c r="A154" s="397"/>
      <c r="B154" s="398" t="s">
        <v>403</v>
      </c>
      <c r="C154" s="407">
        <v>1.34</v>
      </c>
      <c r="D154" s="407"/>
      <c r="E154" s="407"/>
      <c r="F154" s="321"/>
      <c r="G154" s="321">
        <f t="shared" si="0"/>
        <v>0</v>
      </c>
    </row>
    <row r="155" spans="1:7" ht="35.25" customHeight="1">
      <c r="A155" s="397"/>
      <c r="B155" s="398" t="s">
        <v>404</v>
      </c>
      <c r="C155" s="407">
        <v>1.4</v>
      </c>
      <c r="D155" s="407"/>
      <c r="E155" s="407"/>
      <c r="F155" s="321"/>
      <c r="G155" s="321">
        <f t="shared" si="0"/>
        <v>0</v>
      </c>
    </row>
    <row r="156" spans="1:7" ht="35.25" customHeight="1">
      <c r="A156" s="397"/>
      <c r="B156" s="398" t="s">
        <v>405</v>
      </c>
      <c r="C156" s="407">
        <v>1.44</v>
      </c>
      <c r="D156" s="407"/>
      <c r="E156" s="407"/>
      <c r="F156" s="321"/>
      <c r="G156" s="321">
        <f t="shared" si="0"/>
        <v>0</v>
      </c>
    </row>
    <row r="157" spans="1:7" ht="35.25" customHeight="1">
      <c r="A157" s="397"/>
      <c r="B157" s="398" t="s">
        <v>406</v>
      </c>
      <c r="C157" s="407">
        <v>4.58</v>
      </c>
      <c r="D157" s="407"/>
      <c r="E157" s="407"/>
      <c r="F157" s="321"/>
      <c r="G157" s="321">
        <f t="shared" si="0"/>
        <v>0</v>
      </c>
    </row>
    <row r="158" spans="1:7" ht="35.25" customHeight="1">
      <c r="A158" s="397"/>
      <c r="B158" s="398" t="s">
        <v>407</v>
      </c>
      <c r="C158" s="407">
        <v>1.54</v>
      </c>
      <c r="D158" s="407"/>
      <c r="E158" s="407"/>
      <c r="F158" s="321"/>
      <c r="G158" s="321">
        <f t="shared" si="0"/>
        <v>0</v>
      </c>
    </row>
    <row r="159" spans="1:7" ht="35.25" customHeight="1">
      <c r="A159" s="397"/>
      <c r="B159" s="398" t="s">
        <v>408</v>
      </c>
      <c r="C159" s="407">
        <v>1.25</v>
      </c>
      <c r="D159" s="407"/>
      <c r="E159" s="407"/>
      <c r="F159" s="407">
        <v>100</v>
      </c>
      <c r="G159" s="321">
        <f t="shared" si="0"/>
        <v>1.25</v>
      </c>
    </row>
    <row r="160" spans="1:7" ht="35.25" customHeight="1">
      <c r="A160" s="397"/>
      <c r="B160" s="398" t="s">
        <v>409</v>
      </c>
      <c r="C160" s="407">
        <v>0.4</v>
      </c>
      <c r="D160" s="407"/>
      <c r="E160" s="407"/>
      <c r="F160" s="321"/>
      <c r="G160" s="321">
        <f t="shared" si="0"/>
        <v>0</v>
      </c>
    </row>
    <row r="161" spans="1:7" ht="35.25" customHeight="1">
      <c r="A161" s="397"/>
      <c r="B161" s="398" t="s">
        <v>410</v>
      </c>
      <c r="C161" s="407">
        <v>1.39</v>
      </c>
      <c r="D161" s="407"/>
      <c r="E161" s="407"/>
      <c r="F161" s="321"/>
      <c r="G161" s="321">
        <f t="shared" si="0"/>
        <v>0</v>
      </c>
    </row>
    <row r="162" spans="1:7" ht="35.25" customHeight="1">
      <c r="A162" s="397"/>
      <c r="B162" s="398" t="s">
        <v>411</v>
      </c>
      <c r="C162" s="407">
        <v>0.54</v>
      </c>
      <c r="D162" s="407"/>
      <c r="E162" s="407"/>
      <c r="F162" s="321"/>
      <c r="G162" s="321">
        <f t="shared" si="0"/>
        <v>0</v>
      </c>
    </row>
    <row r="163" spans="1:7" ht="35.25" customHeight="1">
      <c r="A163" s="397"/>
      <c r="B163" s="398" t="s">
        <v>412</v>
      </c>
      <c r="C163" s="407">
        <v>0.61</v>
      </c>
      <c r="D163" s="407"/>
      <c r="E163" s="407"/>
      <c r="F163" s="321"/>
      <c r="G163" s="321">
        <f t="shared" si="0"/>
        <v>0</v>
      </c>
    </row>
    <row r="164" spans="1:7" ht="35.25" customHeight="1">
      <c r="A164" s="397"/>
      <c r="B164" s="398" t="s">
        <v>413</v>
      </c>
      <c r="C164" s="407">
        <v>0.75</v>
      </c>
      <c r="D164" s="407"/>
      <c r="E164" s="407"/>
      <c r="F164" s="321"/>
      <c r="G164" s="321">
        <f t="shared" si="0"/>
        <v>0</v>
      </c>
    </row>
    <row r="165" spans="1:7" ht="35.25" customHeight="1">
      <c r="A165" s="397"/>
      <c r="B165" s="398" t="s">
        <v>414</v>
      </c>
      <c r="C165" s="407">
        <v>0.23</v>
      </c>
      <c r="D165" s="407"/>
      <c r="E165" s="407"/>
      <c r="F165" s="321"/>
      <c r="G165" s="321">
        <f t="shared" si="0"/>
        <v>0</v>
      </c>
    </row>
    <row r="166" spans="1:7" ht="15.75">
      <c r="A166" s="321">
        <v>10</v>
      </c>
      <c r="B166" s="408" t="s">
        <v>248</v>
      </c>
      <c r="C166" s="407"/>
      <c r="D166" s="407"/>
      <c r="E166" s="407"/>
      <c r="F166" s="321"/>
      <c r="G166" s="321">
        <f t="shared" si="0"/>
        <v>0</v>
      </c>
    </row>
    <row r="167" spans="1:7" ht="15.75">
      <c r="A167" s="397"/>
      <c r="B167" s="398" t="s">
        <v>415</v>
      </c>
      <c r="C167" s="407">
        <v>1.3</v>
      </c>
      <c r="D167" s="398">
        <f>MAX(C167:C170)</f>
        <v>7.2</v>
      </c>
      <c r="E167" s="398">
        <f>MIN(C167:C170)</f>
        <v>1.3</v>
      </c>
      <c r="F167" s="321"/>
      <c r="G167" s="321">
        <f t="shared" si="0"/>
        <v>0</v>
      </c>
    </row>
    <row r="168" spans="1:7" ht="15.75">
      <c r="A168" s="397"/>
      <c r="B168" s="398" t="s">
        <v>416</v>
      </c>
      <c r="C168" s="407">
        <v>1.93</v>
      </c>
      <c r="D168" s="407"/>
      <c r="E168" s="407"/>
      <c r="F168" s="321">
        <v>100</v>
      </c>
      <c r="G168" s="321">
        <f t="shared" si="0"/>
        <v>1.93</v>
      </c>
    </row>
    <row r="169" spans="1:7" ht="15.75">
      <c r="A169" s="397"/>
      <c r="B169" s="398" t="s">
        <v>417</v>
      </c>
      <c r="C169" s="407">
        <v>4.83</v>
      </c>
      <c r="D169" s="407"/>
      <c r="E169" s="407"/>
      <c r="F169" s="321"/>
      <c r="G169" s="321">
        <f t="shared" si="0"/>
        <v>0</v>
      </c>
    </row>
    <row r="170" spans="1:7" ht="15.75">
      <c r="A170" s="397"/>
      <c r="B170" s="398" t="s">
        <v>418</v>
      </c>
      <c r="C170" s="407">
        <v>7.2</v>
      </c>
      <c r="D170" s="407"/>
      <c r="E170" s="407"/>
      <c r="F170" s="321"/>
      <c r="G170" s="321">
        <f t="shared" si="0"/>
        <v>0</v>
      </c>
    </row>
    <row r="171" spans="1:7" ht="15.75">
      <c r="A171" s="397">
        <v>11</v>
      </c>
      <c r="B171" s="408" t="s">
        <v>419</v>
      </c>
      <c r="C171" s="407"/>
      <c r="D171" s="407"/>
      <c r="E171" s="407"/>
      <c r="F171" s="321"/>
      <c r="G171" s="321">
        <f t="shared" si="0"/>
        <v>0</v>
      </c>
    </row>
    <row r="172" spans="1:7" ht="15.75">
      <c r="A172" s="397"/>
      <c r="B172" s="398" t="s">
        <v>420</v>
      </c>
      <c r="C172" s="407">
        <v>1.1399999999999999</v>
      </c>
      <c r="D172" s="398">
        <f>MAX(C172:C175)</f>
        <v>4.78</v>
      </c>
      <c r="E172" s="398">
        <f>MIN(C172:C175)</f>
        <v>1.1399999999999999</v>
      </c>
      <c r="F172" s="321"/>
      <c r="G172" s="321">
        <f t="shared" si="0"/>
        <v>0</v>
      </c>
    </row>
    <row r="173" spans="1:7" ht="15.75">
      <c r="A173" s="397"/>
      <c r="B173" s="398" t="s">
        <v>421</v>
      </c>
      <c r="C173" s="407">
        <v>2.52</v>
      </c>
      <c r="D173" s="407"/>
      <c r="E173" s="407"/>
      <c r="F173" s="321"/>
      <c r="G173" s="321">
        <f t="shared" si="0"/>
        <v>0</v>
      </c>
    </row>
    <row r="174" spans="1:7" ht="15.75">
      <c r="A174" s="397"/>
      <c r="B174" s="398" t="s">
        <v>422</v>
      </c>
      <c r="C174" s="407">
        <v>3.47</v>
      </c>
      <c r="D174" s="407"/>
      <c r="E174" s="407"/>
      <c r="F174" s="321">
        <v>100</v>
      </c>
      <c r="G174" s="321">
        <f t="shared" si="0"/>
        <v>3.47</v>
      </c>
    </row>
    <row r="175" spans="1:7" ht="15.75">
      <c r="A175" s="397"/>
      <c r="B175" s="398" t="s">
        <v>423</v>
      </c>
      <c r="C175" s="407">
        <v>4.78</v>
      </c>
      <c r="D175" s="407"/>
      <c r="E175" s="407"/>
      <c r="F175" s="321"/>
      <c r="G175" s="321">
        <f t="shared" si="0"/>
        <v>0</v>
      </c>
    </row>
    <row r="176" spans="1:7" ht="15.75">
      <c r="A176" s="397"/>
      <c r="B176" s="398"/>
      <c r="C176" s="407"/>
      <c r="D176" s="407"/>
      <c r="E176" s="407"/>
      <c r="F176" s="321"/>
      <c r="G176" s="321"/>
    </row>
    <row r="177" spans="1:9" ht="15.75">
      <c r="A177" s="321"/>
      <c r="B177" s="413" t="s">
        <v>254</v>
      </c>
      <c r="C177" s="414">
        <f>SUM(C4:C175)</f>
        <v>484.04</v>
      </c>
      <c r="D177" s="414">
        <f>SUM(D4:D175)</f>
        <v>99.76</v>
      </c>
      <c r="E177" s="414">
        <f>SUM(E4:E175)</f>
        <v>15.61</v>
      </c>
      <c r="F177" s="414"/>
      <c r="G177" s="414">
        <f>ROUND(SUM(G4:G176),2)</f>
        <v>30.6</v>
      </c>
    </row>
    <row r="178" spans="1:9" ht="47.25">
      <c r="A178" s="321"/>
      <c r="B178" s="413" t="s">
        <v>255</v>
      </c>
      <c r="C178" s="415"/>
      <c r="D178" s="416">
        <f>IF(D177&gt;0,(211.28*D177+4478.16),0)</f>
        <v>25555.452799999999</v>
      </c>
      <c r="E178" s="416">
        <f>IF(E177&gt;0,(211.28*E177+4478.16),0)</f>
        <v>7776.2407999999996</v>
      </c>
      <c r="F178" s="415"/>
      <c r="G178" s="416">
        <f>IF(G177&gt;0,(211.28*G177+4478.16),0)</f>
        <v>10943.328</v>
      </c>
    </row>
    <row r="179" spans="1:9" ht="15.75">
      <c r="A179" s="321"/>
      <c r="B179" s="413" t="s">
        <v>256</v>
      </c>
      <c r="C179" s="415"/>
      <c r="D179" s="415"/>
      <c r="E179" s="415"/>
      <c r="F179" s="415"/>
      <c r="G179" s="415"/>
    </row>
    <row r="180" spans="1:9" ht="47.25">
      <c r="A180" s="321"/>
      <c r="B180" s="413" t="s">
        <v>255</v>
      </c>
      <c r="C180" s="415"/>
      <c r="D180" s="415"/>
      <c r="E180" s="415"/>
      <c r="F180" s="415"/>
      <c r="G180" s="416">
        <v>15358</v>
      </c>
      <c r="H180" s="1"/>
    </row>
    <row r="181" spans="1:9" ht="15.75">
      <c r="A181" s="321"/>
      <c r="B181" s="413" t="s">
        <v>257</v>
      </c>
      <c r="C181" s="415"/>
      <c r="D181" s="415"/>
      <c r="E181" s="415"/>
      <c r="F181" s="415"/>
      <c r="G181" s="417" t="e">
        <f>#REF!</f>
        <v>#REF!</v>
      </c>
    </row>
    <row r="182" spans="1:9">
      <c r="A182" s="321"/>
      <c r="B182" s="415" t="s">
        <v>258</v>
      </c>
      <c r="C182" s="415"/>
      <c r="D182" s="415"/>
      <c r="E182" s="415"/>
      <c r="F182" s="415"/>
      <c r="G182" s="416" t="e">
        <f>G180*G181</f>
        <v>#REF!</v>
      </c>
      <c r="H182" s="91" t="e">
        <f>G181*15358</f>
        <v>#REF!</v>
      </c>
      <c r="I182" s="91" t="e">
        <f>H182-G182</f>
        <v>#REF!</v>
      </c>
    </row>
  </sheetData>
  <mergeCells count="1">
    <mergeCell ref="B2:G2"/>
  </mergeCells>
  <pageMargins left="0.7" right="0.7" top="0.75" bottom="0.75" header="0.3" footer="0.3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P171"/>
  <sheetViews>
    <sheetView topLeftCell="A160" workbookViewId="0">
      <selection activeCell="G171" sqref="G171"/>
    </sheetView>
  </sheetViews>
  <sheetFormatPr defaultColWidth="9" defaultRowHeight="15"/>
  <cols>
    <col min="2" max="2" width="27" customWidth="1"/>
    <col min="4" max="5" width="10.5703125" style="388" hidden="1" customWidth="1"/>
    <col min="7" max="7" width="14.85546875" customWidth="1"/>
    <col min="9" max="10" width="10.5703125" style="388" customWidth="1"/>
    <col min="14" max="15" width="10.5703125" style="388" customWidth="1"/>
    <col min="19" max="20" width="10.5703125" style="388" customWidth="1"/>
    <col min="24" max="25" width="10.5703125" style="388" customWidth="1"/>
    <col min="29" max="30" width="10.5703125" style="388" customWidth="1"/>
    <col min="34" max="35" width="10.5703125" style="388" customWidth="1"/>
    <col min="39" max="40" width="10.5703125" style="388" customWidth="1"/>
  </cols>
  <sheetData>
    <row r="1" spans="1:42" ht="41.25" customHeight="1"/>
    <row r="2" spans="1:42">
      <c r="A2" s="321" t="s">
        <v>193</v>
      </c>
      <c r="B2" s="419" t="s">
        <v>194</v>
      </c>
      <c r="C2" s="420"/>
      <c r="D2" s="421"/>
      <c r="E2" s="421"/>
      <c r="F2" s="420"/>
      <c r="G2" s="422"/>
      <c r="H2" s="420"/>
      <c r="I2" s="421"/>
      <c r="J2" s="421"/>
      <c r="K2" s="420"/>
      <c r="L2" s="422"/>
      <c r="M2" s="420"/>
      <c r="N2" s="421"/>
      <c r="O2" s="421"/>
      <c r="P2" s="420"/>
      <c r="Q2" s="422"/>
      <c r="R2" s="420"/>
      <c r="S2" s="421"/>
      <c r="T2" s="421"/>
      <c r="U2" s="420"/>
      <c r="V2" s="422"/>
      <c r="W2" s="420"/>
      <c r="X2" s="421"/>
      <c r="Y2" s="421"/>
      <c r="Z2" s="420"/>
      <c r="AA2" s="422"/>
      <c r="AB2" s="420"/>
      <c r="AC2" s="421"/>
      <c r="AD2" s="421"/>
      <c r="AE2" s="420"/>
      <c r="AF2" s="422"/>
      <c r="AG2" s="420"/>
      <c r="AH2" s="421"/>
      <c r="AI2" s="421"/>
      <c r="AJ2" s="420"/>
      <c r="AK2" s="422"/>
      <c r="AL2" s="420"/>
      <c r="AM2" s="421"/>
      <c r="AN2" s="421"/>
      <c r="AO2" s="420"/>
      <c r="AP2" s="422"/>
    </row>
    <row r="3" spans="1:42" ht="15.75">
      <c r="A3" s="321">
        <v>1</v>
      </c>
      <c r="B3" s="393" t="s">
        <v>195</v>
      </c>
      <c r="C3" s="419" t="s">
        <v>196</v>
      </c>
      <c r="D3" s="421"/>
      <c r="E3" s="421"/>
      <c r="F3" s="420"/>
      <c r="G3" s="422"/>
      <c r="H3" s="419" t="s">
        <v>196</v>
      </c>
      <c r="I3" s="421"/>
      <c r="J3" s="421"/>
      <c r="K3" s="420"/>
      <c r="L3" s="422"/>
      <c r="M3" s="419" t="s">
        <v>196</v>
      </c>
      <c r="N3" s="421"/>
      <c r="O3" s="421"/>
      <c r="P3" s="420"/>
      <c r="Q3" s="422"/>
      <c r="R3" s="419" t="s">
        <v>196</v>
      </c>
      <c r="S3" s="421"/>
      <c r="T3" s="421"/>
      <c r="U3" s="420"/>
      <c r="V3" s="422"/>
      <c r="W3" s="419" t="s">
        <v>196</v>
      </c>
      <c r="X3" s="421"/>
      <c r="Y3" s="421"/>
      <c r="Z3" s="420"/>
      <c r="AA3" s="422"/>
      <c r="AB3" s="419" t="s">
        <v>196</v>
      </c>
      <c r="AC3" s="421"/>
      <c r="AD3" s="421"/>
      <c r="AE3" s="420"/>
      <c r="AF3" s="422"/>
      <c r="AG3" s="419" t="s">
        <v>196</v>
      </c>
      <c r="AH3" s="421"/>
      <c r="AI3" s="421"/>
      <c r="AJ3" s="420"/>
      <c r="AK3" s="422"/>
      <c r="AL3" s="419" t="s">
        <v>196</v>
      </c>
      <c r="AM3" s="421"/>
      <c r="AN3" s="421"/>
      <c r="AO3" s="420"/>
      <c r="AP3" s="422"/>
    </row>
    <row r="4" spans="1:42" ht="15.75">
      <c r="A4" s="321"/>
      <c r="B4" s="393"/>
      <c r="C4" s="484" t="s">
        <v>424</v>
      </c>
      <c r="D4" s="485"/>
      <c r="E4" s="485"/>
      <c r="F4" s="485"/>
      <c r="G4" s="486"/>
      <c r="H4" s="484" t="s">
        <v>425</v>
      </c>
      <c r="I4" s="485"/>
      <c r="J4" s="485"/>
      <c r="K4" s="485"/>
      <c r="L4" s="486"/>
      <c r="M4" s="484" t="s">
        <v>426</v>
      </c>
      <c r="N4" s="485"/>
      <c r="O4" s="485"/>
      <c r="P4" s="485"/>
      <c r="Q4" s="486"/>
      <c r="R4" s="484" t="s">
        <v>427</v>
      </c>
      <c r="S4" s="485"/>
      <c r="T4" s="485"/>
      <c r="U4" s="485"/>
      <c r="V4" s="486"/>
      <c r="W4" s="484" t="s">
        <v>428</v>
      </c>
      <c r="X4" s="485"/>
      <c r="Y4" s="485"/>
      <c r="Z4" s="485"/>
      <c r="AA4" s="486"/>
      <c r="AB4" s="484" t="s">
        <v>179</v>
      </c>
      <c r="AC4" s="485"/>
      <c r="AD4" s="485"/>
      <c r="AE4" s="485"/>
      <c r="AF4" s="486"/>
      <c r="AG4" s="484" t="s">
        <v>180</v>
      </c>
      <c r="AH4" s="485"/>
      <c r="AI4" s="485"/>
      <c r="AJ4" s="485"/>
      <c r="AK4" s="486"/>
      <c r="AL4" s="484" t="s">
        <v>429</v>
      </c>
      <c r="AM4" s="485"/>
      <c r="AN4" s="485"/>
      <c r="AO4" s="485"/>
      <c r="AP4" s="486"/>
    </row>
    <row r="5" spans="1:42" ht="15.75">
      <c r="A5" s="321"/>
      <c r="B5" s="393"/>
      <c r="C5" s="389"/>
      <c r="D5" s="391" t="s">
        <v>170</v>
      </c>
      <c r="E5" s="391" t="s">
        <v>171</v>
      </c>
      <c r="F5" s="390"/>
      <c r="G5" s="392"/>
      <c r="H5" s="389"/>
      <c r="I5" s="391" t="s">
        <v>170</v>
      </c>
      <c r="J5" s="391" t="s">
        <v>171</v>
      </c>
      <c r="K5" s="390"/>
      <c r="L5" s="392"/>
      <c r="M5" s="389"/>
      <c r="N5" s="391" t="s">
        <v>170</v>
      </c>
      <c r="O5" s="391" t="s">
        <v>171</v>
      </c>
      <c r="P5" s="390"/>
      <c r="Q5" s="392"/>
      <c r="R5" s="389"/>
      <c r="S5" s="391" t="s">
        <v>170</v>
      </c>
      <c r="T5" s="391" t="s">
        <v>171</v>
      </c>
      <c r="U5" s="390"/>
      <c r="V5" s="392"/>
      <c r="W5" s="389"/>
      <c r="X5" s="391" t="s">
        <v>170</v>
      </c>
      <c r="Y5" s="391" t="s">
        <v>171</v>
      </c>
      <c r="Z5" s="390"/>
      <c r="AA5" s="392"/>
      <c r="AB5" s="389"/>
      <c r="AC5" s="391" t="s">
        <v>170</v>
      </c>
      <c r="AD5" s="391" t="s">
        <v>171</v>
      </c>
      <c r="AE5" s="390"/>
      <c r="AF5" s="392"/>
      <c r="AG5" s="389"/>
      <c r="AH5" s="391" t="s">
        <v>170</v>
      </c>
      <c r="AI5" s="391" t="s">
        <v>171</v>
      </c>
      <c r="AJ5" s="390"/>
      <c r="AK5" s="392"/>
      <c r="AL5" s="389"/>
      <c r="AM5" s="391" t="s">
        <v>170</v>
      </c>
      <c r="AN5" s="391" t="s">
        <v>171</v>
      </c>
      <c r="AO5" s="390"/>
      <c r="AP5" s="392"/>
    </row>
    <row r="6" spans="1:42" ht="32.25" customHeight="1">
      <c r="A6" s="397"/>
      <c r="B6" s="398" t="s">
        <v>430</v>
      </c>
      <c r="C6" s="398">
        <v>4.99</v>
      </c>
      <c r="D6" s="399">
        <f>MAX(C6)</f>
        <v>4.99</v>
      </c>
      <c r="E6" s="400">
        <f>MIN(C6)</f>
        <v>4.99</v>
      </c>
      <c r="F6" s="321">
        <v>100</v>
      </c>
      <c r="G6" s="321">
        <f>$C6*F6/100</f>
        <v>4.99</v>
      </c>
      <c r="H6" s="398">
        <v>4.53</v>
      </c>
      <c r="I6" s="399">
        <f>MAX(H6)</f>
        <v>4.53</v>
      </c>
      <c r="J6" s="400">
        <f>MIN(H6)</f>
        <v>4.53</v>
      </c>
      <c r="K6" s="321"/>
      <c r="L6" s="321">
        <f>$H6*K6/100</f>
        <v>0</v>
      </c>
      <c r="M6" s="398">
        <v>5.78</v>
      </c>
      <c r="N6" s="399">
        <f>MAX(M6)</f>
        <v>5.78</v>
      </c>
      <c r="O6" s="400">
        <f>MIN(M6)</f>
        <v>5.78</v>
      </c>
      <c r="P6" s="321"/>
      <c r="Q6" s="321">
        <f>$M6*P6/100</f>
        <v>0</v>
      </c>
      <c r="R6" s="398">
        <v>3.29</v>
      </c>
      <c r="S6" s="399">
        <f>MAX(R6)</f>
        <v>3.29</v>
      </c>
      <c r="T6" s="400">
        <f>MIN(R6)</f>
        <v>3.29</v>
      </c>
      <c r="U6" s="321"/>
      <c r="V6" s="321">
        <f>$R6*U6/100</f>
        <v>0</v>
      </c>
      <c r="W6" s="398">
        <v>4.6100000000000003</v>
      </c>
      <c r="X6" s="399">
        <f>MAX(W6)</f>
        <v>4.6100000000000003</v>
      </c>
      <c r="Y6" s="400">
        <f>MIN(W6)</f>
        <v>4.6100000000000003</v>
      </c>
      <c r="Z6" s="321"/>
      <c r="AA6" s="321">
        <f>$W6*Z6/100</f>
        <v>0</v>
      </c>
      <c r="AB6" s="398">
        <v>3.72</v>
      </c>
      <c r="AC6" s="399">
        <f>MAX(AB6)</f>
        <v>3.72</v>
      </c>
      <c r="AD6" s="400">
        <f>MIN(AB6)</f>
        <v>3.72</v>
      </c>
      <c r="AE6" s="321"/>
      <c r="AF6" s="321">
        <f>$AB6*AE6/100</f>
        <v>0</v>
      </c>
      <c r="AG6" s="398">
        <v>4.9000000000000004</v>
      </c>
      <c r="AH6" s="399">
        <f>MAX(AG6)</f>
        <v>4.9000000000000004</v>
      </c>
      <c r="AI6" s="400">
        <f>MIN(AG6)</f>
        <v>4.9000000000000004</v>
      </c>
      <c r="AJ6" s="321"/>
      <c r="AK6" s="321">
        <f>$AG6*AJ6/100</f>
        <v>0</v>
      </c>
      <c r="AL6" s="398">
        <v>4.03</v>
      </c>
      <c r="AM6" s="399">
        <f>MAX(AL6)</f>
        <v>4.03</v>
      </c>
      <c r="AN6" s="400">
        <f>MIN(AL6)</f>
        <v>4.03</v>
      </c>
      <c r="AO6" s="321"/>
      <c r="AP6" s="321">
        <f>$AL6*AO6/100</f>
        <v>0</v>
      </c>
    </row>
    <row r="7" spans="1:42" ht="15.75">
      <c r="A7" s="321">
        <v>2</v>
      </c>
      <c r="B7" s="408" t="s">
        <v>201</v>
      </c>
      <c r="C7" s="407"/>
      <c r="D7" s="400"/>
      <c r="E7" s="400"/>
      <c r="F7" s="321"/>
      <c r="G7" s="321">
        <f t="shared" ref="G7:G163" si="0">$C7*F7/100</f>
        <v>0</v>
      </c>
      <c r="H7" s="407"/>
      <c r="I7" s="400"/>
      <c r="J7" s="400"/>
      <c r="K7" s="321"/>
      <c r="L7" s="321">
        <f t="shared" ref="L7:L66" si="1">$H7*K7/100</f>
        <v>0</v>
      </c>
      <c r="M7" s="407"/>
      <c r="N7" s="400"/>
      <c r="O7" s="400"/>
      <c r="P7" s="321"/>
      <c r="Q7" s="321">
        <f t="shared" ref="Q7:Q66" si="2">$M7*P7/100</f>
        <v>0</v>
      </c>
      <c r="R7" s="407"/>
      <c r="S7" s="400"/>
      <c r="T7" s="400"/>
      <c r="U7" s="321"/>
      <c r="V7" s="321">
        <f t="shared" ref="V7:V66" si="3">$R7*U7/100</f>
        <v>0</v>
      </c>
      <c r="W7" s="407"/>
      <c r="X7" s="400"/>
      <c r="Y7" s="400"/>
      <c r="Z7" s="321"/>
      <c r="AA7" s="321">
        <f t="shared" ref="AA7:AA66" si="4">$W7*Z7/100</f>
        <v>0</v>
      </c>
      <c r="AB7" s="407"/>
      <c r="AC7" s="400"/>
      <c r="AD7" s="400"/>
      <c r="AE7" s="321"/>
      <c r="AF7" s="321">
        <f t="shared" ref="AF7:AF66" si="5">$AB7*AE7/100</f>
        <v>0</v>
      </c>
      <c r="AG7" s="407"/>
      <c r="AH7" s="400"/>
      <c r="AI7" s="400"/>
      <c r="AJ7" s="321"/>
      <c r="AK7" s="321">
        <f t="shared" ref="AK7:AK66" si="6">$AG7*AJ7/100</f>
        <v>0</v>
      </c>
      <c r="AL7" s="407"/>
      <c r="AM7" s="400"/>
      <c r="AN7" s="400"/>
      <c r="AO7" s="321"/>
      <c r="AP7" s="321">
        <f t="shared" ref="AP7:AP66" si="7">$AL7*AO7/100</f>
        <v>0</v>
      </c>
    </row>
    <row r="8" spans="1:42" ht="46.5" customHeight="1">
      <c r="A8" s="397"/>
      <c r="B8" s="398" t="s">
        <v>431</v>
      </c>
      <c r="C8" s="407">
        <v>4.9400000000000004</v>
      </c>
      <c r="D8" s="399">
        <f>MAX(C8)</f>
        <v>4.9400000000000004</v>
      </c>
      <c r="E8" s="400">
        <f>MIN(C8)</f>
        <v>4.9400000000000004</v>
      </c>
      <c r="F8" s="321">
        <v>100</v>
      </c>
      <c r="G8" s="321">
        <f t="shared" si="0"/>
        <v>4.9400000000000004</v>
      </c>
      <c r="H8" s="407">
        <v>6.96</v>
      </c>
      <c r="I8" s="399">
        <f>MAX(H8)</f>
        <v>6.96</v>
      </c>
      <c r="J8" s="400">
        <f>MIN(H8)</f>
        <v>6.96</v>
      </c>
      <c r="K8" s="321"/>
      <c r="L8" s="321">
        <f t="shared" si="1"/>
        <v>0</v>
      </c>
      <c r="M8" s="407">
        <v>5.54</v>
      </c>
      <c r="N8" s="399">
        <f>MAX(M8)</f>
        <v>5.54</v>
      </c>
      <c r="O8" s="400">
        <f>MIN(M8)</f>
        <v>5.54</v>
      </c>
      <c r="P8" s="321"/>
      <c r="Q8" s="321">
        <f t="shared" si="2"/>
        <v>0</v>
      </c>
      <c r="R8" s="407">
        <v>5.75</v>
      </c>
      <c r="S8" s="399">
        <f>MAX(R8)</f>
        <v>5.75</v>
      </c>
      <c r="T8" s="400">
        <f>MIN(R8)</f>
        <v>5.75</v>
      </c>
      <c r="U8" s="321"/>
      <c r="V8" s="321">
        <f t="shared" si="3"/>
        <v>0</v>
      </c>
      <c r="W8" s="407">
        <v>4.01</v>
      </c>
      <c r="X8" s="399">
        <f>MAX(W8)</f>
        <v>4.01</v>
      </c>
      <c r="Y8" s="400">
        <f>MIN(W8)</f>
        <v>4.01</v>
      </c>
      <c r="Z8" s="321"/>
      <c r="AA8" s="321">
        <f t="shared" si="4"/>
        <v>0</v>
      </c>
      <c r="AB8" s="407">
        <v>6.85</v>
      </c>
      <c r="AC8" s="399">
        <f>MAX(AB8)</f>
        <v>6.85</v>
      </c>
      <c r="AD8" s="400">
        <f>MIN(AB8)</f>
        <v>6.85</v>
      </c>
      <c r="AE8" s="321"/>
      <c r="AF8" s="321">
        <f t="shared" si="5"/>
        <v>0</v>
      </c>
      <c r="AG8" s="407">
        <v>7.16</v>
      </c>
      <c r="AH8" s="399">
        <f>MAX(AG8)</f>
        <v>7.16</v>
      </c>
      <c r="AI8" s="400">
        <f>MIN(AG8)</f>
        <v>7.16</v>
      </c>
      <c r="AJ8" s="321"/>
      <c r="AK8" s="321">
        <f t="shared" si="6"/>
        <v>0</v>
      </c>
      <c r="AL8" s="407">
        <v>8.6</v>
      </c>
      <c r="AM8" s="399">
        <f>MAX(AL8)</f>
        <v>8.6</v>
      </c>
      <c r="AN8" s="400">
        <f>MIN(AL8)</f>
        <v>8.6</v>
      </c>
      <c r="AO8" s="321"/>
      <c r="AP8" s="321">
        <f t="shared" si="7"/>
        <v>0</v>
      </c>
    </row>
    <row r="9" spans="1:42" ht="15.75">
      <c r="A9" s="321">
        <v>3</v>
      </c>
      <c r="B9" s="408" t="s">
        <v>267</v>
      </c>
      <c r="C9" s="407"/>
      <c r="D9" s="400"/>
      <c r="E9" s="400"/>
      <c r="F9" s="321"/>
      <c r="G9" s="321">
        <f t="shared" si="0"/>
        <v>0</v>
      </c>
      <c r="H9" s="407"/>
      <c r="I9" s="400"/>
      <c r="J9" s="400"/>
      <c r="K9" s="321"/>
      <c r="L9" s="321">
        <f t="shared" si="1"/>
        <v>0</v>
      </c>
      <c r="M9" s="407"/>
      <c r="N9" s="400"/>
      <c r="O9" s="400"/>
      <c r="P9" s="321"/>
      <c r="Q9" s="321">
        <f t="shared" si="2"/>
        <v>0</v>
      </c>
      <c r="R9" s="407"/>
      <c r="S9" s="400"/>
      <c r="T9" s="400"/>
      <c r="U9" s="321"/>
      <c r="V9" s="321">
        <f t="shared" si="3"/>
        <v>0</v>
      </c>
      <c r="W9" s="407"/>
      <c r="X9" s="400"/>
      <c r="Y9" s="400"/>
      <c r="Z9" s="321"/>
      <c r="AA9" s="321">
        <f t="shared" si="4"/>
        <v>0</v>
      </c>
      <c r="AB9" s="407"/>
      <c r="AC9" s="400"/>
      <c r="AD9" s="400"/>
      <c r="AE9" s="321"/>
      <c r="AF9" s="321">
        <f t="shared" si="5"/>
        <v>0</v>
      </c>
      <c r="AG9" s="407"/>
      <c r="AH9" s="400"/>
      <c r="AI9" s="400"/>
      <c r="AJ9" s="321"/>
      <c r="AK9" s="321">
        <f t="shared" si="6"/>
        <v>0</v>
      </c>
      <c r="AL9" s="407"/>
      <c r="AM9" s="400"/>
      <c r="AN9" s="400"/>
      <c r="AO9" s="321"/>
      <c r="AP9" s="321">
        <f t="shared" si="7"/>
        <v>0</v>
      </c>
    </row>
    <row r="10" spans="1:42" ht="15.75">
      <c r="A10" s="321"/>
      <c r="B10" s="408" t="s">
        <v>268</v>
      </c>
      <c r="C10" s="407"/>
      <c r="D10" s="400"/>
      <c r="E10" s="400"/>
      <c r="F10" s="321"/>
      <c r="G10" s="321">
        <f t="shared" si="0"/>
        <v>0</v>
      </c>
      <c r="H10" s="407"/>
      <c r="I10" s="400"/>
      <c r="J10" s="400"/>
      <c r="K10" s="321"/>
      <c r="L10" s="321">
        <f t="shared" si="1"/>
        <v>0</v>
      </c>
      <c r="M10" s="407"/>
      <c r="N10" s="400"/>
      <c r="O10" s="400"/>
      <c r="P10" s="321"/>
      <c r="Q10" s="321">
        <f t="shared" si="2"/>
        <v>0</v>
      </c>
      <c r="R10" s="407"/>
      <c r="S10" s="400"/>
      <c r="T10" s="400"/>
      <c r="U10" s="321"/>
      <c r="V10" s="321">
        <f t="shared" si="3"/>
        <v>0</v>
      </c>
      <c r="W10" s="407"/>
      <c r="X10" s="400"/>
      <c r="Y10" s="400"/>
      <c r="Z10" s="321"/>
      <c r="AA10" s="321">
        <f t="shared" si="4"/>
        <v>0</v>
      </c>
      <c r="AB10" s="407"/>
      <c r="AC10" s="400"/>
      <c r="AD10" s="400"/>
      <c r="AE10" s="321"/>
      <c r="AF10" s="321">
        <f t="shared" si="5"/>
        <v>0</v>
      </c>
      <c r="AG10" s="407"/>
      <c r="AH10" s="400"/>
      <c r="AI10" s="400"/>
      <c r="AJ10" s="321"/>
      <c r="AK10" s="321">
        <f t="shared" si="6"/>
        <v>0</v>
      </c>
      <c r="AL10" s="407"/>
      <c r="AM10" s="400"/>
      <c r="AN10" s="400"/>
      <c r="AO10" s="321"/>
      <c r="AP10" s="321">
        <f t="shared" si="7"/>
        <v>0</v>
      </c>
    </row>
    <row r="11" spans="1:42" ht="31.5" customHeight="1">
      <c r="A11" s="397"/>
      <c r="B11" s="398" t="s">
        <v>432</v>
      </c>
      <c r="C11" s="407">
        <v>0.53</v>
      </c>
      <c r="D11" s="399">
        <f>MAX(C11:C17)</f>
        <v>5.26</v>
      </c>
      <c r="E11" s="400">
        <f>MIN(C11:C17)</f>
        <v>0.42</v>
      </c>
      <c r="F11" s="321">
        <v>100</v>
      </c>
      <c r="G11" s="321">
        <f t="shared" si="0"/>
        <v>0.53</v>
      </c>
      <c r="H11" s="407">
        <v>0.43</v>
      </c>
      <c r="I11" s="399">
        <f>MAX(H11:H17)</f>
        <v>4.3099999999999996</v>
      </c>
      <c r="J11" s="400">
        <f>MIN(H11:H17)</f>
        <v>0.34</v>
      </c>
      <c r="K11" s="321"/>
      <c r="L11" s="321">
        <f t="shared" si="1"/>
        <v>0</v>
      </c>
      <c r="M11" s="407">
        <v>0.28999999999999998</v>
      </c>
      <c r="N11" s="399">
        <f>MAX(M11:M17)</f>
        <v>2.95</v>
      </c>
      <c r="O11" s="400">
        <f>MIN(M11:M17)</f>
        <v>0.23</v>
      </c>
      <c r="P11" s="321"/>
      <c r="Q11" s="321">
        <f t="shared" si="2"/>
        <v>0</v>
      </c>
      <c r="R11" s="407">
        <v>2.69</v>
      </c>
      <c r="S11" s="399">
        <f>MAX(R11:R17)</f>
        <v>26.92</v>
      </c>
      <c r="T11" s="400">
        <f>MIN(R11:R17)</f>
        <v>2.14</v>
      </c>
      <c r="U11" s="321"/>
      <c r="V11" s="321">
        <f t="shared" si="3"/>
        <v>0</v>
      </c>
      <c r="W11" s="407">
        <v>0.38</v>
      </c>
      <c r="X11" s="399">
        <f>MAX(W11:W17)</f>
        <v>3.78</v>
      </c>
      <c r="Y11" s="400">
        <f>MIN(W11:W17)</f>
        <v>0.3</v>
      </c>
      <c r="Z11" s="321"/>
      <c r="AA11" s="321">
        <f t="shared" si="4"/>
        <v>0</v>
      </c>
      <c r="AB11" s="407">
        <v>0.06</v>
      </c>
      <c r="AC11" s="399">
        <f>MAX(AB11:AB17)</f>
        <v>0.61</v>
      </c>
      <c r="AD11" s="400">
        <f>MIN(AB11:AB17)</f>
        <v>0.05</v>
      </c>
      <c r="AE11" s="321"/>
      <c r="AF11" s="321">
        <f t="shared" si="5"/>
        <v>0</v>
      </c>
      <c r="AG11" s="407">
        <v>0.37</v>
      </c>
      <c r="AH11" s="399">
        <f>MAX(AG11:AG17)</f>
        <v>3.72</v>
      </c>
      <c r="AI11" s="400">
        <f>MIN(AG11:AG17)</f>
        <v>0.3</v>
      </c>
      <c r="AJ11" s="321"/>
      <c r="AK11" s="321">
        <f t="shared" si="6"/>
        <v>0</v>
      </c>
      <c r="AL11" s="407">
        <v>0.24</v>
      </c>
      <c r="AM11" s="399">
        <f>MAX(AL11:AL17)</f>
        <v>2.39</v>
      </c>
      <c r="AN11" s="400">
        <f>MIN(AL11:AL17)</f>
        <v>0.19</v>
      </c>
      <c r="AO11" s="321"/>
      <c r="AP11" s="321">
        <f t="shared" si="7"/>
        <v>0</v>
      </c>
    </row>
    <row r="12" spans="1:42" ht="31.5" customHeight="1">
      <c r="A12" s="397"/>
      <c r="B12" s="398" t="s">
        <v>433</v>
      </c>
      <c r="C12" s="407">
        <v>1.68</v>
      </c>
      <c r="D12" s="400"/>
      <c r="E12" s="400"/>
      <c r="F12" s="321"/>
      <c r="G12" s="321">
        <f t="shared" si="0"/>
        <v>0</v>
      </c>
      <c r="H12" s="407">
        <v>1.37</v>
      </c>
      <c r="I12" s="400"/>
      <c r="J12" s="400"/>
      <c r="K12" s="321"/>
      <c r="L12" s="321">
        <f t="shared" si="1"/>
        <v>0</v>
      </c>
      <c r="M12" s="407">
        <v>0.94</v>
      </c>
      <c r="N12" s="400"/>
      <c r="O12" s="400"/>
      <c r="P12" s="321"/>
      <c r="Q12" s="321">
        <f t="shared" si="2"/>
        <v>0</v>
      </c>
      <c r="R12" s="407">
        <v>8.57</v>
      </c>
      <c r="S12" s="400"/>
      <c r="T12" s="400"/>
      <c r="U12" s="321"/>
      <c r="V12" s="321">
        <f t="shared" si="3"/>
        <v>0</v>
      </c>
      <c r="W12" s="407">
        <v>1.2</v>
      </c>
      <c r="X12" s="400"/>
      <c r="Y12" s="400"/>
      <c r="Z12" s="321"/>
      <c r="AA12" s="321">
        <f t="shared" si="4"/>
        <v>0</v>
      </c>
      <c r="AB12" s="407">
        <v>0.2</v>
      </c>
      <c r="AC12" s="400"/>
      <c r="AD12" s="400"/>
      <c r="AE12" s="321"/>
      <c r="AF12" s="321">
        <f t="shared" si="5"/>
        <v>0</v>
      </c>
      <c r="AG12" s="407">
        <v>1.19</v>
      </c>
      <c r="AH12" s="400"/>
      <c r="AI12" s="400"/>
      <c r="AJ12" s="321"/>
      <c r="AK12" s="321">
        <f t="shared" si="6"/>
        <v>0</v>
      </c>
      <c r="AL12" s="407">
        <v>0.76</v>
      </c>
      <c r="AM12" s="400"/>
      <c r="AN12" s="400"/>
      <c r="AO12" s="321"/>
      <c r="AP12" s="321">
        <f t="shared" si="7"/>
        <v>0</v>
      </c>
    </row>
    <row r="13" spans="1:42" ht="31.5" customHeight="1">
      <c r="A13" s="397"/>
      <c r="B13" s="398" t="s">
        <v>434</v>
      </c>
      <c r="C13" s="407">
        <v>0.92</v>
      </c>
      <c r="D13" s="400"/>
      <c r="E13" s="400"/>
      <c r="F13" s="321"/>
      <c r="G13" s="321">
        <f t="shared" si="0"/>
        <v>0</v>
      </c>
      <c r="H13" s="407">
        <v>0.75</v>
      </c>
      <c r="I13" s="400"/>
      <c r="J13" s="400"/>
      <c r="K13" s="321"/>
      <c r="L13" s="321">
        <f t="shared" si="1"/>
        <v>0</v>
      </c>
      <c r="M13" s="407">
        <v>0.52</v>
      </c>
      <c r="N13" s="400"/>
      <c r="O13" s="400"/>
      <c r="P13" s="321"/>
      <c r="Q13" s="321">
        <f t="shared" si="2"/>
        <v>0</v>
      </c>
      <c r="R13" s="407">
        <v>4.71</v>
      </c>
      <c r="S13" s="400"/>
      <c r="T13" s="400"/>
      <c r="U13" s="321"/>
      <c r="V13" s="321">
        <f t="shared" si="3"/>
        <v>0</v>
      </c>
      <c r="W13" s="407">
        <v>0.66</v>
      </c>
      <c r="X13" s="400"/>
      <c r="Y13" s="400"/>
      <c r="Z13" s="321"/>
      <c r="AA13" s="321">
        <f t="shared" si="4"/>
        <v>0</v>
      </c>
      <c r="AB13" s="407">
        <v>0.11</v>
      </c>
      <c r="AC13" s="400"/>
      <c r="AD13" s="400"/>
      <c r="AE13" s="321"/>
      <c r="AF13" s="321">
        <f t="shared" si="5"/>
        <v>0</v>
      </c>
      <c r="AG13" s="407">
        <v>0.65</v>
      </c>
      <c r="AH13" s="400"/>
      <c r="AI13" s="400"/>
      <c r="AJ13" s="321"/>
      <c r="AK13" s="321">
        <f t="shared" si="6"/>
        <v>0</v>
      </c>
      <c r="AL13" s="407">
        <v>0.42</v>
      </c>
      <c r="AM13" s="400"/>
      <c r="AN13" s="400"/>
      <c r="AO13" s="321"/>
      <c r="AP13" s="321">
        <f t="shared" si="7"/>
        <v>0</v>
      </c>
    </row>
    <row r="14" spans="1:42" ht="31.5" customHeight="1">
      <c r="A14" s="397"/>
      <c r="B14" s="398" t="s">
        <v>435</v>
      </c>
      <c r="C14" s="407">
        <v>0.78</v>
      </c>
      <c r="D14" s="400"/>
      <c r="E14" s="400"/>
      <c r="F14" s="321"/>
      <c r="G14" s="321">
        <f t="shared" si="0"/>
        <v>0</v>
      </c>
      <c r="H14" s="407">
        <v>0.64</v>
      </c>
      <c r="I14" s="400"/>
      <c r="J14" s="400"/>
      <c r="K14" s="321"/>
      <c r="L14" s="321">
        <f t="shared" si="1"/>
        <v>0</v>
      </c>
      <c r="M14" s="407">
        <v>0.44</v>
      </c>
      <c r="N14" s="400"/>
      <c r="O14" s="400"/>
      <c r="P14" s="321"/>
      <c r="Q14" s="321">
        <f t="shared" si="2"/>
        <v>0</v>
      </c>
      <c r="R14" s="407">
        <v>4</v>
      </c>
      <c r="S14" s="400"/>
      <c r="T14" s="400"/>
      <c r="U14" s="321"/>
      <c r="V14" s="321">
        <f t="shared" si="3"/>
        <v>0</v>
      </c>
      <c r="W14" s="407">
        <v>0.56000000000000005</v>
      </c>
      <c r="X14" s="400"/>
      <c r="Y14" s="400"/>
      <c r="Z14" s="321"/>
      <c r="AA14" s="321">
        <f t="shared" si="4"/>
        <v>0</v>
      </c>
      <c r="AB14" s="407">
        <v>0.09</v>
      </c>
      <c r="AC14" s="400"/>
      <c r="AD14" s="400"/>
      <c r="AE14" s="321"/>
      <c r="AF14" s="321">
        <f t="shared" si="5"/>
        <v>0</v>
      </c>
      <c r="AG14" s="407">
        <v>0.55000000000000004</v>
      </c>
      <c r="AH14" s="400"/>
      <c r="AI14" s="400"/>
      <c r="AJ14" s="321"/>
      <c r="AK14" s="321">
        <f t="shared" si="6"/>
        <v>0</v>
      </c>
      <c r="AL14" s="407">
        <v>0.36</v>
      </c>
      <c r="AM14" s="400"/>
      <c r="AN14" s="400"/>
      <c r="AO14" s="321"/>
      <c r="AP14" s="321">
        <f t="shared" si="7"/>
        <v>0</v>
      </c>
    </row>
    <row r="15" spans="1:42" ht="31.5" customHeight="1">
      <c r="A15" s="397"/>
      <c r="B15" s="398" t="s">
        <v>436</v>
      </c>
      <c r="C15" s="407">
        <v>5.26</v>
      </c>
      <c r="D15" s="400"/>
      <c r="E15" s="400"/>
      <c r="F15" s="321"/>
      <c r="G15" s="321">
        <f t="shared" si="0"/>
        <v>0</v>
      </c>
      <c r="H15" s="407">
        <v>4.3099999999999996</v>
      </c>
      <c r="I15" s="400"/>
      <c r="J15" s="400"/>
      <c r="K15" s="321"/>
      <c r="L15" s="321">
        <f t="shared" si="1"/>
        <v>0</v>
      </c>
      <c r="M15" s="407">
        <v>2.95</v>
      </c>
      <c r="N15" s="400"/>
      <c r="O15" s="400"/>
      <c r="P15" s="321"/>
      <c r="Q15" s="321">
        <f t="shared" si="2"/>
        <v>0</v>
      </c>
      <c r="R15" s="407">
        <v>26.92</v>
      </c>
      <c r="S15" s="400"/>
      <c r="T15" s="400"/>
      <c r="U15" s="321"/>
      <c r="V15" s="321">
        <f t="shared" si="3"/>
        <v>0</v>
      </c>
      <c r="W15" s="407">
        <v>3.78</v>
      </c>
      <c r="X15" s="400"/>
      <c r="Y15" s="400"/>
      <c r="Z15" s="321"/>
      <c r="AA15" s="321">
        <f t="shared" si="4"/>
        <v>0</v>
      </c>
      <c r="AB15" s="407">
        <v>0.61</v>
      </c>
      <c r="AC15" s="400"/>
      <c r="AD15" s="400"/>
      <c r="AE15" s="321"/>
      <c r="AF15" s="321">
        <f t="shared" si="5"/>
        <v>0</v>
      </c>
      <c r="AG15" s="407">
        <v>3.72</v>
      </c>
      <c r="AH15" s="400"/>
      <c r="AI15" s="400"/>
      <c r="AJ15" s="321"/>
      <c r="AK15" s="321">
        <f t="shared" si="6"/>
        <v>0</v>
      </c>
      <c r="AL15" s="407">
        <v>2.39</v>
      </c>
      <c r="AM15" s="400"/>
      <c r="AN15" s="400"/>
      <c r="AO15" s="321"/>
      <c r="AP15" s="321">
        <f t="shared" si="7"/>
        <v>0</v>
      </c>
    </row>
    <row r="16" spans="1:42" ht="31.5" customHeight="1">
      <c r="A16" s="397"/>
      <c r="B16" s="398" t="s">
        <v>437</v>
      </c>
      <c r="C16" s="407">
        <v>0.42</v>
      </c>
      <c r="D16" s="400"/>
      <c r="E16" s="400"/>
      <c r="F16" s="321"/>
      <c r="G16" s="321">
        <f t="shared" si="0"/>
        <v>0</v>
      </c>
      <c r="H16" s="407">
        <v>0.34</v>
      </c>
      <c r="I16" s="400"/>
      <c r="J16" s="400"/>
      <c r="K16" s="321"/>
      <c r="L16" s="321">
        <f t="shared" si="1"/>
        <v>0</v>
      </c>
      <c r="M16" s="407">
        <v>0.23</v>
      </c>
      <c r="N16" s="400"/>
      <c r="O16" s="400"/>
      <c r="P16" s="321"/>
      <c r="Q16" s="321">
        <f t="shared" si="2"/>
        <v>0</v>
      </c>
      <c r="R16" s="407">
        <v>2.14</v>
      </c>
      <c r="S16" s="400"/>
      <c r="T16" s="400"/>
      <c r="U16" s="321"/>
      <c r="V16" s="321">
        <f t="shared" si="3"/>
        <v>0</v>
      </c>
      <c r="W16" s="407">
        <v>0.3</v>
      </c>
      <c r="X16" s="400"/>
      <c r="Y16" s="400"/>
      <c r="Z16" s="321"/>
      <c r="AA16" s="321">
        <f t="shared" si="4"/>
        <v>0</v>
      </c>
      <c r="AB16" s="407">
        <v>0.05</v>
      </c>
      <c r="AC16" s="400"/>
      <c r="AD16" s="400"/>
      <c r="AE16" s="321"/>
      <c r="AF16" s="321">
        <f t="shared" si="5"/>
        <v>0</v>
      </c>
      <c r="AG16" s="407">
        <v>0.3</v>
      </c>
      <c r="AH16" s="400"/>
      <c r="AI16" s="400"/>
      <c r="AJ16" s="321"/>
      <c r="AK16" s="321">
        <f t="shared" si="6"/>
        <v>0</v>
      </c>
      <c r="AL16" s="407">
        <v>0.19</v>
      </c>
      <c r="AM16" s="400"/>
      <c r="AN16" s="400"/>
      <c r="AO16" s="321"/>
      <c r="AP16" s="321">
        <f t="shared" si="7"/>
        <v>0</v>
      </c>
    </row>
    <row r="17" spans="1:42" ht="31.5" customHeight="1">
      <c r="A17" s="397"/>
      <c r="B17" s="398" t="s">
        <v>438</v>
      </c>
      <c r="C17" s="407">
        <v>0.85</v>
      </c>
      <c r="D17" s="400"/>
      <c r="E17" s="400"/>
      <c r="F17" s="321"/>
      <c r="G17" s="321">
        <f t="shared" si="0"/>
        <v>0</v>
      </c>
      <c r="H17" s="407">
        <v>0.7</v>
      </c>
      <c r="I17" s="400"/>
      <c r="J17" s="400"/>
      <c r="K17" s="321"/>
      <c r="L17" s="321">
        <f t="shared" si="1"/>
        <v>0</v>
      </c>
      <c r="M17" s="407">
        <v>0.48</v>
      </c>
      <c r="N17" s="400"/>
      <c r="O17" s="400"/>
      <c r="P17" s="321"/>
      <c r="Q17" s="321">
        <f t="shared" si="2"/>
        <v>0</v>
      </c>
      <c r="R17" s="407">
        <v>4.3600000000000003</v>
      </c>
      <c r="S17" s="400"/>
      <c r="T17" s="400"/>
      <c r="U17" s="321"/>
      <c r="V17" s="321">
        <f t="shared" si="3"/>
        <v>0</v>
      </c>
      <c r="W17" s="407">
        <v>0.61</v>
      </c>
      <c r="X17" s="400"/>
      <c r="Y17" s="400"/>
      <c r="Z17" s="321"/>
      <c r="AA17" s="321">
        <f t="shared" si="4"/>
        <v>0</v>
      </c>
      <c r="AB17" s="407">
        <v>0.1</v>
      </c>
      <c r="AC17" s="400"/>
      <c r="AD17" s="400"/>
      <c r="AE17" s="321"/>
      <c r="AF17" s="321">
        <f t="shared" si="5"/>
        <v>0</v>
      </c>
      <c r="AG17" s="407">
        <v>0.6</v>
      </c>
      <c r="AH17" s="400"/>
      <c r="AI17" s="400"/>
      <c r="AJ17" s="321"/>
      <c r="AK17" s="321">
        <f t="shared" si="6"/>
        <v>0</v>
      </c>
      <c r="AL17" s="407">
        <v>0.39</v>
      </c>
      <c r="AM17" s="400"/>
      <c r="AN17" s="400"/>
      <c r="AO17" s="321"/>
      <c r="AP17" s="321">
        <f t="shared" si="7"/>
        <v>0</v>
      </c>
    </row>
    <row r="18" spans="1:42" ht="15.75">
      <c r="A18" s="321"/>
      <c r="B18" s="408" t="s">
        <v>281</v>
      </c>
      <c r="C18" s="407"/>
      <c r="D18" s="400"/>
      <c r="E18" s="400"/>
      <c r="F18" s="321"/>
      <c r="G18" s="321">
        <f t="shared" si="0"/>
        <v>0</v>
      </c>
      <c r="H18" s="407"/>
      <c r="I18" s="400"/>
      <c r="J18" s="400"/>
      <c r="K18" s="321"/>
      <c r="L18" s="321">
        <f t="shared" si="1"/>
        <v>0</v>
      </c>
      <c r="M18" s="407"/>
      <c r="N18" s="400"/>
      <c r="O18" s="400"/>
      <c r="P18" s="321"/>
      <c r="Q18" s="321">
        <f t="shared" si="2"/>
        <v>0</v>
      </c>
      <c r="R18" s="407"/>
      <c r="S18" s="400"/>
      <c r="T18" s="400"/>
      <c r="U18" s="321"/>
      <c r="V18" s="321">
        <f t="shared" si="3"/>
        <v>0</v>
      </c>
      <c r="W18" s="407"/>
      <c r="X18" s="400"/>
      <c r="Y18" s="400"/>
      <c r="Z18" s="321"/>
      <c r="AA18" s="321">
        <f t="shared" si="4"/>
        <v>0</v>
      </c>
      <c r="AB18" s="407"/>
      <c r="AC18" s="400"/>
      <c r="AD18" s="400"/>
      <c r="AE18" s="321"/>
      <c r="AF18" s="321">
        <f t="shared" si="5"/>
        <v>0</v>
      </c>
      <c r="AG18" s="407"/>
      <c r="AH18" s="400"/>
      <c r="AI18" s="400"/>
      <c r="AJ18" s="321"/>
      <c r="AK18" s="321">
        <f t="shared" si="6"/>
        <v>0</v>
      </c>
      <c r="AL18" s="407"/>
      <c r="AM18" s="400"/>
      <c r="AN18" s="400"/>
      <c r="AO18" s="321"/>
      <c r="AP18" s="321">
        <f t="shared" si="7"/>
        <v>0</v>
      </c>
    </row>
    <row r="19" spans="1:42" ht="15.75">
      <c r="A19" s="397"/>
      <c r="B19" s="398" t="s">
        <v>439</v>
      </c>
      <c r="C19" s="407">
        <v>1.03</v>
      </c>
      <c r="D19" s="399">
        <f>MAX(C19:C25)</f>
        <v>14.24</v>
      </c>
      <c r="E19" s="400">
        <f>MIN(C19:C25)</f>
        <v>1.03</v>
      </c>
      <c r="F19" s="321">
        <v>100</v>
      </c>
      <c r="G19" s="321">
        <f t="shared" si="0"/>
        <v>1.03</v>
      </c>
      <c r="H19" s="407">
        <v>0.57999999999999996</v>
      </c>
      <c r="I19" s="399">
        <f>MAX(H19:H25)</f>
        <v>8</v>
      </c>
      <c r="J19" s="400">
        <f>MIN(H19:H25)</f>
        <v>0.57999999999999996</v>
      </c>
      <c r="K19" s="321"/>
      <c r="L19" s="321">
        <f t="shared" si="1"/>
        <v>0</v>
      </c>
      <c r="M19" s="407">
        <v>0.28999999999999998</v>
      </c>
      <c r="N19" s="399">
        <f>MAX(M19:M25)</f>
        <v>4.05</v>
      </c>
      <c r="O19" s="400">
        <f>MIN(M19:M25)</f>
        <v>0.28999999999999998</v>
      </c>
      <c r="P19" s="321"/>
      <c r="Q19" s="321">
        <f t="shared" si="2"/>
        <v>0</v>
      </c>
      <c r="R19" s="407">
        <v>1.02</v>
      </c>
      <c r="S19" s="399">
        <f>MAX(R19:R25)</f>
        <v>14.06</v>
      </c>
      <c r="T19" s="400">
        <f>MIN(R19:R25)</f>
        <v>1.02</v>
      </c>
      <c r="U19" s="321"/>
      <c r="V19" s="321">
        <f t="shared" si="3"/>
        <v>0</v>
      </c>
      <c r="W19" s="407">
        <v>0.26</v>
      </c>
      <c r="X19" s="399">
        <f>MAX(W19:W25)</f>
        <v>3.54</v>
      </c>
      <c r="Y19" s="400">
        <f>MIN(W19:W25)</f>
        <v>0.26</v>
      </c>
      <c r="Z19" s="321"/>
      <c r="AA19" s="321">
        <f t="shared" si="4"/>
        <v>0</v>
      </c>
      <c r="AB19" s="407">
        <v>0.17</v>
      </c>
      <c r="AC19" s="399">
        <f>MAX(AB19:AB25)</f>
        <v>2.34</v>
      </c>
      <c r="AD19" s="400">
        <f>MIN(AB19:AB25)</f>
        <v>0.17</v>
      </c>
      <c r="AE19" s="321"/>
      <c r="AF19" s="321">
        <f t="shared" si="5"/>
        <v>0</v>
      </c>
      <c r="AG19" s="407">
        <v>0.21</v>
      </c>
      <c r="AH19" s="399">
        <f>MAX(AG19:AG25)</f>
        <v>2.82</v>
      </c>
      <c r="AI19" s="400">
        <f>MIN(AG19:AG25)</f>
        <v>0.21</v>
      </c>
      <c r="AJ19" s="321"/>
      <c r="AK19" s="321">
        <f t="shared" si="6"/>
        <v>0</v>
      </c>
      <c r="AL19" s="407">
        <v>0.91</v>
      </c>
      <c r="AM19" s="399">
        <f>MAX(AL19:AL25)</f>
        <v>12.57</v>
      </c>
      <c r="AN19" s="400">
        <f>MIN(AL19:AL25)</f>
        <v>0.91</v>
      </c>
      <c r="AO19" s="321"/>
      <c r="AP19" s="321">
        <f t="shared" si="7"/>
        <v>0</v>
      </c>
    </row>
    <row r="20" spans="1:42" ht="15.75">
      <c r="A20" s="397"/>
      <c r="B20" s="398" t="s">
        <v>440</v>
      </c>
      <c r="C20" s="407">
        <v>6.67</v>
      </c>
      <c r="D20" s="400"/>
      <c r="E20" s="400"/>
      <c r="F20" s="321"/>
      <c r="G20" s="321">
        <f t="shared" si="0"/>
        <v>0</v>
      </c>
      <c r="H20" s="407">
        <v>3.75</v>
      </c>
      <c r="I20" s="400"/>
      <c r="J20" s="400"/>
      <c r="K20" s="321"/>
      <c r="L20" s="321">
        <f t="shared" si="1"/>
        <v>0</v>
      </c>
      <c r="M20" s="407">
        <v>1.9</v>
      </c>
      <c r="N20" s="400"/>
      <c r="O20" s="400"/>
      <c r="P20" s="321"/>
      <c r="Q20" s="321">
        <f t="shared" si="2"/>
        <v>0</v>
      </c>
      <c r="R20" s="407">
        <v>6.59</v>
      </c>
      <c r="S20" s="400"/>
      <c r="T20" s="400"/>
      <c r="U20" s="321"/>
      <c r="V20" s="321">
        <f t="shared" si="3"/>
        <v>0</v>
      </c>
      <c r="W20" s="407">
        <v>1.66</v>
      </c>
      <c r="X20" s="400"/>
      <c r="Y20" s="400"/>
      <c r="Z20" s="321"/>
      <c r="AA20" s="321">
        <f t="shared" si="4"/>
        <v>0</v>
      </c>
      <c r="AB20" s="407">
        <v>1.1000000000000001</v>
      </c>
      <c r="AC20" s="400"/>
      <c r="AD20" s="400"/>
      <c r="AE20" s="321"/>
      <c r="AF20" s="321">
        <f t="shared" si="5"/>
        <v>0</v>
      </c>
      <c r="AG20" s="407">
        <v>1.32</v>
      </c>
      <c r="AH20" s="400"/>
      <c r="AI20" s="400"/>
      <c r="AJ20" s="321"/>
      <c r="AK20" s="321">
        <f t="shared" si="6"/>
        <v>0</v>
      </c>
      <c r="AL20" s="407">
        <v>5.89</v>
      </c>
      <c r="AM20" s="400"/>
      <c r="AN20" s="400"/>
      <c r="AO20" s="321"/>
      <c r="AP20" s="321">
        <f t="shared" si="7"/>
        <v>0</v>
      </c>
    </row>
    <row r="21" spans="1:42" ht="15.75">
      <c r="A21" s="397"/>
      <c r="B21" s="398" t="s">
        <v>441</v>
      </c>
      <c r="C21" s="407">
        <v>1.8</v>
      </c>
      <c r="D21" s="400"/>
      <c r="E21" s="400"/>
      <c r="F21" s="321"/>
      <c r="G21" s="321">
        <f t="shared" si="0"/>
        <v>0</v>
      </c>
      <c r="H21" s="407">
        <v>1.01</v>
      </c>
      <c r="I21" s="400"/>
      <c r="J21" s="400"/>
      <c r="K21" s="321"/>
      <c r="L21" s="321">
        <f t="shared" si="1"/>
        <v>0</v>
      </c>
      <c r="M21" s="407">
        <v>0.51</v>
      </c>
      <c r="N21" s="400"/>
      <c r="O21" s="400"/>
      <c r="P21" s="321"/>
      <c r="Q21" s="321">
        <f t="shared" si="2"/>
        <v>0</v>
      </c>
      <c r="R21" s="407">
        <v>1.77</v>
      </c>
      <c r="S21" s="400"/>
      <c r="T21" s="400"/>
      <c r="U21" s="321"/>
      <c r="V21" s="321">
        <f t="shared" si="3"/>
        <v>0</v>
      </c>
      <c r="W21" s="407">
        <v>0.45</v>
      </c>
      <c r="X21" s="400"/>
      <c r="Y21" s="400"/>
      <c r="Z21" s="321"/>
      <c r="AA21" s="321">
        <f t="shared" si="4"/>
        <v>0</v>
      </c>
      <c r="AB21" s="407">
        <v>0.3</v>
      </c>
      <c r="AC21" s="400"/>
      <c r="AD21" s="400"/>
      <c r="AE21" s="321"/>
      <c r="AF21" s="321">
        <f t="shared" si="5"/>
        <v>0</v>
      </c>
      <c r="AG21" s="407">
        <v>0.36</v>
      </c>
      <c r="AH21" s="400"/>
      <c r="AI21" s="400"/>
      <c r="AJ21" s="321"/>
      <c r="AK21" s="321">
        <f t="shared" si="6"/>
        <v>0</v>
      </c>
      <c r="AL21" s="407">
        <v>1.59</v>
      </c>
      <c r="AM21" s="400"/>
      <c r="AN21" s="400"/>
      <c r="AO21" s="321"/>
      <c r="AP21" s="321">
        <f t="shared" si="7"/>
        <v>0</v>
      </c>
    </row>
    <row r="22" spans="1:42" ht="15.75">
      <c r="A22" s="397"/>
      <c r="B22" s="398" t="s">
        <v>442</v>
      </c>
      <c r="C22" s="407">
        <v>2.2400000000000002</v>
      </c>
      <c r="D22" s="400"/>
      <c r="E22" s="400"/>
      <c r="F22" s="321"/>
      <c r="G22" s="321">
        <f t="shared" si="0"/>
        <v>0</v>
      </c>
      <c r="H22" s="407">
        <v>1.26</v>
      </c>
      <c r="I22" s="400"/>
      <c r="J22" s="400"/>
      <c r="K22" s="321"/>
      <c r="L22" s="321">
        <f t="shared" si="1"/>
        <v>0</v>
      </c>
      <c r="M22" s="407">
        <v>0.64</v>
      </c>
      <c r="N22" s="400"/>
      <c r="O22" s="400"/>
      <c r="P22" s="321"/>
      <c r="Q22" s="321">
        <f t="shared" si="2"/>
        <v>0</v>
      </c>
      <c r="R22" s="407">
        <v>2.2200000000000002</v>
      </c>
      <c r="S22" s="400"/>
      <c r="T22" s="400"/>
      <c r="U22" s="321"/>
      <c r="V22" s="321">
        <f t="shared" si="3"/>
        <v>0</v>
      </c>
      <c r="W22" s="407">
        <v>0.56000000000000005</v>
      </c>
      <c r="X22" s="400"/>
      <c r="Y22" s="400"/>
      <c r="Z22" s="321"/>
      <c r="AA22" s="321">
        <f t="shared" si="4"/>
        <v>0</v>
      </c>
      <c r="AB22" s="407">
        <v>0.37</v>
      </c>
      <c r="AC22" s="400"/>
      <c r="AD22" s="400"/>
      <c r="AE22" s="321"/>
      <c r="AF22" s="321">
        <f t="shared" si="5"/>
        <v>0</v>
      </c>
      <c r="AG22" s="407">
        <v>0.45</v>
      </c>
      <c r="AH22" s="400"/>
      <c r="AI22" s="400"/>
      <c r="AJ22" s="321"/>
      <c r="AK22" s="321">
        <f t="shared" si="6"/>
        <v>0</v>
      </c>
      <c r="AL22" s="407">
        <v>1.98</v>
      </c>
      <c r="AM22" s="400"/>
      <c r="AN22" s="400"/>
      <c r="AO22" s="321"/>
      <c r="AP22" s="321">
        <f t="shared" si="7"/>
        <v>0</v>
      </c>
    </row>
    <row r="23" spans="1:42" ht="15.75">
      <c r="A23" s="397"/>
      <c r="B23" s="398" t="s">
        <v>443</v>
      </c>
      <c r="C23" s="407">
        <v>10.25</v>
      </c>
      <c r="D23" s="400"/>
      <c r="E23" s="400"/>
      <c r="F23" s="321"/>
      <c r="G23" s="321">
        <f t="shared" si="0"/>
        <v>0</v>
      </c>
      <c r="H23" s="407">
        <v>5.76</v>
      </c>
      <c r="I23" s="400"/>
      <c r="J23" s="400"/>
      <c r="K23" s="321"/>
      <c r="L23" s="321">
        <f t="shared" si="1"/>
        <v>0</v>
      </c>
      <c r="M23" s="407">
        <v>2.92</v>
      </c>
      <c r="N23" s="400"/>
      <c r="O23" s="400"/>
      <c r="P23" s="321"/>
      <c r="Q23" s="321">
        <f t="shared" si="2"/>
        <v>0</v>
      </c>
      <c r="R23" s="407">
        <v>10.130000000000001</v>
      </c>
      <c r="S23" s="400"/>
      <c r="T23" s="400"/>
      <c r="U23" s="321"/>
      <c r="V23" s="321">
        <f t="shared" si="3"/>
        <v>0</v>
      </c>
      <c r="W23" s="407">
        <v>2.5499999999999998</v>
      </c>
      <c r="X23" s="400"/>
      <c r="Y23" s="400"/>
      <c r="Z23" s="321"/>
      <c r="AA23" s="321">
        <f t="shared" si="4"/>
        <v>0</v>
      </c>
      <c r="AB23" s="407">
        <v>1.69</v>
      </c>
      <c r="AC23" s="400"/>
      <c r="AD23" s="400"/>
      <c r="AE23" s="321"/>
      <c r="AF23" s="321">
        <f t="shared" si="5"/>
        <v>0</v>
      </c>
      <c r="AG23" s="407">
        <v>2.0299999999999998</v>
      </c>
      <c r="AH23" s="400"/>
      <c r="AI23" s="400"/>
      <c r="AJ23" s="321"/>
      <c r="AK23" s="321">
        <f t="shared" si="6"/>
        <v>0</v>
      </c>
      <c r="AL23" s="407">
        <v>9.0500000000000007</v>
      </c>
      <c r="AM23" s="400"/>
      <c r="AN23" s="400"/>
      <c r="AO23" s="321"/>
      <c r="AP23" s="321">
        <f t="shared" si="7"/>
        <v>0</v>
      </c>
    </row>
    <row r="24" spans="1:42" ht="31.5">
      <c r="A24" s="397"/>
      <c r="B24" s="398" t="s">
        <v>444</v>
      </c>
      <c r="C24" s="407">
        <v>1.66</v>
      </c>
      <c r="D24" s="400"/>
      <c r="E24" s="400"/>
      <c r="F24" s="321"/>
      <c r="G24" s="321">
        <f t="shared" si="0"/>
        <v>0</v>
      </c>
      <c r="H24" s="407">
        <v>0.93</v>
      </c>
      <c r="I24" s="400"/>
      <c r="J24" s="400"/>
      <c r="K24" s="321"/>
      <c r="L24" s="321">
        <f t="shared" si="1"/>
        <v>0</v>
      </c>
      <c r="M24" s="407">
        <v>0.47</v>
      </c>
      <c r="N24" s="400"/>
      <c r="O24" s="400"/>
      <c r="P24" s="321"/>
      <c r="Q24" s="321">
        <f t="shared" si="2"/>
        <v>0</v>
      </c>
      <c r="R24" s="407">
        <v>1.64</v>
      </c>
      <c r="S24" s="400"/>
      <c r="T24" s="400"/>
      <c r="U24" s="321"/>
      <c r="V24" s="321">
        <f t="shared" si="3"/>
        <v>0</v>
      </c>
      <c r="W24" s="407">
        <v>0.41</v>
      </c>
      <c r="X24" s="400"/>
      <c r="Y24" s="400"/>
      <c r="Z24" s="321"/>
      <c r="AA24" s="321">
        <f t="shared" si="4"/>
        <v>0</v>
      </c>
      <c r="AB24" s="407">
        <v>0.27</v>
      </c>
      <c r="AC24" s="400"/>
      <c r="AD24" s="400"/>
      <c r="AE24" s="321"/>
      <c r="AF24" s="321">
        <f t="shared" si="5"/>
        <v>0</v>
      </c>
      <c r="AG24" s="407">
        <v>0.33</v>
      </c>
      <c r="AH24" s="400"/>
      <c r="AI24" s="400"/>
      <c r="AJ24" s="321"/>
      <c r="AK24" s="321">
        <f t="shared" si="6"/>
        <v>0</v>
      </c>
      <c r="AL24" s="407">
        <v>1.47</v>
      </c>
      <c r="AM24" s="400"/>
      <c r="AN24" s="400"/>
      <c r="AO24" s="321"/>
      <c r="AP24" s="321">
        <f t="shared" si="7"/>
        <v>0</v>
      </c>
    </row>
    <row r="25" spans="1:42" ht="63">
      <c r="A25" s="397"/>
      <c r="B25" s="398" t="s">
        <v>445</v>
      </c>
      <c r="C25" s="407">
        <v>14.24</v>
      </c>
      <c r="D25" s="400"/>
      <c r="E25" s="400"/>
      <c r="F25" s="321"/>
      <c r="G25" s="321">
        <f t="shared" si="0"/>
        <v>0</v>
      </c>
      <c r="H25" s="407">
        <v>8</v>
      </c>
      <c r="I25" s="400"/>
      <c r="J25" s="400"/>
      <c r="K25" s="321"/>
      <c r="L25" s="321">
        <f t="shared" si="1"/>
        <v>0</v>
      </c>
      <c r="M25" s="407">
        <v>4.05</v>
      </c>
      <c r="N25" s="400"/>
      <c r="O25" s="400"/>
      <c r="P25" s="321"/>
      <c r="Q25" s="321">
        <f t="shared" si="2"/>
        <v>0</v>
      </c>
      <c r="R25" s="407">
        <v>14.06</v>
      </c>
      <c r="S25" s="400"/>
      <c r="T25" s="400"/>
      <c r="U25" s="321"/>
      <c r="V25" s="321">
        <f t="shared" si="3"/>
        <v>0</v>
      </c>
      <c r="W25" s="407">
        <v>3.54</v>
      </c>
      <c r="X25" s="400"/>
      <c r="Y25" s="400"/>
      <c r="Z25" s="321"/>
      <c r="AA25" s="321">
        <f t="shared" si="4"/>
        <v>0</v>
      </c>
      <c r="AB25" s="407">
        <v>2.34</v>
      </c>
      <c r="AC25" s="400"/>
      <c r="AD25" s="400"/>
      <c r="AE25" s="321"/>
      <c r="AF25" s="321">
        <f t="shared" si="5"/>
        <v>0</v>
      </c>
      <c r="AG25" s="407">
        <v>2.82</v>
      </c>
      <c r="AH25" s="400"/>
      <c r="AI25" s="400"/>
      <c r="AJ25" s="321"/>
      <c r="AK25" s="321">
        <f t="shared" si="6"/>
        <v>0</v>
      </c>
      <c r="AL25" s="407">
        <v>12.57</v>
      </c>
      <c r="AM25" s="400"/>
      <c r="AN25" s="400"/>
      <c r="AO25" s="321"/>
      <c r="AP25" s="321">
        <f t="shared" si="7"/>
        <v>0</v>
      </c>
    </row>
    <row r="26" spans="1:42" ht="15.75">
      <c r="A26" s="321">
        <v>4</v>
      </c>
      <c r="B26" s="408" t="s">
        <v>214</v>
      </c>
      <c r="C26" s="407"/>
      <c r="D26" s="400"/>
      <c r="E26" s="400"/>
      <c r="F26" s="321"/>
      <c r="G26" s="321">
        <f t="shared" si="0"/>
        <v>0</v>
      </c>
      <c r="H26" s="407"/>
      <c r="I26" s="400"/>
      <c r="J26" s="400"/>
      <c r="K26" s="321"/>
      <c r="L26" s="321">
        <f t="shared" si="1"/>
        <v>0</v>
      </c>
      <c r="M26" s="407"/>
      <c r="N26" s="400"/>
      <c r="O26" s="400"/>
      <c r="P26" s="321"/>
      <c r="Q26" s="321">
        <f t="shared" si="2"/>
        <v>0</v>
      </c>
      <c r="R26" s="407"/>
      <c r="S26" s="400"/>
      <c r="T26" s="400"/>
      <c r="U26" s="321"/>
      <c r="V26" s="321">
        <f t="shared" si="3"/>
        <v>0</v>
      </c>
      <c r="W26" s="407"/>
      <c r="X26" s="400"/>
      <c r="Y26" s="400"/>
      <c r="Z26" s="321"/>
      <c r="AA26" s="321">
        <f t="shared" si="4"/>
        <v>0</v>
      </c>
      <c r="AB26" s="407"/>
      <c r="AC26" s="400"/>
      <c r="AD26" s="400"/>
      <c r="AE26" s="321"/>
      <c r="AF26" s="321">
        <f t="shared" si="5"/>
        <v>0</v>
      </c>
      <c r="AG26" s="407"/>
      <c r="AH26" s="400"/>
      <c r="AI26" s="400"/>
      <c r="AJ26" s="321"/>
      <c r="AK26" s="321">
        <f t="shared" si="6"/>
        <v>0</v>
      </c>
      <c r="AL26" s="407"/>
      <c r="AM26" s="400"/>
      <c r="AN26" s="400"/>
      <c r="AO26" s="321"/>
      <c r="AP26" s="321">
        <f t="shared" si="7"/>
        <v>0</v>
      </c>
    </row>
    <row r="27" spans="1:42" ht="15.75">
      <c r="A27" s="397"/>
      <c r="B27" s="398" t="s">
        <v>293</v>
      </c>
      <c r="C27" s="407">
        <v>1.8</v>
      </c>
      <c r="D27" s="399">
        <f>MAX(C27:C41)</f>
        <v>6.5</v>
      </c>
      <c r="E27" s="400">
        <f>MIN(C27:C41)</f>
        <v>1.32</v>
      </c>
      <c r="F27" s="321"/>
      <c r="G27" s="321">
        <f t="shared" si="0"/>
        <v>0</v>
      </c>
      <c r="H27" s="407">
        <v>0.7</v>
      </c>
      <c r="I27" s="399">
        <f>MAX(H27:H41)</f>
        <v>4.13</v>
      </c>
      <c r="J27" s="400">
        <f>MIN(H27:H41)</f>
        <v>0.56000000000000005</v>
      </c>
      <c r="K27" s="321"/>
      <c r="L27" s="321">
        <f t="shared" si="1"/>
        <v>0</v>
      </c>
      <c r="M27" s="407">
        <v>0.4</v>
      </c>
      <c r="N27" s="399">
        <f>MAX(M27:M41)</f>
        <v>4.59</v>
      </c>
      <c r="O27" s="400">
        <f>MIN(M27:M41)</f>
        <v>0.3</v>
      </c>
      <c r="P27" s="321"/>
      <c r="Q27" s="321">
        <f t="shared" si="2"/>
        <v>0</v>
      </c>
      <c r="R27" s="407">
        <v>0.39</v>
      </c>
      <c r="S27" s="399">
        <f>MAX(R27:R41)</f>
        <v>5.63</v>
      </c>
      <c r="T27" s="400">
        <f>MIN(R27:R41)</f>
        <v>0.27</v>
      </c>
      <c r="U27" s="321"/>
      <c r="V27" s="321">
        <f t="shared" si="3"/>
        <v>0</v>
      </c>
      <c r="W27" s="407">
        <v>0.24</v>
      </c>
      <c r="X27" s="399">
        <f>MAX(W27:W41)</f>
        <v>4.38</v>
      </c>
      <c r="Y27" s="400">
        <f>MIN(W27:W41)</f>
        <v>0.17</v>
      </c>
      <c r="Z27" s="321"/>
      <c r="AA27" s="321">
        <f t="shared" si="4"/>
        <v>0</v>
      </c>
      <c r="AB27" s="407">
        <v>0.23</v>
      </c>
      <c r="AC27" s="399">
        <f>MAX(AB27:AB41)</f>
        <v>24.05</v>
      </c>
      <c r="AD27" s="400">
        <f>MIN(AB27:AB41)</f>
        <v>0.14000000000000001</v>
      </c>
      <c r="AE27" s="321"/>
      <c r="AF27" s="321">
        <f t="shared" si="5"/>
        <v>0</v>
      </c>
      <c r="AG27" s="407">
        <v>0.16</v>
      </c>
      <c r="AH27" s="399">
        <f>MAX(AG27:AG41)</f>
        <v>9.57</v>
      </c>
      <c r="AI27" s="400">
        <f>MIN(AG27:AG41)</f>
        <v>0.14000000000000001</v>
      </c>
      <c r="AJ27" s="321"/>
      <c r="AK27" s="321">
        <f t="shared" si="6"/>
        <v>0</v>
      </c>
      <c r="AL27" s="407">
        <v>0.08</v>
      </c>
      <c r="AM27" s="399">
        <f>MAX(AL27:AL41)</f>
        <v>8.57</v>
      </c>
      <c r="AN27" s="400">
        <f>MIN(AL27:AL41)</f>
        <v>0.06</v>
      </c>
      <c r="AO27" s="321"/>
      <c r="AP27" s="321">
        <f t="shared" si="7"/>
        <v>0</v>
      </c>
    </row>
    <row r="28" spans="1:42" ht="15.75">
      <c r="A28" s="397"/>
      <c r="B28" s="410" t="s">
        <v>294</v>
      </c>
      <c r="C28" s="407">
        <v>1.81</v>
      </c>
      <c r="D28" s="400"/>
      <c r="E28" s="400"/>
      <c r="F28" s="321"/>
      <c r="G28" s="321">
        <f t="shared" si="0"/>
        <v>0</v>
      </c>
      <c r="H28" s="407">
        <v>0.7</v>
      </c>
      <c r="I28" s="400"/>
      <c r="J28" s="400"/>
      <c r="K28" s="321"/>
      <c r="L28" s="321">
        <f t="shared" si="1"/>
        <v>0</v>
      </c>
      <c r="M28" s="407">
        <v>0.4</v>
      </c>
      <c r="N28" s="400"/>
      <c r="O28" s="400"/>
      <c r="P28" s="321"/>
      <c r="Q28" s="321">
        <f t="shared" si="2"/>
        <v>0</v>
      </c>
      <c r="R28" s="407">
        <v>0.39</v>
      </c>
      <c r="S28" s="400"/>
      <c r="T28" s="400"/>
      <c r="U28" s="321"/>
      <c r="V28" s="321">
        <f t="shared" si="3"/>
        <v>0</v>
      </c>
      <c r="W28" s="407">
        <v>0.24</v>
      </c>
      <c r="X28" s="400"/>
      <c r="Y28" s="400"/>
      <c r="Z28" s="321"/>
      <c r="AA28" s="321">
        <f t="shared" si="4"/>
        <v>0</v>
      </c>
      <c r="AB28" s="407">
        <v>0.23</v>
      </c>
      <c r="AC28" s="400"/>
      <c r="AD28" s="400"/>
      <c r="AE28" s="321"/>
      <c r="AF28" s="321">
        <f t="shared" si="5"/>
        <v>0</v>
      </c>
      <c r="AG28" s="407">
        <v>0.16</v>
      </c>
      <c r="AH28" s="400"/>
      <c r="AI28" s="400"/>
      <c r="AJ28" s="321"/>
      <c r="AK28" s="321">
        <f t="shared" si="6"/>
        <v>0</v>
      </c>
      <c r="AL28" s="407">
        <v>0.08</v>
      </c>
      <c r="AM28" s="400"/>
      <c r="AN28" s="400"/>
      <c r="AO28" s="321"/>
      <c r="AP28" s="321">
        <f t="shared" si="7"/>
        <v>0</v>
      </c>
    </row>
    <row r="29" spans="1:42" ht="15.75">
      <c r="A29" s="397"/>
      <c r="B29" s="410" t="s">
        <v>295</v>
      </c>
      <c r="C29" s="407">
        <v>2.04</v>
      </c>
      <c r="D29" s="400"/>
      <c r="E29" s="400"/>
      <c r="F29" s="321">
        <v>100</v>
      </c>
      <c r="G29" s="321">
        <f t="shared" si="0"/>
        <v>2.04</v>
      </c>
      <c r="H29" s="407">
        <v>0.76</v>
      </c>
      <c r="I29" s="400"/>
      <c r="J29" s="400"/>
      <c r="K29" s="321"/>
      <c r="L29" s="321">
        <f t="shared" si="1"/>
        <v>0</v>
      </c>
      <c r="M29" s="407">
        <v>0.45</v>
      </c>
      <c r="N29" s="400"/>
      <c r="O29" s="400"/>
      <c r="P29" s="321"/>
      <c r="Q29" s="321">
        <f t="shared" si="2"/>
        <v>0</v>
      </c>
      <c r="R29" s="407">
        <v>0.45</v>
      </c>
      <c r="S29" s="400"/>
      <c r="T29" s="400"/>
      <c r="U29" s="321"/>
      <c r="V29" s="321">
        <f t="shared" si="3"/>
        <v>0</v>
      </c>
      <c r="W29" s="407">
        <v>0.27</v>
      </c>
      <c r="X29" s="400"/>
      <c r="Y29" s="400"/>
      <c r="Z29" s="321"/>
      <c r="AA29" s="321">
        <f t="shared" si="4"/>
        <v>0</v>
      </c>
      <c r="AB29" s="407">
        <v>0.27</v>
      </c>
      <c r="AC29" s="400"/>
      <c r="AD29" s="400"/>
      <c r="AE29" s="321"/>
      <c r="AF29" s="321">
        <f t="shared" si="5"/>
        <v>0</v>
      </c>
      <c r="AG29" s="407">
        <v>0.17</v>
      </c>
      <c r="AH29" s="400"/>
      <c r="AI29" s="400"/>
      <c r="AJ29" s="321"/>
      <c r="AK29" s="321">
        <f t="shared" si="6"/>
        <v>0</v>
      </c>
      <c r="AL29" s="407">
        <v>0.1</v>
      </c>
      <c r="AM29" s="400"/>
      <c r="AN29" s="400"/>
      <c r="AO29" s="321"/>
      <c r="AP29" s="321">
        <f t="shared" si="7"/>
        <v>0</v>
      </c>
    </row>
    <row r="30" spans="1:42" ht="15.75">
      <c r="A30" s="397"/>
      <c r="B30" s="410" t="s">
        <v>296</v>
      </c>
      <c r="C30" s="407">
        <v>2.64</v>
      </c>
      <c r="D30" s="400"/>
      <c r="E30" s="400"/>
      <c r="F30" s="321"/>
      <c r="G30" s="321">
        <f t="shared" si="0"/>
        <v>0</v>
      </c>
      <c r="H30" s="407">
        <v>0.67</v>
      </c>
      <c r="I30" s="400"/>
      <c r="J30" s="400"/>
      <c r="K30" s="321"/>
      <c r="L30" s="321">
        <f t="shared" si="1"/>
        <v>0</v>
      </c>
      <c r="M30" s="407">
        <v>0.38</v>
      </c>
      <c r="N30" s="400"/>
      <c r="O30" s="400"/>
      <c r="P30" s="321"/>
      <c r="Q30" s="321">
        <f t="shared" si="2"/>
        <v>0</v>
      </c>
      <c r="R30" s="407">
        <v>0.37</v>
      </c>
      <c r="S30" s="400"/>
      <c r="T30" s="400"/>
      <c r="U30" s="321"/>
      <c r="V30" s="321">
        <f t="shared" si="3"/>
        <v>0</v>
      </c>
      <c r="W30" s="407">
        <v>0.23</v>
      </c>
      <c r="X30" s="400"/>
      <c r="Y30" s="400"/>
      <c r="Z30" s="321"/>
      <c r="AA30" s="321">
        <f t="shared" si="4"/>
        <v>0</v>
      </c>
      <c r="AB30" s="407">
        <v>0.21</v>
      </c>
      <c r="AC30" s="400"/>
      <c r="AD30" s="400"/>
      <c r="AE30" s="321"/>
      <c r="AF30" s="321">
        <f t="shared" si="5"/>
        <v>0</v>
      </c>
      <c r="AG30" s="407">
        <v>0.16</v>
      </c>
      <c r="AH30" s="400"/>
      <c r="AI30" s="400"/>
      <c r="AJ30" s="321"/>
      <c r="AK30" s="321">
        <f t="shared" si="6"/>
        <v>0</v>
      </c>
      <c r="AL30" s="407">
        <v>0.08</v>
      </c>
      <c r="AM30" s="400"/>
      <c r="AN30" s="400"/>
      <c r="AO30" s="321"/>
      <c r="AP30" s="321">
        <f t="shared" si="7"/>
        <v>0</v>
      </c>
    </row>
    <row r="31" spans="1:42" ht="15.75">
      <c r="A31" s="397"/>
      <c r="B31" s="410" t="s">
        <v>297</v>
      </c>
      <c r="C31" s="407">
        <v>1.72</v>
      </c>
      <c r="D31" s="400"/>
      <c r="E31" s="400"/>
      <c r="F31" s="321"/>
      <c r="G31" s="321">
        <f t="shared" si="0"/>
        <v>0</v>
      </c>
      <c r="H31" s="407">
        <v>0.67</v>
      </c>
      <c r="I31" s="400"/>
      <c r="J31" s="400"/>
      <c r="K31" s="321"/>
      <c r="L31" s="321">
        <f t="shared" si="1"/>
        <v>0</v>
      </c>
      <c r="M31" s="407">
        <v>0.38</v>
      </c>
      <c r="N31" s="400"/>
      <c r="O31" s="400"/>
      <c r="P31" s="321"/>
      <c r="Q31" s="321">
        <f t="shared" si="2"/>
        <v>0</v>
      </c>
      <c r="R31" s="407">
        <v>0.37</v>
      </c>
      <c r="S31" s="400"/>
      <c r="T31" s="400"/>
      <c r="U31" s="321"/>
      <c r="V31" s="321">
        <f t="shared" si="3"/>
        <v>0</v>
      </c>
      <c r="W31" s="407">
        <v>0.23</v>
      </c>
      <c r="X31" s="400"/>
      <c r="Y31" s="400"/>
      <c r="Z31" s="321"/>
      <c r="AA31" s="321">
        <f t="shared" si="4"/>
        <v>0</v>
      </c>
      <c r="AB31" s="407">
        <v>0.21</v>
      </c>
      <c r="AC31" s="400"/>
      <c r="AD31" s="400"/>
      <c r="AE31" s="321"/>
      <c r="AF31" s="321">
        <f t="shared" si="5"/>
        <v>0</v>
      </c>
      <c r="AG31" s="407">
        <v>0.16</v>
      </c>
      <c r="AH31" s="400"/>
      <c r="AI31" s="400"/>
      <c r="AJ31" s="321"/>
      <c r="AK31" s="321">
        <f t="shared" si="6"/>
        <v>0</v>
      </c>
      <c r="AL31" s="407">
        <v>0.08</v>
      </c>
      <c r="AM31" s="400"/>
      <c r="AN31" s="400"/>
      <c r="AO31" s="321"/>
      <c r="AP31" s="321">
        <f t="shared" si="7"/>
        <v>0</v>
      </c>
    </row>
    <row r="32" spans="1:42" ht="15.75">
      <c r="A32" s="397"/>
      <c r="B32" s="410" t="s">
        <v>298</v>
      </c>
      <c r="C32" s="407">
        <v>2.76</v>
      </c>
      <c r="D32" s="400"/>
      <c r="E32" s="400"/>
      <c r="F32" s="321"/>
      <c r="G32" s="321">
        <f t="shared" si="0"/>
        <v>0</v>
      </c>
      <c r="H32" s="407">
        <v>0.67</v>
      </c>
      <c r="I32" s="400"/>
      <c r="J32" s="400"/>
      <c r="K32" s="321"/>
      <c r="L32" s="321">
        <f t="shared" si="1"/>
        <v>0</v>
      </c>
      <c r="M32" s="407">
        <v>0.38</v>
      </c>
      <c r="N32" s="400"/>
      <c r="O32" s="400"/>
      <c r="P32" s="321"/>
      <c r="Q32" s="321">
        <f t="shared" si="2"/>
        <v>0</v>
      </c>
      <c r="R32" s="407">
        <v>0.37</v>
      </c>
      <c r="S32" s="400"/>
      <c r="T32" s="400"/>
      <c r="U32" s="321"/>
      <c r="V32" s="321">
        <f t="shared" si="3"/>
        <v>0</v>
      </c>
      <c r="W32" s="407">
        <v>0.23</v>
      </c>
      <c r="X32" s="400"/>
      <c r="Y32" s="400"/>
      <c r="Z32" s="321"/>
      <c r="AA32" s="321">
        <f t="shared" si="4"/>
        <v>0</v>
      </c>
      <c r="AB32" s="407">
        <v>0.21</v>
      </c>
      <c r="AC32" s="400"/>
      <c r="AD32" s="400"/>
      <c r="AE32" s="321"/>
      <c r="AF32" s="321">
        <f t="shared" si="5"/>
        <v>0</v>
      </c>
      <c r="AG32" s="407">
        <v>0.16</v>
      </c>
      <c r="AH32" s="400"/>
      <c r="AI32" s="400"/>
      <c r="AJ32" s="321"/>
      <c r="AK32" s="321">
        <f t="shared" si="6"/>
        <v>0</v>
      </c>
      <c r="AL32" s="407">
        <v>0.08</v>
      </c>
      <c r="AM32" s="400"/>
      <c r="AN32" s="400"/>
      <c r="AO32" s="321"/>
      <c r="AP32" s="321">
        <f t="shared" si="7"/>
        <v>0</v>
      </c>
    </row>
    <row r="33" spans="1:42" ht="15.75">
      <c r="A33" s="397"/>
      <c r="B33" s="410" t="s">
        <v>299</v>
      </c>
      <c r="C33" s="407">
        <v>1.32</v>
      </c>
      <c r="D33" s="400"/>
      <c r="E33" s="400"/>
      <c r="F33" s="321"/>
      <c r="G33" s="321">
        <f t="shared" si="0"/>
        <v>0</v>
      </c>
      <c r="H33" s="407">
        <v>0.56000000000000005</v>
      </c>
      <c r="I33" s="400"/>
      <c r="J33" s="400"/>
      <c r="K33" s="321"/>
      <c r="L33" s="321">
        <f t="shared" si="1"/>
        <v>0</v>
      </c>
      <c r="M33" s="407">
        <v>0.3</v>
      </c>
      <c r="N33" s="400"/>
      <c r="O33" s="400"/>
      <c r="P33" s="321"/>
      <c r="Q33" s="321">
        <f t="shared" si="2"/>
        <v>0</v>
      </c>
      <c r="R33" s="407">
        <v>0.27</v>
      </c>
      <c r="S33" s="400"/>
      <c r="T33" s="400"/>
      <c r="U33" s="321"/>
      <c r="V33" s="321">
        <f t="shared" si="3"/>
        <v>0</v>
      </c>
      <c r="W33" s="407">
        <v>0.18</v>
      </c>
      <c r="X33" s="400"/>
      <c r="Y33" s="400"/>
      <c r="Z33" s="321"/>
      <c r="AA33" s="321">
        <f t="shared" si="4"/>
        <v>0</v>
      </c>
      <c r="AB33" s="407">
        <v>0.14000000000000001</v>
      </c>
      <c r="AC33" s="400"/>
      <c r="AD33" s="400"/>
      <c r="AE33" s="321"/>
      <c r="AF33" s="321">
        <f t="shared" si="5"/>
        <v>0</v>
      </c>
      <c r="AG33" s="407">
        <v>0.14000000000000001</v>
      </c>
      <c r="AH33" s="400"/>
      <c r="AI33" s="400"/>
      <c r="AJ33" s="321"/>
      <c r="AK33" s="321">
        <f t="shared" si="6"/>
        <v>0</v>
      </c>
      <c r="AL33" s="407">
        <v>0.06</v>
      </c>
      <c r="AM33" s="400"/>
      <c r="AN33" s="400"/>
      <c r="AO33" s="321"/>
      <c r="AP33" s="321">
        <f t="shared" si="7"/>
        <v>0</v>
      </c>
    </row>
    <row r="34" spans="1:42" ht="31.5">
      <c r="A34" s="397"/>
      <c r="B34" s="410" t="s">
        <v>300</v>
      </c>
      <c r="C34" s="407">
        <v>4.97</v>
      </c>
      <c r="D34" s="400"/>
      <c r="E34" s="400"/>
      <c r="F34" s="321"/>
      <c r="G34" s="321">
        <f t="shared" si="0"/>
        <v>0</v>
      </c>
      <c r="H34" s="407">
        <v>2.93</v>
      </c>
      <c r="I34" s="400"/>
      <c r="J34" s="400"/>
      <c r="K34" s="321"/>
      <c r="L34" s="321">
        <f t="shared" si="1"/>
        <v>0</v>
      </c>
      <c r="M34" s="407">
        <v>1.04</v>
      </c>
      <c r="N34" s="400"/>
      <c r="O34" s="400"/>
      <c r="P34" s="321"/>
      <c r="Q34" s="321">
        <f t="shared" si="2"/>
        <v>0</v>
      </c>
      <c r="R34" s="407">
        <v>0.94</v>
      </c>
      <c r="S34" s="400"/>
      <c r="T34" s="400"/>
      <c r="U34" s="321"/>
      <c r="V34" s="321">
        <f t="shared" si="3"/>
        <v>0</v>
      </c>
      <c r="W34" s="407">
        <v>0.77</v>
      </c>
      <c r="X34" s="400"/>
      <c r="Y34" s="400"/>
      <c r="Z34" s="321"/>
      <c r="AA34" s="321">
        <f t="shared" si="4"/>
        <v>0</v>
      </c>
      <c r="AB34" s="407">
        <v>0.77</v>
      </c>
      <c r="AC34" s="400"/>
      <c r="AD34" s="400"/>
      <c r="AE34" s="321"/>
      <c r="AF34" s="321">
        <f t="shared" si="5"/>
        <v>0</v>
      </c>
      <c r="AG34" s="407">
        <v>0.77</v>
      </c>
      <c r="AH34" s="400"/>
      <c r="AI34" s="400"/>
      <c r="AJ34" s="321"/>
      <c r="AK34" s="321">
        <f t="shared" si="6"/>
        <v>0</v>
      </c>
      <c r="AL34" s="407">
        <v>0.77</v>
      </c>
      <c r="AM34" s="400"/>
      <c r="AN34" s="400"/>
      <c r="AO34" s="321"/>
      <c r="AP34" s="321">
        <f t="shared" si="7"/>
        <v>0</v>
      </c>
    </row>
    <row r="35" spans="1:42" ht="47.25">
      <c r="A35" s="397"/>
      <c r="B35" s="410" t="s">
        <v>301</v>
      </c>
      <c r="C35" s="407">
        <v>4.72</v>
      </c>
      <c r="D35" s="400"/>
      <c r="E35" s="400"/>
      <c r="F35" s="321"/>
      <c r="G35" s="321">
        <f t="shared" si="0"/>
        <v>0</v>
      </c>
      <c r="H35" s="407">
        <v>2.86</v>
      </c>
      <c r="I35" s="400"/>
      <c r="J35" s="400"/>
      <c r="K35" s="321"/>
      <c r="L35" s="321">
        <f t="shared" si="1"/>
        <v>0</v>
      </c>
      <c r="M35" s="407">
        <v>1.02</v>
      </c>
      <c r="N35" s="400"/>
      <c r="O35" s="400"/>
      <c r="P35" s="321"/>
      <c r="Q35" s="321">
        <f t="shared" si="2"/>
        <v>0</v>
      </c>
      <c r="R35" s="407">
        <v>0.92</v>
      </c>
      <c r="S35" s="400"/>
      <c r="T35" s="400"/>
      <c r="U35" s="321"/>
      <c r="V35" s="321">
        <f t="shared" si="3"/>
        <v>0</v>
      </c>
      <c r="W35" s="407">
        <v>0.75</v>
      </c>
      <c r="X35" s="400"/>
      <c r="Y35" s="400"/>
      <c r="Z35" s="321"/>
      <c r="AA35" s="321">
        <f t="shared" si="4"/>
        <v>0</v>
      </c>
      <c r="AB35" s="407">
        <v>0.75</v>
      </c>
      <c r="AC35" s="400"/>
      <c r="AD35" s="400"/>
      <c r="AE35" s="321"/>
      <c r="AF35" s="321">
        <f t="shared" si="5"/>
        <v>0</v>
      </c>
      <c r="AG35" s="407">
        <v>0.75</v>
      </c>
      <c r="AH35" s="400"/>
      <c r="AI35" s="400"/>
      <c r="AJ35" s="321"/>
      <c r="AK35" s="321">
        <f t="shared" si="6"/>
        <v>0</v>
      </c>
      <c r="AL35" s="407">
        <v>0.75</v>
      </c>
      <c r="AM35" s="400"/>
      <c r="AN35" s="400"/>
      <c r="AO35" s="321"/>
      <c r="AP35" s="321">
        <f t="shared" si="7"/>
        <v>0</v>
      </c>
    </row>
    <row r="36" spans="1:42" ht="31.5">
      <c r="A36" s="397"/>
      <c r="B36" s="410" t="s">
        <v>302</v>
      </c>
      <c r="C36" s="407">
        <v>6.5</v>
      </c>
      <c r="D36" s="400"/>
      <c r="E36" s="400"/>
      <c r="F36" s="321"/>
      <c r="G36" s="321">
        <f t="shared" si="0"/>
        <v>0</v>
      </c>
      <c r="H36" s="407">
        <v>2.39</v>
      </c>
      <c r="I36" s="400"/>
      <c r="J36" s="400"/>
      <c r="K36" s="321"/>
      <c r="L36" s="321">
        <f t="shared" si="1"/>
        <v>0</v>
      </c>
      <c r="M36" s="407">
        <v>2.72</v>
      </c>
      <c r="N36" s="400"/>
      <c r="O36" s="400"/>
      <c r="P36" s="321"/>
      <c r="Q36" s="321">
        <f t="shared" si="2"/>
        <v>0</v>
      </c>
      <c r="R36" s="407">
        <v>1.48</v>
      </c>
      <c r="S36" s="400"/>
      <c r="T36" s="400"/>
      <c r="U36" s="321"/>
      <c r="V36" s="321">
        <f t="shared" si="3"/>
        <v>0</v>
      </c>
      <c r="W36" s="407">
        <v>0.25</v>
      </c>
      <c r="X36" s="400"/>
      <c r="Y36" s="400"/>
      <c r="Z36" s="321"/>
      <c r="AA36" s="321">
        <f t="shared" si="4"/>
        <v>0</v>
      </c>
      <c r="AB36" s="407">
        <v>0.43</v>
      </c>
      <c r="AC36" s="400"/>
      <c r="AD36" s="400"/>
      <c r="AE36" s="321"/>
      <c r="AF36" s="321">
        <f t="shared" si="5"/>
        <v>0</v>
      </c>
      <c r="AG36" s="407">
        <v>0.65</v>
      </c>
      <c r="AH36" s="400"/>
      <c r="AI36" s="400"/>
      <c r="AJ36" s="321"/>
      <c r="AK36" s="321">
        <f t="shared" si="6"/>
        <v>0</v>
      </c>
      <c r="AL36" s="407">
        <v>0.36</v>
      </c>
      <c r="AM36" s="400"/>
      <c r="AN36" s="400"/>
      <c r="AO36" s="321"/>
      <c r="AP36" s="321">
        <f t="shared" si="7"/>
        <v>0</v>
      </c>
    </row>
    <row r="37" spans="1:42" ht="31.5">
      <c r="A37" s="397"/>
      <c r="B37" s="410" t="s">
        <v>303</v>
      </c>
      <c r="C37" s="407">
        <v>5.52</v>
      </c>
      <c r="D37" s="400"/>
      <c r="E37" s="400"/>
      <c r="F37" s="321"/>
      <c r="G37" s="321">
        <f t="shared" si="0"/>
        <v>0</v>
      </c>
      <c r="H37" s="407">
        <v>2.27</v>
      </c>
      <c r="I37" s="400"/>
      <c r="J37" s="400"/>
      <c r="K37" s="321"/>
      <c r="L37" s="321">
        <f t="shared" si="1"/>
        <v>0</v>
      </c>
      <c r="M37" s="407">
        <v>2.21</v>
      </c>
      <c r="N37" s="400"/>
      <c r="O37" s="400"/>
      <c r="P37" s="321"/>
      <c r="Q37" s="321">
        <f t="shared" si="2"/>
        <v>0</v>
      </c>
      <c r="R37" s="407">
        <v>1.44</v>
      </c>
      <c r="S37" s="400"/>
      <c r="T37" s="400"/>
      <c r="U37" s="321"/>
      <c r="V37" s="321">
        <f t="shared" si="3"/>
        <v>0</v>
      </c>
      <c r="W37" s="407">
        <v>0.17</v>
      </c>
      <c r="X37" s="400"/>
      <c r="Y37" s="400"/>
      <c r="Z37" s="321"/>
      <c r="AA37" s="321">
        <f t="shared" si="4"/>
        <v>0</v>
      </c>
      <c r="AB37" s="407">
        <v>0.27</v>
      </c>
      <c r="AC37" s="400"/>
      <c r="AD37" s="400"/>
      <c r="AE37" s="321"/>
      <c r="AF37" s="321">
        <f t="shared" si="5"/>
        <v>0</v>
      </c>
      <c r="AG37" s="407">
        <v>0.34</v>
      </c>
      <c r="AH37" s="400"/>
      <c r="AI37" s="400"/>
      <c r="AJ37" s="321"/>
      <c r="AK37" s="321">
        <f t="shared" si="6"/>
        <v>0</v>
      </c>
      <c r="AL37" s="407">
        <v>0.36</v>
      </c>
      <c r="AM37" s="400"/>
      <c r="AN37" s="400"/>
      <c r="AO37" s="321"/>
      <c r="AP37" s="321">
        <f t="shared" si="7"/>
        <v>0</v>
      </c>
    </row>
    <row r="38" spans="1:42" ht="47.25">
      <c r="A38" s="397"/>
      <c r="B38" s="410" t="s">
        <v>446</v>
      </c>
      <c r="C38" s="407">
        <v>3.55</v>
      </c>
      <c r="D38" s="400"/>
      <c r="E38" s="400"/>
      <c r="F38" s="321"/>
      <c r="G38" s="321">
        <f t="shared" si="0"/>
        <v>0</v>
      </c>
      <c r="H38" s="407">
        <v>4.13</v>
      </c>
      <c r="I38" s="400"/>
      <c r="J38" s="400"/>
      <c r="K38" s="321"/>
      <c r="L38" s="321">
        <f t="shared" si="1"/>
        <v>0</v>
      </c>
      <c r="M38" s="407">
        <v>4.59</v>
      </c>
      <c r="N38" s="400"/>
      <c r="O38" s="400"/>
      <c r="P38" s="321"/>
      <c r="Q38" s="321">
        <f t="shared" si="2"/>
        <v>0</v>
      </c>
      <c r="R38" s="407">
        <v>5.63</v>
      </c>
      <c r="S38" s="400"/>
      <c r="T38" s="400"/>
      <c r="U38" s="321"/>
      <c r="V38" s="321">
        <f t="shared" si="3"/>
        <v>0</v>
      </c>
      <c r="W38" s="407">
        <v>4.38</v>
      </c>
      <c r="X38" s="400"/>
      <c r="Y38" s="400"/>
      <c r="Z38" s="321"/>
      <c r="AA38" s="321">
        <f t="shared" si="4"/>
        <v>0</v>
      </c>
      <c r="AB38" s="407">
        <v>24.05</v>
      </c>
      <c r="AC38" s="400"/>
      <c r="AD38" s="400"/>
      <c r="AE38" s="321"/>
      <c r="AF38" s="321">
        <f t="shared" si="5"/>
        <v>0</v>
      </c>
      <c r="AG38" s="407">
        <v>9.57</v>
      </c>
      <c r="AH38" s="400"/>
      <c r="AI38" s="400"/>
      <c r="AJ38" s="321"/>
      <c r="AK38" s="321">
        <f t="shared" si="6"/>
        <v>0</v>
      </c>
      <c r="AL38" s="407">
        <v>8.57</v>
      </c>
      <c r="AM38" s="400"/>
      <c r="AN38" s="400"/>
      <c r="AO38" s="321"/>
      <c r="AP38" s="321">
        <f t="shared" si="7"/>
        <v>0</v>
      </c>
    </row>
    <row r="39" spans="1:42" ht="47.25">
      <c r="A39" s="397"/>
      <c r="B39" s="410" t="s">
        <v>447</v>
      </c>
      <c r="C39" s="407">
        <v>2.21</v>
      </c>
      <c r="D39" s="400"/>
      <c r="E39" s="400"/>
      <c r="F39" s="321"/>
      <c r="G39" s="321">
        <f t="shared" si="0"/>
        <v>0</v>
      </c>
      <c r="H39" s="407">
        <v>3.24</v>
      </c>
      <c r="I39" s="400"/>
      <c r="J39" s="400"/>
      <c r="K39" s="321"/>
      <c r="L39" s="321">
        <f t="shared" si="1"/>
        <v>0</v>
      </c>
      <c r="M39" s="407">
        <v>3.59</v>
      </c>
      <c r="N39" s="400"/>
      <c r="O39" s="400"/>
      <c r="P39" s="321"/>
      <c r="Q39" s="321">
        <f t="shared" si="2"/>
        <v>0</v>
      </c>
      <c r="R39" s="407">
        <v>4.4000000000000004</v>
      </c>
      <c r="S39" s="400"/>
      <c r="T39" s="400"/>
      <c r="U39" s="321"/>
      <c r="V39" s="321">
        <f t="shared" si="3"/>
        <v>0</v>
      </c>
      <c r="W39" s="407">
        <v>3.43</v>
      </c>
      <c r="X39" s="400"/>
      <c r="Y39" s="400"/>
      <c r="Z39" s="321"/>
      <c r="AA39" s="321">
        <f t="shared" si="4"/>
        <v>0</v>
      </c>
      <c r="AB39" s="407">
        <v>18.829999999999998</v>
      </c>
      <c r="AC39" s="400"/>
      <c r="AD39" s="400"/>
      <c r="AE39" s="321"/>
      <c r="AF39" s="321">
        <f t="shared" si="5"/>
        <v>0</v>
      </c>
      <c r="AG39" s="407">
        <v>7.49</v>
      </c>
      <c r="AH39" s="400"/>
      <c r="AI39" s="400"/>
      <c r="AJ39" s="321"/>
      <c r="AK39" s="321">
        <f t="shared" si="6"/>
        <v>0</v>
      </c>
      <c r="AL39" s="407">
        <v>6.71</v>
      </c>
      <c r="AM39" s="400"/>
      <c r="AN39" s="400"/>
      <c r="AO39" s="321"/>
      <c r="AP39" s="321">
        <f t="shared" si="7"/>
        <v>0</v>
      </c>
    </row>
    <row r="40" spans="1:42" ht="47.25">
      <c r="A40" s="397"/>
      <c r="B40" s="410" t="s">
        <v>448</v>
      </c>
      <c r="C40" s="407">
        <v>4.79</v>
      </c>
      <c r="D40" s="400"/>
      <c r="E40" s="400"/>
      <c r="F40" s="321"/>
      <c r="G40" s="321">
        <f t="shared" si="0"/>
        <v>0</v>
      </c>
      <c r="H40" s="407">
        <v>2.69</v>
      </c>
      <c r="I40" s="400"/>
      <c r="J40" s="400"/>
      <c r="K40" s="321"/>
      <c r="L40" s="321">
        <f t="shared" si="1"/>
        <v>0</v>
      </c>
      <c r="M40" s="407">
        <v>2.98</v>
      </c>
      <c r="N40" s="400"/>
      <c r="O40" s="400"/>
      <c r="P40" s="321"/>
      <c r="Q40" s="321">
        <f t="shared" si="2"/>
        <v>0</v>
      </c>
      <c r="R40" s="407">
        <v>3.66</v>
      </c>
      <c r="S40" s="400"/>
      <c r="T40" s="400"/>
      <c r="U40" s="321"/>
      <c r="V40" s="321">
        <f t="shared" si="3"/>
        <v>0</v>
      </c>
      <c r="W40" s="407">
        <v>2.85</v>
      </c>
      <c r="X40" s="400"/>
      <c r="Y40" s="400"/>
      <c r="Z40" s="321"/>
      <c r="AA40" s="321">
        <f t="shared" si="4"/>
        <v>0</v>
      </c>
      <c r="AB40" s="407">
        <v>15.65</v>
      </c>
      <c r="AC40" s="400"/>
      <c r="AD40" s="400"/>
      <c r="AE40" s="321"/>
      <c r="AF40" s="321">
        <f t="shared" si="5"/>
        <v>0</v>
      </c>
      <c r="AG40" s="407">
        <v>6.23</v>
      </c>
      <c r="AH40" s="400"/>
      <c r="AI40" s="400"/>
      <c r="AJ40" s="321"/>
      <c r="AK40" s="321">
        <f t="shared" si="6"/>
        <v>0</v>
      </c>
      <c r="AL40" s="407">
        <v>5.57</v>
      </c>
      <c r="AM40" s="400"/>
      <c r="AN40" s="400"/>
      <c r="AO40" s="321"/>
      <c r="AP40" s="321">
        <f t="shared" si="7"/>
        <v>0</v>
      </c>
    </row>
    <row r="41" spans="1:42" ht="47.25">
      <c r="A41" s="397"/>
      <c r="B41" s="410" t="s">
        <v>449</v>
      </c>
      <c r="C41" s="407">
        <v>2.98</v>
      </c>
      <c r="D41" s="400"/>
      <c r="E41" s="400"/>
      <c r="F41" s="321"/>
      <c r="G41" s="321">
        <f t="shared" si="0"/>
        <v>0</v>
      </c>
      <c r="H41" s="407">
        <v>2.1</v>
      </c>
      <c r="I41" s="400"/>
      <c r="J41" s="400"/>
      <c r="K41" s="321"/>
      <c r="L41" s="321">
        <f t="shared" si="1"/>
        <v>0</v>
      </c>
      <c r="M41" s="407">
        <v>2.34</v>
      </c>
      <c r="N41" s="400"/>
      <c r="O41" s="400"/>
      <c r="P41" s="321"/>
      <c r="Q41" s="321">
        <f t="shared" si="2"/>
        <v>0</v>
      </c>
      <c r="R41" s="407">
        <v>2.86</v>
      </c>
      <c r="S41" s="400"/>
      <c r="T41" s="400"/>
      <c r="U41" s="321"/>
      <c r="V41" s="321">
        <f t="shared" si="3"/>
        <v>0</v>
      </c>
      <c r="W41" s="407">
        <v>2.23</v>
      </c>
      <c r="X41" s="400"/>
      <c r="Y41" s="400"/>
      <c r="Z41" s="321"/>
      <c r="AA41" s="321">
        <f t="shared" si="4"/>
        <v>0</v>
      </c>
      <c r="AB41" s="407">
        <v>12.25</v>
      </c>
      <c r="AC41" s="400"/>
      <c r="AD41" s="400"/>
      <c r="AE41" s="321"/>
      <c r="AF41" s="321">
        <f t="shared" si="5"/>
        <v>0</v>
      </c>
      <c r="AG41" s="407">
        <v>4.87</v>
      </c>
      <c r="AH41" s="400"/>
      <c r="AI41" s="400"/>
      <c r="AJ41" s="321"/>
      <c r="AK41" s="321">
        <f t="shared" si="6"/>
        <v>0</v>
      </c>
      <c r="AL41" s="407">
        <v>4.3600000000000003</v>
      </c>
      <c r="AM41" s="400"/>
      <c r="AN41" s="400"/>
      <c r="AO41" s="321"/>
      <c r="AP41" s="321">
        <f t="shared" si="7"/>
        <v>0</v>
      </c>
    </row>
    <row r="42" spans="1:42" ht="15.75">
      <c r="A42" s="321">
        <v>5</v>
      </c>
      <c r="B42" s="408" t="s">
        <v>218</v>
      </c>
      <c r="C42" s="407"/>
      <c r="D42" s="400"/>
      <c r="E42" s="400"/>
      <c r="F42" s="321"/>
      <c r="G42" s="321">
        <f t="shared" si="0"/>
        <v>0</v>
      </c>
      <c r="H42" s="407"/>
      <c r="I42" s="400"/>
      <c r="J42" s="400"/>
      <c r="K42" s="321"/>
      <c r="L42" s="321">
        <f t="shared" si="1"/>
        <v>0</v>
      </c>
      <c r="M42" s="407"/>
      <c r="N42" s="400"/>
      <c r="O42" s="400"/>
      <c r="P42" s="321"/>
      <c r="Q42" s="321">
        <f t="shared" si="2"/>
        <v>0</v>
      </c>
      <c r="R42" s="407"/>
      <c r="S42" s="400"/>
      <c r="T42" s="400"/>
      <c r="U42" s="321"/>
      <c r="V42" s="321">
        <f t="shared" si="3"/>
        <v>0</v>
      </c>
      <c r="W42" s="407"/>
      <c r="X42" s="400"/>
      <c r="Y42" s="400"/>
      <c r="Z42" s="321"/>
      <c r="AA42" s="321">
        <f t="shared" si="4"/>
        <v>0</v>
      </c>
      <c r="AB42" s="407"/>
      <c r="AC42" s="400"/>
      <c r="AD42" s="400"/>
      <c r="AE42" s="321"/>
      <c r="AF42" s="321">
        <f t="shared" si="5"/>
        <v>0</v>
      </c>
      <c r="AG42" s="407"/>
      <c r="AH42" s="400"/>
      <c r="AI42" s="400"/>
      <c r="AJ42" s="321"/>
      <c r="AK42" s="321">
        <f t="shared" si="6"/>
        <v>0</v>
      </c>
      <c r="AL42" s="407"/>
      <c r="AM42" s="400"/>
      <c r="AN42" s="400"/>
      <c r="AO42" s="321"/>
      <c r="AP42" s="321">
        <f t="shared" si="7"/>
        <v>0</v>
      </c>
    </row>
    <row r="43" spans="1:42" ht="31.5" customHeight="1">
      <c r="A43" s="397"/>
      <c r="B43" s="398" t="s">
        <v>308</v>
      </c>
      <c r="C43" s="407">
        <v>0.51</v>
      </c>
      <c r="D43" s="399">
        <f>MAX(C43:C49)</f>
        <v>3.98</v>
      </c>
      <c r="E43" s="400">
        <f>MIN(C43:C49)</f>
        <v>0.51</v>
      </c>
      <c r="F43" s="321"/>
      <c r="G43" s="321">
        <f t="shared" si="0"/>
        <v>0</v>
      </c>
      <c r="H43" s="407">
        <v>0.81</v>
      </c>
      <c r="I43" s="399">
        <f>MAX(H43:H49)</f>
        <v>5.19</v>
      </c>
      <c r="J43" s="400">
        <f>MIN(H43:H49)</f>
        <v>0.81</v>
      </c>
      <c r="K43" s="321"/>
      <c r="L43" s="321">
        <f t="shared" si="1"/>
        <v>0</v>
      </c>
      <c r="M43" s="407">
        <v>0.89</v>
      </c>
      <c r="N43" s="399">
        <f>MAX(M43:M49)</f>
        <v>5.04</v>
      </c>
      <c r="O43" s="400">
        <f>MIN(M43:M49)</f>
        <v>0.89</v>
      </c>
      <c r="P43" s="321"/>
      <c r="Q43" s="321">
        <f t="shared" si="2"/>
        <v>0</v>
      </c>
      <c r="R43" s="407">
        <v>0.74</v>
      </c>
      <c r="S43" s="399">
        <f>MAX(R43:R49)</f>
        <v>3.29</v>
      </c>
      <c r="T43" s="400">
        <f>MIN(R43:R49)</f>
        <v>0.74</v>
      </c>
      <c r="U43" s="321"/>
      <c r="V43" s="321">
        <f t="shared" si="3"/>
        <v>0</v>
      </c>
      <c r="W43" s="407">
        <v>7.0000000000000007E-2</v>
      </c>
      <c r="X43" s="399">
        <f>MAX(W43:W49)</f>
        <v>0.44</v>
      </c>
      <c r="Y43" s="400">
        <f>MIN(W43:W49)</f>
        <v>7.0000000000000007E-2</v>
      </c>
      <c r="Z43" s="321"/>
      <c r="AA43" s="321">
        <f t="shared" si="4"/>
        <v>0</v>
      </c>
      <c r="AB43" s="407">
        <v>0.61</v>
      </c>
      <c r="AC43" s="399">
        <f>MAX(AB43:AB49)</f>
        <v>3.89</v>
      </c>
      <c r="AD43" s="400">
        <f>MIN(AB43:AB49)</f>
        <v>0.61</v>
      </c>
      <c r="AE43" s="321"/>
      <c r="AF43" s="321">
        <f t="shared" si="5"/>
        <v>0</v>
      </c>
      <c r="AG43" s="407">
        <v>1.47</v>
      </c>
      <c r="AH43" s="399">
        <f>MAX(AG43:AG49)</f>
        <v>9.43</v>
      </c>
      <c r="AI43" s="400">
        <f>MIN(AG43:AG49)</f>
        <v>1.47</v>
      </c>
      <c r="AJ43" s="321"/>
      <c r="AK43" s="321">
        <f t="shared" si="6"/>
        <v>0</v>
      </c>
      <c r="AL43" s="407">
        <v>0.04</v>
      </c>
      <c r="AM43" s="399">
        <f>MAX(AL43:AL49)</f>
        <v>0.23</v>
      </c>
      <c r="AN43" s="400">
        <f>MIN(AL43:AL49)</f>
        <v>0.04</v>
      </c>
      <c r="AO43" s="321"/>
      <c r="AP43" s="321">
        <f t="shared" si="7"/>
        <v>0</v>
      </c>
    </row>
    <row r="44" spans="1:42" ht="31.5" customHeight="1">
      <c r="A44" s="397"/>
      <c r="B44" s="398" t="s">
        <v>309</v>
      </c>
      <c r="C44" s="407">
        <v>0.73</v>
      </c>
      <c r="D44" s="400"/>
      <c r="E44" s="400"/>
      <c r="F44" s="321"/>
      <c r="G44" s="321">
        <f t="shared" si="0"/>
        <v>0</v>
      </c>
      <c r="H44" s="407">
        <v>0.95</v>
      </c>
      <c r="I44" s="400"/>
      <c r="J44" s="400"/>
      <c r="K44" s="321"/>
      <c r="L44" s="321">
        <f t="shared" si="1"/>
        <v>0</v>
      </c>
      <c r="M44" s="407">
        <v>1.02</v>
      </c>
      <c r="N44" s="400"/>
      <c r="O44" s="400"/>
      <c r="P44" s="321"/>
      <c r="Q44" s="321">
        <f t="shared" si="2"/>
        <v>0</v>
      </c>
      <c r="R44" s="407">
        <v>0.82</v>
      </c>
      <c r="S44" s="400"/>
      <c r="T44" s="400"/>
      <c r="U44" s="321"/>
      <c r="V44" s="321">
        <f t="shared" si="3"/>
        <v>0</v>
      </c>
      <c r="W44" s="407">
        <v>0.08</v>
      </c>
      <c r="X44" s="400"/>
      <c r="Y44" s="400"/>
      <c r="Z44" s="321"/>
      <c r="AA44" s="321">
        <f t="shared" si="4"/>
        <v>0</v>
      </c>
      <c r="AB44" s="407">
        <v>0.71</v>
      </c>
      <c r="AC44" s="400"/>
      <c r="AD44" s="400"/>
      <c r="AE44" s="321"/>
      <c r="AF44" s="321">
        <f t="shared" si="5"/>
        <v>0</v>
      </c>
      <c r="AG44" s="407">
        <v>1.72</v>
      </c>
      <c r="AH44" s="400"/>
      <c r="AI44" s="400"/>
      <c r="AJ44" s="321"/>
      <c r="AK44" s="321">
        <f t="shared" si="6"/>
        <v>0</v>
      </c>
      <c r="AL44" s="407">
        <v>0.04</v>
      </c>
      <c r="AM44" s="400"/>
      <c r="AN44" s="400"/>
      <c r="AO44" s="321"/>
      <c r="AP44" s="321">
        <f t="shared" si="7"/>
        <v>0</v>
      </c>
    </row>
    <row r="45" spans="1:42" ht="31.5" customHeight="1">
      <c r="A45" s="397"/>
      <c r="B45" s="398" t="s">
        <v>310</v>
      </c>
      <c r="C45" s="407">
        <v>2.2000000000000002</v>
      </c>
      <c r="D45" s="400"/>
      <c r="E45" s="400"/>
      <c r="F45" s="321"/>
      <c r="G45" s="321">
        <f t="shared" si="0"/>
        <v>0</v>
      </c>
      <c r="H45" s="407">
        <v>1.04</v>
      </c>
      <c r="I45" s="400"/>
      <c r="J45" s="400"/>
      <c r="K45" s="321"/>
      <c r="L45" s="321">
        <f t="shared" si="1"/>
        <v>0</v>
      </c>
      <c r="M45" s="407">
        <v>1.1000000000000001</v>
      </c>
      <c r="N45" s="400"/>
      <c r="O45" s="400"/>
      <c r="P45" s="321"/>
      <c r="Q45" s="321">
        <f t="shared" si="2"/>
        <v>0</v>
      </c>
      <c r="R45" s="407">
        <v>0.88</v>
      </c>
      <c r="S45" s="400"/>
      <c r="T45" s="400"/>
      <c r="U45" s="321"/>
      <c r="V45" s="321">
        <f t="shared" si="3"/>
        <v>0</v>
      </c>
      <c r="W45" s="407">
        <v>0.09</v>
      </c>
      <c r="X45" s="400"/>
      <c r="Y45" s="400"/>
      <c r="Z45" s="321"/>
      <c r="AA45" s="321">
        <f t="shared" si="4"/>
        <v>0</v>
      </c>
      <c r="AB45" s="407">
        <v>0.78</v>
      </c>
      <c r="AC45" s="400"/>
      <c r="AD45" s="400"/>
      <c r="AE45" s="321"/>
      <c r="AF45" s="321">
        <f t="shared" si="5"/>
        <v>0</v>
      </c>
      <c r="AG45" s="407">
        <v>1.88</v>
      </c>
      <c r="AH45" s="400"/>
      <c r="AI45" s="400"/>
      <c r="AJ45" s="321"/>
      <c r="AK45" s="321">
        <f t="shared" si="6"/>
        <v>0</v>
      </c>
      <c r="AL45" s="407">
        <v>0.05</v>
      </c>
      <c r="AM45" s="400"/>
      <c r="AN45" s="400"/>
      <c r="AO45" s="321"/>
      <c r="AP45" s="321">
        <f t="shared" si="7"/>
        <v>0</v>
      </c>
    </row>
    <row r="46" spans="1:42" ht="31.5" customHeight="1">
      <c r="A46" s="397"/>
      <c r="B46" s="398" t="s">
        <v>311</v>
      </c>
      <c r="C46" s="407">
        <v>1.36</v>
      </c>
      <c r="D46" s="400"/>
      <c r="E46" s="400"/>
      <c r="F46" s="321">
        <v>100</v>
      </c>
      <c r="G46" s="321">
        <f t="shared" si="0"/>
        <v>1.36</v>
      </c>
      <c r="H46" s="407">
        <v>1.78</v>
      </c>
      <c r="I46" s="400"/>
      <c r="J46" s="400"/>
      <c r="K46" s="321"/>
      <c r="L46" s="321">
        <f t="shared" si="1"/>
        <v>0</v>
      </c>
      <c r="M46" s="407">
        <v>1.8</v>
      </c>
      <c r="N46" s="400"/>
      <c r="O46" s="400"/>
      <c r="P46" s="321"/>
      <c r="Q46" s="321">
        <f t="shared" si="2"/>
        <v>0</v>
      </c>
      <c r="R46" s="407">
        <v>1.31</v>
      </c>
      <c r="S46" s="400"/>
      <c r="T46" s="400"/>
      <c r="U46" s="321"/>
      <c r="V46" s="321">
        <f t="shared" si="3"/>
        <v>0</v>
      </c>
      <c r="W46" s="407">
        <v>0.15</v>
      </c>
      <c r="X46" s="400"/>
      <c r="Y46" s="400"/>
      <c r="Z46" s="321"/>
      <c r="AA46" s="321">
        <f t="shared" si="4"/>
        <v>0</v>
      </c>
      <c r="AB46" s="407">
        <v>1.33</v>
      </c>
      <c r="AC46" s="400"/>
      <c r="AD46" s="400"/>
      <c r="AE46" s="321"/>
      <c r="AF46" s="321">
        <f t="shared" si="5"/>
        <v>0</v>
      </c>
      <c r="AG46" s="407">
        <v>3.23</v>
      </c>
      <c r="AH46" s="400"/>
      <c r="AI46" s="400"/>
      <c r="AJ46" s="321"/>
      <c r="AK46" s="321">
        <f t="shared" si="6"/>
        <v>0</v>
      </c>
      <c r="AL46" s="407">
        <v>0.08</v>
      </c>
      <c r="AM46" s="400"/>
      <c r="AN46" s="400"/>
      <c r="AO46" s="321"/>
      <c r="AP46" s="321">
        <f t="shared" si="7"/>
        <v>0</v>
      </c>
    </row>
    <row r="47" spans="1:42" ht="31.5" customHeight="1">
      <c r="A47" s="397"/>
      <c r="B47" s="398" t="s">
        <v>312</v>
      </c>
      <c r="C47" s="407">
        <v>3.08</v>
      </c>
      <c r="D47" s="400"/>
      <c r="E47" s="400"/>
      <c r="F47" s="321"/>
      <c r="G47" s="321">
        <f t="shared" si="0"/>
        <v>0</v>
      </c>
      <c r="H47" s="407">
        <v>4.0199999999999996</v>
      </c>
      <c r="I47" s="400"/>
      <c r="J47" s="400"/>
      <c r="K47" s="321"/>
      <c r="L47" s="321">
        <f t="shared" si="1"/>
        <v>0</v>
      </c>
      <c r="M47" s="407">
        <v>3.93</v>
      </c>
      <c r="N47" s="400"/>
      <c r="O47" s="400"/>
      <c r="P47" s="321"/>
      <c r="Q47" s="321">
        <f t="shared" si="2"/>
        <v>0</v>
      </c>
      <c r="R47" s="407">
        <v>2.61</v>
      </c>
      <c r="S47" s="400"/>
      <c r="T47" s="400"/>
      <c r="U47" s="321"/>
      <c r="V47" s="321">
        <f t="shared" si="3"/>
        <v>0</v>
      </c>
      <c r="W47" s="407">
        <v>0.34</v>
      </c>
      <c r="X47" s="400"/>
      <c r="Y47" s="400"/>
      <c r="Z47" s="321"/>
      <c r="AA47" s="321">
        <f t="shared" si="4"/>
        <v>0</v>
      </c>
      <c r="AB47" s="407">
        <v>3.01</v>
      </c>
      <c r="AC47" s="400"/>
      <c r="AD47" s="400"/>
      <c r="AE47" s="321"/>
      <c r="AF47" s="321">
        <f t="shared" si="5"/>
        <v>0</v>
      </c>
      <c r="AG47" s="407">
        <v>7.31</v>
      </c>
      <c r="AH47" s="400"/>
      <c r="AI47" s="400"/>
      <c r="AJ47" s="321"/>
      <c r="AK47" s="321">
        <f t="shared" si="6"/>
        <v>0</v>
      </c>
      <c r="AL47" s="407">
        <v>0.18</v>
      </c>
      <c r="AM47" s="400"/>
      <c r="AN47" s="400"/>
      <c r="AO47" s="321"/>
      <c r="AP47" s="321">
        <f t="shared" si="7"/>
        <v>0</v>
      </c>
    </row>
    <row r="48" spans="1:42" ht="31.5" customHeight="1">
      <c r="A48" s="397"/>
      <c r="B48" s="398" t="s">
        <v>313</v>
      </c>
      <c r="C48" s="407">
        <v>2.2599999999999998</v>
      </c>
      <c r="D48" s="400"/>
      <c r="E48" s="400"/>
      <c r="F48" s="321"/>
      <c r="G48" s="321">
        <f t="shared" si="0"/>
        <v>0</v>
      </c>
      <c r="H48" s="407">
        <v>2.94</v>
      </c>
      <c r="I48" s="400"/>
      <c r="J48" s="400"/>
      <c r="K48" s="321"/>
      <c r="L48" s="321">
        <f t="shared" si="1"/>
        <v>0</v>
      </c>
      <c r="M48" s="407">
        <v>2.91</v>
      </c>
      <c r="N48" s="400"/>
      <c r="O48" s="400"/>
      <c r="P48" s="321"/>
      <c r="Q48" s="321">
        <f t="shared" si="2"/>
        <v>0</v>
      </c>
      <c r="R48" s="407">
        <v>1.99</v>
      </c>
      <c r="S48" s="400"/>
      <c r="T48" s="400"/>
      <c r="U48" s="321"/>
      <c r="V48" s="321">
        <f t="shared" si="3"/>
        <v>0</v>
      </c>
      <c r="W48" s="407">
        <v>0.25</v>
      </c>
      <c r="X48" s="400"/>
      <c r="Y48" s="400"/>
      <c r="Z48" s="321"/>
      <c r="AA48" s="321">
        <f t="shared" si="4"/>
        <v>0</v>
      </c>
      <c r="AB48" s="407">
        <v>2.21</v>
      </c>
      <c r="AC48" s="400"/>
      <c r="AD48" s="400"/>
      <c r="AE48" s="321"/>
      <c r="AF48" s="321">
        <f t="shared" si="5"/>
        <v>0</v>
      </c>
      <c r="AG48" s="407">
        <v>5.35</v>
      </c>
      <c r="AH48" s="400"/>
      <c r="AI48" s="400"/>
      <c r="AJ48" s="321"/>
      <c r="AK48" s="321">
        <f t="shared" si="6"/>
        <v>0</v>
      </c>
      <c r="AL48" s="407">
        <v>0.13</v>
      </c>
      <c r="AM48" s="400"/>
      <c r="AN48" s="400"/>
      <c r="AO48" s="321"/>
      <c r="AP48" s="321">
        <f t="shared" si="7"/>
        <v>0</v>
      </c>
    </row>
    <row r="49" spans="1:42" ht="31.5" customHeight="1">
      <c r="A49" s="397"/>
      <c r="B49" s="398" t="s">
        <v>314</v>
      </c>
      <c r="C49" s="407">
        <v>3.98</v>
      </c>
      <c r="D49" s="400"/>
      <c r="E49" s="400"/>
      <c r="F49" s="321"/>
      <c r="G49" s="321">
        <f t="shared" si="0"/>
        <v>0</v>
      </c>
      <c r="H49" s="407">
        <v>5.19</v>
      </c>
      <c r="I49" s="400"/>
      <c r="J49" s="400"/>
      <c r="K49" s="321"/>
      <c r="L49" s="321">
        <f t="shared" si="1"/>
        <v>0</v>
      </c>
      <c r="M49" s="407">
        <v>5.04</v>
      </c>
      <c r="N49" s="400"/>
      <c r="O49" s="400"/>
      <c r="P49" s="321"/>
      <c r="Q49" s="321">
        <f t="shared" si="2"/>
        <v>0</v>
      </c>
      <c r="R49" s="407">
        <v>3.29</v>
      </c>
      <c r="S49" s="400"/>
      <c r="T49" s="400"/>
      <c r="U49" s="321"/>
      <c r="V49" s="321">
        <f t="shared" si="3"/>
        <v>0</v>
      </c>
      <c r="W49" s="407">
        <v>0.44</v>
      </c>
      <c r="X49" s="400"/>
      <c r="Y49" s="400"/>
      <c r="Z49" s="321"/>
      <c r="AA49" s="321">
        <f t="shared" si="4"/>
        <v>0</v>
      </c>
      <c r="AB49" s="407">
        <v>3.89</v>
      </c>
      <c r="AC49" s="400"/>
      <c r="AD49" s="400"/>
      <c r="AE49" s="321"/>
      <c r="AF49" s="321">
        <f t="shared" si="5"/>
        <v>0</v>
      </c>
      <c r="AG49" s="407">
        <v>9.43</v>
      </c>
      <c r="AH49" s="400"/>
      <c r="AI49" s="400"/>
      <c r="AJ49" s="321"/>
      <c r="AK49" s="321">
        <f t="shared" si="6"/>
        <v>0</v>
      </c>
      <c r="AL49" s="407">
        <v>0.23</v>
      </c>
      <c r="AM49" s="400"/>
      <c r="AN49" s="400"/>
      <c r="AO49" s="321"/>
      <c r="AP49" s="321">
        <f t="shared" si="7"/>
        <v>0</v>
      </c>
    </row>
    <row r="50" spans="1:42" ht="15.75">
      <c r="A50" s="321">
        <v>6</v>
      </c>
      <c r="B50" s="408" t="s">
        <v>221</v>
      </c>
      <c r="C50" s="407"/>
      <c r="D50" s="400"/>
      <c r="E50" s="400"/>
      <c r="F50" s="321"/>
      <c r="G50" s="321">
        <f t="shared" si="0"/>
        <v>0</v>
      </c>
      <c r="H50" s="407"/>
      <c r="I50" s="400"/>
      <c r="J50" s="400"/>
      <c r="K50" s="321"/>
      <c r="L50" s="321">
        <f t="shared" si="1"/>
        <v>0</v>
      </c>
      <c r="M50" s="407"/>
      <c r="N50" s="400"/>
      <c r="O50" s="400"/>
      <c r="P50" s="321"/>
      <c r="Q50" s="321">
        <f t="shared" si="2"/>
        <v>0</v>
      </c>
      <c r="R50" s="407"/>
      <c r="S50" s="400"/>
      <c r="T50" s="400"/>
      <c r="U50" s="321"/>
      <c r="V50" s="321">
        <f t="shared" si="3"/>
        <v>0</v>
      </c>
      <c r="W50" s="407"/>
      <c r="X50" s="400"/>
      <c r="Y50" s="400"/>
      <c r="Z50" s="321"/>
      <c r="AA50" s="321">
        <f t="shared" si="4"/>
        <v>0</v>
      </c>
      <c r="AB50" s="407"/>
      <c r="AC50" s="400"/>
      <c r="AD50" s="400"/>
      <c r="AE50" s="321"/>
      <c r="AF50" s="321">
        <f t="shared" si="5"/>
        <v>0</v>
      </c>
      <c r="AG50" s="407"/>
      <c r="AH50" s="400"/>
      <c r="AI50" s="400"/>
      <c r="AJ50" s="321"/>
      <c r="AK50" s="321">
        <f t="shared" si="6"/>
        <v>0</v>
      </c>
      <c r="AL50" s="407"/>
      <c r="AM50" s="400"/>
      <c r="AN50" s="400"/>
      <c r="AO50" s="321"/>
      <c r="AP50" s="321">
        <f t="shared" si="7"/>
        <v>0</v>
      </c>
    </row>
    <row r="51" spans="1:42" ht="15.75" customHeight="1">
      <c r="A51" s="397"/>
      <c r="B51" s="398" t="s">
        <v>315</v>
      </c>
      <c r="C51" s="407">
        <v>2.02</v>
      </c>
      <c r="D51" s="399">
        <f>MAX(C51:C63)</f>
        <v>2.9</v>
      </c>
      <c r="E51" s="400">
        <f>MIN(C51:C63)</f>
        <v>1.66</v>
      </c>
      <c r="F51" s="321"/>
      <c r="G51" s="321">
        <f t="shared" si="0"/>
        <v>0</v>
      </c>
      <c r="H51" s="407">
        <v>1.62</v>
      </c>
      <c r="I51" s="399">
        <f>MAX(H51:H63)</f>
        <v>2.29</v>
      </c>
      <c r="J51" s="400">
        <f>MIN(H51:H63)</f>
        <v>1.35</v>
      </c>
      <c r="K51" s="321"/>
      <c r="L51" s="321">
        <f t="shared" si="1"/>
        <v>0</v>
      </c>
      <c r="M51" s="407">
        <v>1.2</v>
      </c>
      <c r="N51" s="399">
        <f>MAX(M51:M63)</f>
        <v>1.63</v>
      </c>
      <c r="O51" s="400">
        <f>MIN(M51:M63)</f>
        <v>1.03</v>
      </c>
      <c r="P51" s="321"/>
      <c r="Q51" s="321">
        <f t="shared" si="2"/>
        <v>0</v>
      </c>
      <c r="R51" s="407">
        <v>2.0299999999999998</v>
      </c>
      <c r="S51" s="399">
        <f>MAX(R51:R63)</f>
        <v>3.02</v>
      </c>
      <c r="T51" s="400">
        <f>MIN(R51:R63)</f>
        <v>1.63</v>
      </c>
      <c r="U51" s="321"/>
      <c r="V51" s="321">
        <f t="shared" si="3"/>
        <v>0</v>
      </c>
      <c r="W51" s="407">
        <v>0.66</v>
      </c>
      <c r="X51" s="399">
        <f>MAX(W51:W63)</f>
        <v>0.96</v>
      </c>
      <c r="Y51" s="400">
        <f>MIN(W51:W63)</f>
        <v>0.54</v>
      </c>
      <c r="Z51" s="321"/>
      <c r="AA51" s="321">
        <f t="shared" si="4"/>
        <v>0</v>
      </c>
      <c r="AB51" s="407">
        <v>0.73</v>
      </c>
      <c r="AC51" s="399">
        <f>MAX(AB51:AB63)</f>
        <v>1.18</v>
      </c>
      <c r="AD51" s="400">
        <f>MIN(AB51:AB63)</f>
        <v>0.55000000000000004</v>
      </c>
      <c r="AE51" s="321"/>
      <c r="AF51" s="321">
        <f t="shared" si="5"/>
        <v>0</v>
      </c>
      <c r="AG51" s="407">
        <v>0.57999999999999996</v>
      </c>
      <c r="AH51" s="399">
        <f>MAX(AG51:AG63)</f>
        <v>0.88</v>
      </c>
      <c r="AI51" s="400">
        <f>MIN(AG51:AG63)</f>
        <v>0.47</v>
      </c>
      <c r="AJ51" s="321"/>
      <c r="AK51" s="321">
        <f t="shared" si="6"/>
        <v>0</v>
      </c>
      <c r="AL51" s="407">
        <v>0.61</v>
      </c>
      <c r="AM51" s="399">
        <f>MAX(AL51:AL63)</f>
        <v>0.99</v>
      </c>
      <c r="AN51" s="400">
        <f>MIN(AL51:AL63)</f>
        <v>0.46</v>
      </c>
      <c r="AO51" s="321"/>
      <c r="AP51" s="321">
        <f t="shared" si="7"/>
        <v>0</v>
      </c>
    </row>
    <row r="52" spans="1:42" ht="15.75" customHeight="1">
      <c r="A52" s="397"/>
      <c r="B52" s="398" t="s">
        <v>316</v>
      </c>
      <c r="C52" s="407">
        <v>2.0699999999999998</v>
      </c>
      <c r="D52" s="400"/>
      <c r="E52" s="400"/>
      <c r="F52" s="321"/>
      <c r="G52" s="321">
        <f t="shared" si="0"/>
        <v>0</v>
      </c>
      <c r="H52" s="407">
        <v>1.66</v>
      </c>
      <c r="I52" s="400"/>
      <c r="J52" s="400"/>
      <c r="K52" s="321"/>
      <c r="L52" s="321">
        <f t="shared" si="1"/>
        <v>0</v>
      </c>
      <c r="M52" s="407">
        <v>1.23</v>
      </c>
      <c r="N52" s="400"/>
      <c r="O52" s="400"/>
      <c r="P52" s="321"/>
      <c r="Q52" s="321">
        <f t="shared" si="2"/>
        <v>0</v>
      </c>
      <c r="R52" s="407">
        <v>2.09</v>
      </c>
      <c r="S52" s="400"/>
      <c r="T52" s="400"/>
      <c r="U52" s="321"/>
      <c r="V52" s="321">
        <f t="shared" si="3"/>
        <v>0</v>
      </c>
      <c r="W52" s="407">
        <v>0.68</v>
      </c>
      <c r="X52" s="400"/>
      <c r="Y52" s="400"/>
      <c r="Z52" s="321"/>
      <c r="AA52" s="321">
        <f t="shared" si="4"/>
        <v>0</v>
      </c>
      <c r="AB52" s="407">
        <v>0.76</v>
      </c>
      <c r="AC52" s="400"/>
      <c r="AD52" s="400"/>
      <c r="AE52" s="321"/>
      <c r="AF52" s="321">
        <f t="shared" si="5"/>
        <v>0</v>
      </c>
      <c r="AG52" s="407">
        <v>0.6</v>
      </c>
      <c r="AH52" s="400"/>
      <c r="AI52" s="400"/>
      <c r="AJ52" s="321"/>
      <c r="AK52" s="321">
        <f t="shared" si="6"/>
        <v>0</v>
      </c>
      <c r="AL52" s="407">
        <v>0.63</v>
      </c>
      <c r="AM52" s="400"/>
      <c r="AN52" s="400"/>
      <c r="AO52" s="321"/>
      <c r="AP52" s="321">
        <f t="shared" si="7"/>
        <v>0</v>
      </c>
    </row>
    <row r="53" spans="1:42" ht="15.75" customHeight="1">
      <c r="A53" s="397"/>
      <c r="B53" s="398" t="s">
        <v>317</v>
      </c>
      <c r="C53" s="407">
        <v>2.0699999999999998</v>
      </c>
      <c r="D53" s="400"/>
      <c r="E53" s="400"/>
      <c r="F53" s="321"/>
      <c r="G53" s="321">
        <f t="shared" si="0"/>
        <v>0</v>
      </c>
      <c r="H53" s="407">
        <v>1.66</v>
      </c>
      <c r="I53" s="400"/>
      <c r="J53" s="400"/>
      <c r="K53" s="321"/>
      <c r="L53" s="321">
        <f t="shared" si="1"/>
        <v>0</v>
      </c>
      <c r="M53" s="407">
        <v>1.22</v>
      </c>
      <c r="N53" s="400"/>
      <c r="O53" s="400"/>
      <c r="P53" s="321"/>
      <c r="Q53" s="321">
        <f t="shared" si="2"/>
        <v>0</v>
      </c>
      <c r="R53" s="407">
        <v>2.08</v>
      </c>
      <c r="S53" s="400"/>
      <c r="T53" s="400"/>
      <c r="U53" s="321"/>
      <c r="V53" s="321">
        <f t="shared" si="3"/>
        <v>0</v>
      </c>
      <c r="W53" s="407">
        <v>0.68</v>
      </c>
      <c r="X53" s="400"/>
      <c r="Y53" s="400"/>
      <c r="Z53" s="321"/>
      <c r="AA53" s="321">
        <f t="shared" si="4"/>
        <v>0</v>
      </c>
      <c r="AB53" s="407">
        <v>0.76</v>
      </c>
      <c r="AC53" s="400"/>
      <c r="AD53" s="400"/>
      <c r="AE53" s="321"/>
      <c r="AF53" s="321">
        <f t="shared" si="5"/>
        <v>0</v>
      </c>
      <c r="AG53" s="407">
        <v>0.6</v>
      </c>
      <c r="AH53" s="400"/>
      <c r="AI53" s="400"/>
      <c r="AJ53" s="321"/>
      <c r="AK53" s="321">
        <f t="shared" si="6"/>
        <v>0</v>
      </c>
      <c r="AL53" s="407">
        <v>0.63</v>
      </c>
      <c r="AM53" s="400"/>
      <c r="AN53" s="400"/>
      <c r="AO53" s="321"/>
      <c r="AP53" s="321">
        <f t="shared" si="7"/>
        <v>0</v>
      </c>
    </row>
    <row r="54" spans="1:42" ht="15.75" customHeight="1">
      <c r="A54" s="397"/>
      <c r="B54" s="398" t="s">
        <v>318</v>
      </c>
      <c r="C54" s="407">
        <v>2.27</v>
      </c>
      <c r="D54" s="400"/>
      <c r="E54" s="400"/>
      <c r="F54" s="321"/>
      <c r="G54" s="321">
        <f t="shared" si="0"/>
        <v>0</v>
      </c>
      <c r="H54" s="407">
        <v>1.81</v>
      </c>
      <c r="I54" s="400"/>
      <c r="J54" s="400"/>
      <c r="K54" s="321"/>
      <c r="L54" s="321">
        <f t="shared" si="1"/>
        <v>0</v>
      </c>
      <c r="M54" s="407">
        <v>1.32</v>
      </c>
      <c r="N54" s="400"/>
      <c r="O54" s="400"/>
      <c r="P54" s="321"/>
      <c r="Q54" s="321">
        <f t="shared" si="2"/>
        <v>0</v>
      </c>
      <c r="R54" s="407">
        <v>2.31</v>
      </c>
      <c r="S54" s="400"/>
      <c r="T54" s="400"/>
      <c r="U54" s="321"/>
      <c r="V54" s="321">
        <f t="shared" si="3"/>
        <v>0</v>
      </c>
      <c r="W54" s="407">
        <v>0.75</v>
      </c>
      <c r="X54" s="400"/>
      <c r="Y54" s="400"/>
      <c r="Z54" s="321"/>
      <c r="AA54" s="321">
        <f t="shared" si="4"/>
        <v>0</v>
      </c>
      <c r="AB54" s="407">
        <v>0.86</v>
      </c>
      <c r="AC54" s="400"/>
      <c r="AD54" s="400"/>
      <c r="AE54" s="321"/>
      <c r="AF54" s="321">
        <f t="shared" si="5"/>
        <v>0</v>
      </c>
      <c r="AG54" s="407">
        <v>0.67</v>
      </c>
      <c r="AH54" s="400"/>
      <c r="AI54" s="400"/>
      <c r="AJ54" s="321"/>
      <c r="AK54" s="321">
        <f t="shared" si="6"/>
        <v>0</v>
      </c>
      <c r="AL54" s="407">
        <v>0.72</v>
      </c>
      <c r="AM54" s="400"/>
      <c r="AN54" s="400"/>
      <c r="AO54" s="321"/>
      <c r="AP54" s="321">
        <f t="shared" si="7"/>
        <v>0</v>
      </c>
    </row>
    <row r="55" spans="1:42" ht="15.75" customHeight="1">
      <c r="A55" s="397"/>
      <c r="B55" s="398" t="s">
        <v>319</v>
      </c>
      <c r="C55" s="407">
        <v>1.66</v>
      </c>
      <c r="D55" s="400"/>
      <c r="E55" s="400"/>
      <c r="F55" s="321"/>
      <c r="G55" s="321">
        <f t="shared" si="0"/>
        <v>0</v>
      </c>
      <c r="H55" s="407">
        <v>1.35</v>
      </c>
      <c r="I55" s="400"/>
      <c r="J55" s="400"/>
      <c r="K55" s="321"/>
      <c r="L55" s="321">
        <f t="shared" si="1"/>
        <v>0</v>
      </c>
      <c r="M55" s="407">
        <v>1.03</v>
      </c>
      <c r="N55" s="400"/>
      <c r="O55" s="400"/>
      <c r="P55" s="321"/>
      <c r="Q55" s="321">
        <f t="shared" si="2"/>
        <v>0</v>
      </c>
      <c r="R55" s="407">
        <v>1.63</v>
      </c>
      <c r="S55" s="400"/>
      <c r="T55" s="400"/>
      <c r="U55" s="321"/>
      <c r="V55" s="321">
        <f t="shared" si="3"/>
        <v>0</v>
      </c>
      <c r="W55" s="407">
        <v>0.54</v>
      </c>
      <c r="X55" s="400"/>
      <c r="Y55" s="400"/>
      <c r="Z55" s="321"/>
      <c r="AA55" s="321">
        <f t="shared" si="4"/>
        <v>0</v>
      </c>
      <c r="AB55" s="407">
        <v>0.55000000000000004</v>
      </c>
      <c r="AC55" s="400"/>
      <c r="AD55" s="400"/>
      <c r="AE55" s="321"/>
      <c r="AF55" s="321">
        <f t="shared" si="5"/>
        <v>0</v>
      </c>
      <c r="AG55" s="407">
        <v>0.47</v>
      </c>
      <c r="AH55" s="400"/>
      <c r="AI55" s="400"/>
      <c r="AJ55" s="321"/>
      <c r="AK55" s="321">
        <f t="shared" si="6"/>
        <v>0</v>
      </c>
      <c r="AL55" s="407">
        <v>0.46</v>
      </c>
      <c r="AM55" s="400"/>
      <c r="AN55" s="400"/>
      <c r="AO55" s="321"/>
      <c r="AP55" s="321">
        <f t="shared" si="7"/>
        <v>0</v>
      </c>
    </row>
    <row r="56" spans="1:42" ht="15.75" customHeight="1">
      <c r="A56" s="397"/>
      <c r="B56" s="398" t="s">
        <v>320</v>
      </c>
      <c r="C56" s="407">
        <v>1.7</v>
      </c>
      <c r="D56" s="400"/>
      <c r="E56" s="400"/>
      <c r="F56" s="321"/>
      <c r="G56" s="321">
        <f t="shared" si="0"/>
        <v>0</v>
      </c>
      <c r="H56" s="407">
        <v>1.37</v>
      </c>
      <c r="I56" s="400"/>
      <c r="J56" s="400"/>
      <c r="K56" s="321"/>
      <c r="L56" s="321">
        <f t="shared" si="1"/>
        <v>0</v>
      </c>
      <c r="M56" s="407">
        <v>1.04</v>
      </c>
      <c r="N56" s="400"/>
      <c r="O56" s="400"/>
      <c r="P56" s="321"/>
      <c r="Q56" s="321">
        <f t="shared" si="2"/>
        <v>0</v>
      </c>
      <c r="R56" s="407">
        <v>1.66</v>
      </c>
      <c r="S56" s="400"/>
      <c r="T56" s="400"/>
      <c r="U56" s="321"/>
      <c r="V56" s="321">
        <f t="shared" si="3"/>
        <v>0</v>
      </c>
      <c r="W56" s="407">
        <v>0.56000000000000005</v>
      </c>
      <c r="X56" s="400"/>
      <c r="Y56" s="400"/>
      <c r="Z56" s="321"/>
      <c r="AA56" s="321">
        <f t="shared" si="4"/>
        <v>0</v>
      </c>
      <c r="AB56" s="407">
        <v>0.56999999999999995</v>
      </c>
      <c r="AC56" s="400"/>
      <c r="AD56" s="400"/>
      <c r="AE56" s="321"/>
      <c r="AF56" s="321">
        <f t="shared" si="5"/>
        <v>0</v>
      </c>
      <c r="AG56" s="407">
        <v>0.48</v>
      </c>
      <c r="AH56" s="400"/>
      <c r="AI56" s="400"/>
      <c r="AJ56" s="321"/>
      <c r="AK56" s="321">
        <f t="shared" si="6"/>
        <v>0</v>
      </c>
      <c r="AL56" s="407">
        <v>0.47</v>
      </c>
      <c r="AM56" s="400"/>
      <c r="AN56" s="400"/>
      <c r="AO56" s="321"/>
      <c r="AP56" s="321">
        <f t="shared" si="7"/>
        <v>0</v>
      </c>
    </row>
    <row r="57" spans="1:42" ht="15.75" customHeight="1">
      <c r="A57" s="397"/>
      <c r="B57" s="398" t="s">
        <v>321</v>
      </c>
      <c r="C57" s="407">
        <v>1.71</v>
      </c>
      <c r="D57" s="400"/>
      <c r="E57" s="400"/>
      <c r="F57" s="321"/>
      <c r="G57" s="321">
        <f t="shared" si="0"/>
        <v>0</v>
      </c>
      <c r="H57" s="407">
        <v>1.38</v>
      </c>
      <c r="I57" s="400"/>
      <c r="J57" s="400"/>
      <c r="K57" s="321"/>
      <c r="L57" s="321">
        <f t="shared" si="1"/>
        <v>0</v>
      </c>
      <c r="M57" s="407">
        <v>1.05</v>
      </c>
      <c r="N57" s="400"/>
      <c r="O57" s="400"/>
      <c r="P57" s="321"/>
      <c r="Q57" s="321">
        <f t="shared" si="2"/>
        <v>0</v>
      </c>
      <c r="R57" s="407">
        <v>1.68</v>
      </c>
      <c r="S57" s="400"/>
      <c r="T57" s="400"/>
      <c r="U57" s="321"/>
      <c r="V57" s="321">
        <f t="shared" si="3"/>
        <v>0</v>
      </c>
      <c r="W57" s="407">
        <v>0.56000000000000005</v>
      </c>
      <c r="X57" s="400"/>
      <c r="Y57" s="400"/>
      <c r="Z57" s="321"/>
      <c r="AA57" s="321">
        <f t="shared" si="4"/>
        <v>0</v>
      </c>
      <c r="AB57" s="407">
        <v>0.57999999999999996</v>
      </c>
      <c r="AC57" s="400"/>
      <c r="AD57" s="400"/>
      <c r="AE57" s="321"/>
      <c r="AF57" s="321">
        <f t="shared" si="5"/>
        <v>0</v>
      </c>
      <c r="AG57" s="407">
        <v>0.48</v>
      </c>
      <c r="AH57" s="400"/>
      <c r="AI57" s="400"/>
      <c r="AJ57" s="321"/>
      <c r="AK57" s="321">
        <f t="shared" si="6"/>
        <v>0</v>
      </c>
      <c r="AL57" s="407">
        <v>0.48</v>
      </c>
      <c r="AM57" s="400"/>
      <c r="AN57" s="400"/>
      <c r="AO57" s="321"/>
      <c r="AP57" s="321">
        <f t="shared" si="7"/>
        <v>0</v>
      </c>
    </row>
    <row r="58" spans="1:42" ht="15.75" customHeight="1">
      <c r="A58" s="397"/>
      <c r="B58" s="398" t="s">
        <v>322</v>
      </c>
      <c r="C58" s="407">
        <v>1.91</v>
      </c>
      <c r="D58" s="400"/>
      <c r="E58" s="400"/>
      <c r="F58" s="321"/>
      <c r="G58" s="321">
        <f t="shared" si="0"/>
        <v>0</v>
      </c>
      <c r="H58" s="407">
        <v>1.54</v>
      </c>
      <c r="I58" s="400"/>
      <c r="J58" s="400"/>
      <c r="K58" s="321"/>
      <c r="L58" s="321">
        <f t="shared" si="1"/>
        <v>0</v>
      </c>
      <c r="M58" s="407">
        <v>1.1499999999999999</v>
      </c>
      <c r="N58" s="400"/>
      <c r="O58" s="400"/>
      <c r="P58" s="321"/>
      <c r="Q58" s="321">
        <f t="shared" si="2"/>
        <v>0</v>
      </c>
      <c r="R58" s="407">
        <v>1.9</v>
      </c>
      <c r="S58" s="400"/>
      <c r="T58" s="400"/>
      <c r="U58" s="321"/>
      <c r="V58" s="321">
        <f t="shared" si="3"/>
        <v>0</v>
      </c>
      <c r="W58" s="407">
        <v>0.63</v>
      </c>
      <c r="X58" s="400"/>
      <c r="Y58" s="400"/>
      <c r="Z58" s="321"/>
      <c r="AA58" s="321">
        <f t="shared" si="4"/>
        <v>0</v>
      </c>
      <c r="AB58" s="407">
        <v>0.68</v>
      </c>
      <c r="AC58" s="400"/>
      <c r="AD58" s="400"/>
      <c r="AE58" s="321"/>
      <c r="AF58" s="321">
        <f t="shared" si="5"/>
        <v>0</v>
      </c>
      <c r="AG58" s="407">
        <v>0.55000000000000004</v>
      </c>
      <c r="AH58" s="400"/>
      <c r="AI58" s="400"/>
      <c r="AJ58" s="321"/>
      <c r="AK58" s="321">
        <f t="shared" si="6"/>
        <v>0</v>
      </c>
      <c r="AL58" s="407">
        <v>0.56000000000000005</v>
      </c>
      <c r="AM58" s="400"/>
      <c r="AN58" s="400"/>
      <c r="AO58" s="321"/>
      <c r="AP58" s="321">
        <f t="shared" si="7"/>
        <v>0</v>
      </c>
    </row>
    <row r="59" spans="1:42" ht="15.75" customHeight="1">
      <c r="A59" s="397"/>
      <c r="B59" s="398" t="s">
        <v>323</v>
      </c>
      <c r="C59" s="407">
        <v>2.39</v>
      </c>
      <c r="D59" s="400"/>
      <c r="E59" s="400"/>
      <c r="F59" s="321"/>
      <c r="G59" s="321">
        <f t="shared" si="0"/>
        <v>0</v>
      </c>
      <c r="H59" s="407">
        <v>1.88</v>
      </c>
      <c r="I59" s="400"/>
      <c r="J59" s="400"/>
      <c r="K59" s="321"/>
      <c r="L59" s="321">
        <f t="shared" si="1"/>
        <v>0</v>
      </c>
      <c r="M59" s="407">
        <v>1.33</v>
      </c>
      <c r="N59" s="400"/>
      <c r="O59" s="400"/>
      <c r="P59" s="321"/>
      <c r="Q59" s="321">
        <f t="shared" si="2"/>
        <v>0</v>
      </c>
      <c r="R59" s="407">
        <v>2.33</v>
      </c>
      <c r="S59" s="400"/>
      <c r="T59" s="400"/>
      <c r="U59" s="321"/>
      <c r="V59" s="321">
        <f t="shared" si="3"/>
        <v>0</v>
      </c>
      <c r="W59" s="407">
        <v>0.76</v>
      </c>
      <c r="X59" s="400"/>
      <c r="Y59" s="400"/>
      <c r="Z59" s="321"/>
      <c r="AA59" s="321">
        <f t="shared" si="4"/>
        <v>0</v>
      </c>
      <c r="AB59" s="407">
        <v>0.87</v>
      </c>
      <c r="AC59" s="400"/>
      <c r="AD59" s="400"/>
      <c r="AE59" s="321"/>
      <c r="AF59" s="321">
        <f t="shared" si="5"/>
        <v>0</v>
      </c>
      <c r="AG59" s="407">
        <v>0.67</v>
      </c>
      <c r="AH59" s="400"/>
      <c r="AI59" s="400"/>
      <c r="AJ59" s="321"/>
      <c r="AK59" s="321">
        <f t="shared" si="6"/>
        <v>0</v>
      </c>
      <c r="AL59" s="407">
        <v>0.72</v>
      </c>
      <c r="AM59" s="400"/>
      <c r="AN59" s="400"/>
      <c r="AO59" s="321"/>
      <c r="AP59" s="321">
        <f t="shared" si="7"/>
        <v>0</v>
      </c>
    </row>
    <row r="60" spans="1:42" ht="15.75" customHeight="1">
      <c r="A60" s="397"/>
      <c r="B60" s="398" t="s">
        <v>324</v>
      </c>
      <c r="C60" s="407">
        <v>2.41</v>
      </c>
      <c r="D60" s="400"/>
      <c r="E60" s="400"/>
      <c r="F60" s="321"/>
      <c r="G60" s="321">
        <f t="shared" si="0"/>
        <v>0</v>
      </c>
      <c r="H60" s="407">
        <v>1.9</v>
      </c>
      <c r="I60" s="400"/>
      <c r="J60" s="400"/>
      <c r="K60" s="321"/>
      <c r="L60" s="321">
        <f t="shared" si="1"/>
        <v>0</v>
      </c>
      <c r="M60" s="407">
        <v>1.34</v>
      </c>
      <c r="N60" s="400"/>
      <c r="O60" s="400"/>
      <c r="P60" s="321"/>
      <c r="Q60" s="321">
        <f t="shared" si="2"/>
        <v>0</v>
      </c>
      <c r="R60" s="407">
        <v>2.36</v>
      </c>
      <c r="S60" s="400"/>
      <c r="T60" s="400"/>
      <c r="U60" s="321"/>
      <c r="V60" s="321">
        <f t="shared" si="3"/>
        <v>0</v>
      </c>
      <c r="W60" s="407">
        <v>0.76</v>
      </c>
      <c r="X60" s="400"/>
      <c r="Y60" s="400"/>
      <c r="Z60" s="321"/>
      <c r="AA60" s="321">
        <f t="shared" si="4"/>
        <v>0</v>
      </c>
      <c r="AB60" s="407">
        <v>0.88</v>
      </c>
      <c r="AC60" s="400"/>
      <c r="AD60" s="400"/>
      <c r="AE60" s="321"/>
      <c r="AF60" s="321">
        <f t="shared" si="5"/>
        <v>0</v>
      </c>
      <c r="AG60" s="407">
        <v>0.68</v>
      </c>
      <c r="AH60" s="400"/>
      <c r="AI60" s="400"/>
      <c r="AJ60" s="321"/>
      <c r="AK60" s="321">
        <f t="shared" si="6"/>
        <v>0</v>
      </c>
      <c r="AL60" s="407">
        <v>0.74</v>
      </c>
      <c r="AM60" s="400"/>
      <c r="AN60" s="400"/>
      <c r="AO60" s="321"/>
      <c r="AP60" s="321">
        <f t="shared" si="7"/>
        <v>0</v>
      </c>
    </row>
    <row r="61" spans="1:42" ht="15.75" customHeight="1">
      <c r="A61" s="397"/>
      <c r="B61" s="398" t="s">
        <v>325</v>
      </c>
      <c r="C61" s="407">
        <v>2.41</v>
      </c>
      <c r="D61" s="400"/>
      <c r="E61" s="400"/>
      <c r="F61" s="321"/>
      <c r="G61" s="321">
        <f t="shared" si="0"/>
        <v>0</v>
      </c>
      <c r="H61" s="407">
        <v>1.9</v>
      </c>
      <c r="I61" s="400"/>
      <c r="J61" s="400"/>
      <c r="K61" s="321"/>
      <c r="L61" s="321">
        <f t="shared" si="1"/>
        <v>0</v>
      </c>
      <c r="M61" s="407">
        <v>1.34</v>
      </c>
      <c r="N61" s="400"/>
      <c r="O61" s="400"/>
      <c r="P61" s="321"/>
      <c r="Q61" s="321">
        <f t="shared" si="2"/>
        <v>0</v>
      </c>
      <c r="R61" s="407">
        <v>2.36</v>
      </c>
      <c r="S61" s="400"/>
      <c r="T61" s="400"/>
      <c r="U61" s="321"/>
      <c r="V61" s="321">
        <f t="shared" si="3"/>
        <v>0</v>
      </c>
      <c r="W61" s="407">
        <v>0.76</v>
      </c>
      <c r="X61" s="400"/>
      <c r="Y61" s="400"/>
      <c r="Z61" s="321"/>
      <c r="AA61" s="321">
        <f t="shared" si="4"/>
        <v>0</v>
      </c>
      <c r="AB61" s="407">
        <v>0.88</v>
      </c>
      <c r="AC61" s="400"/>
      <c r="AD61" s="400"/>
      <c r="AE61" s="321"/>
      <c r="AF61" s="321">
        <f t="shared" si="5"/>
        <v>0</v>
      </c>
      <c r="AG61" s="407">
        <v>0.68</v>
      </c>
      <c r="AH61" s="400"/>
      <c r="AI61" s="400"/>
      <c r="AJ61" s="321"/>
      <c r="AK61" s="321">
        <f t="shared" si="6"/>
        <v>0</v>
      </c>
      <c r="AL61" s="407">
        <v>0.73</v>
      </c>
      <c r="AM61" s="400"/>
      <c r="AN61" s="400"/>
      <c r="AO61" s="321"/>
      <c r="AP61" s="321">
        <f t="shared" si="7"/>
        <v>0</v>
      </c>
    </row>
    <row r="62" spans="1:42" ht="15.75" customHeight="1">
      <c r="A62" s="397"/>
      <c r="B62" s="398" t="s">
        <v>326</v>
      </c>
      <c r="C62" s="407">
        <v>2.5</v>
      </c>
      <c r="D62" s="400"/>
      <c r="E62" s="400"/>
      <c r="F62" s="321"/>
      <c r="G62" s="321">
        <f t="shared" si="0"/>
        <v>0</v>
      </c>
      <c r="H62" s="407">
        <v>1.97</v>
      </c>
      <c r="I62" s="400"/>
      <c r="J62" s="400"/>
      <c r="K62" s="321"/>
      <c r="L62" s="321">
        <f t="shared" si="1"/>
        <v>0</v>
      </c>
      <c r="M62" s="407">
        <v>1.38</v>
      </c>
      <c r="N62" s="400"/>
      <c r="O62" s="400"/>
      <c r="P62" s="321"/>
      <c r="Q62" s="321">
        <f t="shared" si="2"/>
        <v>0</v>
      </c>
      <c r="R62" s="407">
        <v>2.46</v>
      </c>
      <c r="S62" s="400"/>
      <c r="T62" s="400"/>
      <c r="U62" s="321"/>
      <c r="V62" s="321">
        <f t="shared" si="3"/>
        <v>0</v>
      </c>
      <c r="W62" s="407">
        <v>0.79</v>
      </c>
      <c r="X62" s="400"/>
      <c r="Y62" s="400"/>
      <c r="Z62" s="321"/>
      <c r="AA62" s="321">
        <f t="shared" si="4"/>
        <v>0</v>
      </c>
      <c r="AB62" s="407">
        <v>0.93</v>
      </c>
      <c r="AC62" s="400"/>
      <c r="AD62" s="400"/>
      <c r="AE62" s="321"/>
      <c r="AF62" s="321">
        <f t="shared" si="5"/>
        <v>0</v>
      </c>
      <c r="AG62" s="407">
        <v>0.71</v>
      </c>
      <c r="AH62" s="400"/>
      <c r="AI62" s="400"/>
      <c r="AJ62" s="321"/>
      <c r="AK62" s="321">
        <f t="shared" si="6"/>
        <v>0</v>
      </c>
      <c r="AL62" s="407">
        <v>0.77</v>
      </c>
      <c r="AM62" s="400"/>
      <c r="AN62" s="400"/>
      <c r="AO62" s="321"/>
      <c r="AP62" s="321">
        <f t="shared" si="7"/>
        <v>0</v>
      </c>
    </row>
    <row r="63" spans="1:42" ht="15.75" customHeight="1">
      <c r="A63" s="397"/>
      <c r="B63" s="398" t="s">
        <v>327</v>
      </c>
      <c r="C63" s="407">
        <v>2.9</v>
      </c>
      <c r="D63" s="400"/>
      <c r="E63" s="400"/>
      <c r="F63" s="321">
        <v>100</v>
      </c>
      <c r="G63" s="321">
        <f t="shared" si="0"/>
        <v>2.9</v>
      </c>
      <c r="H63" s="407">
        <v>2.29</v>
      </c>
      <c r="I63" s="400"/>
      <c r="J63" s="400"/>
      <c r="K63" s="321"/>
      <c r="L63" s="321">
        <f t="shared" si="1"/>
        <v>0</v>
      </c>
      <c r="M63" s="407">
        <v>1.63</v>
      </c>
      <c r="N63" s="400"/>
      <c r="O63" s="400"/>
      <c r="P63" s="321"/>
      <c r="Q63" s="321">
        <f t="shared" si="2"/>
        <v>0</v>
      </c>
      <c r="R63" s="407">
        <v>3.02</v>
      </c>
      <c r="S63" s="400"/>
      <c r="T63" s="400"/>
      <c r="U63" s="321"/>
      <c r="V63" s="321">
        <f t="shared" si="3"/>
        <v>0</v>
      </c>
      <c r="W63" s="407">
        <v>0.96</v>
      </c>
      <c r="X63" s="400"/>
      <c r="Y63" s="400"/>
      <c r="Z63" s="321"/>
      <c r="AA63" s="321">
        <f t="shared" si="4"/>
        <v>0</v>
      </c>
      <c r="AB63" s="407">
        <v>1.18</v>
      </c>
      <c r="AC63" s="400"/>
      <c r="AD63" s="400"/>
      <c r="AE63" s="321"/>
      <c r="AF63" s="321">
        <f t="shared" si="5"/>
        <v>0</v>
      </c>
      <c r="AG63" s="407">
        <v>0.88</v>
      </c>
      <c r="AH63" s="400"/>
      <c r="AI63" s="400"/>
      <c r="AJ63" s="321"/>
      <c r="AK63" s="321">
        <f t="shared" si="6"/>
        <v>0</v>
      </c>
      <c r="AL63" s="407">
        <v>0.99</v>
      </c>
      <c r="AM63" s="400"/>
      <c r="AN63" s="400"/>
      <c r="AO63" s="321"/>
      <c r="AP63" s="321">
        <f t="shared" si="7"/>
        <v>0</v>
      </c>
    </row>
    <row r="64" spans="1:42" ht="15.75">
      <c r="A64" s="321">
        <v>7</v>
      </c>
      <c r="B64" s="408" t="s">
        <v>223</v>
      </c>
      <c r="C64" s="407"/>
      <c r="D64" s="400"/>
      <c r="E64" s="400"/>
      <c r="F64" s="321"/>
      <c r="G64" s="321">
        <f t="shared" si="0"/>
        <v>0</v>
      </c>
      <c r="H64" s="407"/>
      <c r="I64" s="400"/>
      <c r="J64" s="400"/>
      <c r="K64" s="321"/>
      <c r="L64" s="321">
        <f t="shared" si="1"/>
        <v>0</v>
      </c>
      <c r="M64" s="407"/>
      <c r="N64" s="400"/>
      <c r="O64" s="400"/>
      <c r="P64" s="321"/>
      <c r="Q64" s="321">
        <f t="shared" si="2"/>
        <v>0</v>
      </c>
      <c r="R64" s="407"/>
      <c r="S64" s="400"/>
      <c r="T64" s="400"/>
      <c r="U64" s="321"/>
      <c r="V64" s="321">
        <f t="shared" si="3"/>
        <v>0</v>
      </c>
      <c r="W64" s="407"/>
      <c r="X64" s="400"/>
      <c r="Y64" s="400"/>
      <c r="Z64" s="321"/>
      <c r="AA64" s="321">
        <f t="shared" si="4"/>
        <v>0</v>
      </c>
      <c r="AB64" s="407"/>
      <c r="AC64" s="400"/>
      <c r="AD64" s="400"/>
      <c r="AE64" s="321"/>
      <c r="AF64" s="321">
        <f t="shared" si="5"/>
        <v>0</v>
      </c>
      <c r="AG64" s="407"/>
      <c r="AH64" s="400"/>
      <c r="AI64" s="400"/>
      <c r="AJ64" s="321"/>
      <c r="AK64" s="321">
        <f t="shared" si="6"/>
        <v>0</v>
      </c>
      <c r="AL64" s="407"/>
      <c r="AM64" s="400"/>
      <c r="AN64" s="400"/>
      <c r="AO64" s="321"/>
      <c r="AP64" s="321">
        <f t="shared" si="7"/>
        <v>0</v>
      </c>
    </row>
    <row r="65" spans="1:42" ht="15.75" customHeight="1">
      <c r="A65" s="397"/>
      <c r="B65" s="398" t="s">
        <v>328</v>
      </c>
      <c r="C65" s="407">
        <v>0.37</v>
      </c>
      <c r="D65" s="399">
        <f>MAX(C65:C82)</f>
        <v>4.49</v>
      </c>
      <c r="E65" s="400">
        <f>MIN(C65:C82)</f>
        <v>0.37</v>
      </c>
      <c r="F65" s="321"/>
      <c r="G65" s="321">
        <f t="shared" si="0"/>
        <v>0</v>
      </c>
      <c r="H65" s="407">
        <v>0.4</v>
      </c>
      <c r="I65" s="399">
        <f>MAX(H65:H82)</f>
        <v>5.07</v>
      </c>
      <c r="J65" s="400">
        <f>MIN(H65:H82)</f>
        <v>0.4</v>
      </c>
      <c r="K65" s="321"/>
      <c r="L65" s="321">
        <f t="shared" si="1"/>
        <v>0</v>
      </c>
      <c r="M65" s="407">
        <v>0.55000000000000004</v>
      </c>
      <c r="N65" s="399">
        <f>MAX(M65:M82)</f>
        <v>5.07</v>
      </c>
      <c r="O65" s="400">
        <f>MIN(M65:M82)</f>
        <v>0.55000000000000004</v>
      </c>
      <c r="P65" s="321"/>
      <c r="Q65" s="321">
        <f t="shared" si="2"/>
        <v>0</v>
      </c>
      <c r="R65" s="407">
        <v>0.34</v>
      </c>
      <c r="S65" s="399">
        <f>MAX(R65:R82)</f>
        <v>5.19</v>
      </c>
      <c r="T65" s="400">
        <f>MIN(R65:R82)</f>
        <v>0.34</v>
      </c>
      <c r="U65" s="321"/>
      <c r="V65" s="321">
        <f t="shared" si="3"/>
        <v>0</v>
      </c>
      <c r="W65" s="407">
        <v>0.18</v>
      </c>
      <c r="X65" s="399">
        <f>MAX(W65:W82)</f>
        <v>1.53</v>
      </c>
      <c r="Y65" s="400">
        <f>MIN(W65:W82)</f>
        <v>0.18</v>
      </c>
      <c r="Z65" s="321"/>
      <c r="AA65" s="321">
        <f t="shared" si="4"/>
        <v>0</v>
      </c>
      <c r="AB65" s="407">
        <v>0.43</v>
      </c>
      <c r="AC65" s="399">
        <f>MAX(AB65:AB82)</f>
        <v>3.7</v>
      </c>
      <c r="AD65" s="400">
        <f>MIN(AB65:AB82)</f>
        <v>0.43</v>
      </c>
      <c r="AE65" s="321"/>
      <c r="AF65" s="321">
        <f t="shared" si="5"/>
        <v>0</v>
      </c>
      <c r="AG65" s="407">
        <v>0.39</v>
      </c>
      <c r="AH65" s="399">
        <f>MAX(AG65:AG82)</f>
        <v>3.55</v>
      </c>
      <c r="AI65" s="400">
        <f>MIN(AG65:AG82)</f>
        <v>0.39</v>
      </c>
      <c r="AJ65" s="321"/>
      <c r="AK65" s="321">
        <f t="shared" si="6"/>
        <v>0</v>
      </c>
      <c r="AL65" s="407">
        <v>0.3</v>
      </c>
      <c r="AM65" s="399">
        <f>MAX(AL65:AL82)</f>
        <v>3.63</v>
      </c>
      <c r="AN65" s="400">
        <f>MIN(AL65:AL82)</f>
        <v>0.3</v>
      </c>
      <c r="AO65" s="321"/>
      <c r="AP65" s="321">
        <f t="shared" si="7"/>
        <v>0</v>
      </c>
    </row>
    <row r="66" spans="1:42" ht="15.75" customHeight="1">
      <c r="A66" s="397"/>
      <c r="B66" s="398" t="s">
        <v>329</v>
      </c>
      <c r="C66" s="407">
        <v>0.68</v>
      </c>
      <c r="D66" s="400"/>
      <c r="E66" s="400"/>
      <c r="F66" s="321"/>
      <c r="G66" s="321">
        <f t="shared" si="0"/>
        <v>0</v>
      </c>
      <c r="H66" s="407">
        <v>0.76</v>
      </c>
      <c r="I66" s="400"/>
      <c r="J66" s="400"/>
      <c r="K66" s="321"/>
      <c r="L66" s="321">
        <f t="shared" si="1"/>
        <v>0</v>
      </c>
      <c r="M66" s="407">
        <v>0.89</v>
      </c>
      <c r="N66" s="400"/>
      <c r="O66" s="400"/>
      <c r="P66" s="321"/>
      <c r="Q66" s="321">
        <f t="shared" si="2"/>
        <v>0</v>
      </c>
      <c r="R66" s="407">
        <v>0.71</v>
      </c>
      <c r="S66" s="400"/>
      <c r="T66" s="400"/>
      <c r="U66" s="321"/>
      <c r="V66" s="321">
        <f t="shared" si="3"/>
        <v>0</v>
      </c>
      <c r="W66" s="407">
        <v>0.28000000000000003</v>
      </c>
      <c r="X66" s="400"/>
      <c r="Y66" s="400"/>
      <c r="Z66" s="321"/>
      <c r="AA66" s="321">
        <f t="shared" si="4"/>
        <v>0</v>
      </c>
      <c r="AB66" s="407">
        <v>0.68</v>
      </c>
      <c r="AC66" s="400"/>
      <c r="AD66" s="400"/>
      <c r="AE66" s="321"/>
      <c r="AF66" s="321">
        <f t="shared" si="5"/>
        <v>0</v>
      </c>
      <c r="AG66" s="407">
        <v>0.64</v>
      </c>
      <c r="AH66" s="400"/>
      <c r="AI66" s="400"/>
      <c r="AJ66" s="321"/>
      <c r="AK66" s="321">
        <f t="shared" si="6"/>
        <v>0</v>
      </c>
      <c r="AL66" s="407">
        <v>0.55000000000000004</v>
      </c>
      <c r="AM66" s="400"/>
      <c r="AN66" s="400"/>
      <c r="AO66" s="321"/>
      <c r="AP66" s="321">
        <f t="shared" si="7"/>
        <v>0</v>
      </c>
    </row>
    <row r="67" spans="1:42" ht="15.75" customHeight="1">
      <c r="A67" s="397"/>
      <c r="B67" s="398" t="s">
        <v>330</v>
      </c>
      <c r="C67" s="407">
        <v>0.94</v>
      </c>
      <c r="D67" s="400"/>
      <c r="E67" s="400"/>
      <c r="F67" s="321"/>
      <c r="G67" s="321">
        <f t="shared" si="0"/>
        <v>0</v>
      </c>
      <c r="H67" s="407">
        <v>1.05</v>
      </c>
      <c r="I67" s="400"/>
      <c r="J67" s="400"/>
      <c r="K67" s="321"/>
      <c r="L67" s="321">
        <f t="shared" ref="L67:L126" si="8">$H67*K67/100</f>
        <v>0</v>
      </c>
      <c r="M67" s="407">
        <v>1.18</v>
      </c>
      <c r="N67" s="400"/>
      <c r="O67" s="400"/>
      <c r="P67" s="321"/>
      <c r="Q67" s="321">
        <f t="shared" ref="Q67:Q126" si="9">$M67*P67/100</f>
        <v>0</v>
      </c>
      <c r="R67" s="407">
        <v>1.01</v>
      </c>
      <c r="S67" s="400"/>
      <c r="T67" s="400"/>
      <c r="U67" s="321"/>
      <c r="V67" s="321">
        <f t="shared" ref="V67:V126" si="10">$R67*U67/100</f>
        <v>0</v>
      </c>
      <c r="W67" s="407">
        <v>0.36</v>
      </c>
      <c r="X67" s="400"/>
      <c r="Y67" s="400"/>
      <c r="Z67" s="321"/>
      <c r="AA67" s="321">
        <f t="shared" ref="AA67:AA126" si="11">$W67*Z67/100</f>
        <v>0</v>
      </c>
      <c r="AB67" s="407">
        <v>0.88</v>
      </c>
      <c r="AC67" s="400"/>
      <c r="AD67" s="400"/>
      <c r="AE67" s="321"/>
      <c r="AF67" s="321">
        <f t="shared" ref="AF67:AF126" si="12">$AB67*AE67/100</f>
        <v>0</v>
      </c>
      <c r="AG67" s="407">
        <v>0.83</v>
      </c>
      <c r="AH67" s="400"/>
      <c r="AI67" s="400"/>
      <c r="AJ67" s="321"/>
      <c r="AK67" s="321">
        <f t="shared" ref="AK67:AK126" si="13">$AG67*AJ67/100</f>
        <v>0</v>
      </c>
      <c r="AL67" s="407">
        <v>0.76</v>
      </c>
      <c r="AM67" s="400"/>
      <c r="AN67" s="400"/>
      <c r="AO67" s="321"/>
      <c r="AP67" s="321">
        <f t="shared" ref="AP67:AP126" si="14">$AL67*AO67/100</f>
        <v>0</v>
      </c>
    </row>
    <row r="68" spans="1:42" ht="15.75" customHeight="1">
      <c r="A68" s="397"/>
      <c r="B68" s="398" t="s">
        <v>331</v>
      </c>
      <c r="C68" s="407">
        <v>1.0900000000000001</v>
      </c>
      <c r="D68" s="400"/>
      <c r="E68" s="400"/>
      <c r="F68" s="321"/>
      <c r="G68" s="321">
        <f t="shared" si="0"/>
        <v>0</v>
      </c>
      <c r="H68" s="407">
        <v>1.22</v>
      </c>
      <c r="I68" s="400"/>
      <c r="J68" s="400"/>
      <c r="K68" s="321"/>
      <c r="L68" s="321">
        <f t="shared" si="8"/>
        <v>0</v>
      </c>
      <c r="M68" s="407">
        <v>1.34</v>
      </c>
      <c r="N68" s="400"/>
      <c r="O68" s="400"/>
      <c r="P68" s="321"/>
      <c r="Q68" s="321">
        <f t="shared" si="9"/>
        <v>0</v>
      </c>
      <c r="R68" s="407">
        <v>1.19</v>
      </c>
      <c r="S68" s="400"/>
      <c r="T68" s="400"/>
      <c r="U68" s="321"/>
      <c r="V68" s="321">
        <f t="shared" si="10"/>
        <v>0</v>
      </c>
      <c r="W68" s="407">
        <v>0.41</v>
      </c>
      <c r="X68" s="400"/>
      <c r="Y68" s="400"/>
      <c r="Z68" s="321"/>
      <c r="AA68" s="321">
        <f t="shared" si="11"/>
        <v>0</v>
      </c>
      <c r="AB68" s="407">
        <v>1</v>
      </c>
      <c r="AC68" s="400"/>
      <c r="AD68" s="400"/>
      <c r="AE68" s="321"/>
      <c r="AF68" s="321">
        <f t="shared" si="12"/>
        <v>0</v>
      </c>
      <c r="AG68" s="407">
        <v>0.94</v>
      </c>
      <c r="AH68" s="400"/>
      <c r="AI68" s="400"/>
      <c r="AJ68" s="321"/>
      <c r="AK68" s="321">
        <f t="shared" si="13"/>
        <v>0</v>
      </c>
      <c r="AL68" s="407">
        <v>0.88</v>
      </c>
      <c r="AM68" s="400"/>
      <c r="AN68" s="400"/>
      <c r="AO68" s="321"/>
      <c r="AP68" s="321">
        <f t="shared" si="14"/>
        <v>0</v>
      </c>
    </row>
    <row r="69" spans="1:42" ht="15.75" customHeight="1">
      <c r="A69" s="397"/>
      <c r="B69" s="398" t="s">
        <v>332</v>
      </c>
      <c r="C69" s="407">
        <v>1.22</v>
      </c>
      <c r="D69" s="400"/>
      <c r="E69" s="400"/>
      <c r="F69" s="321"/>
      <c r="G69" s="321">
        <f t="shared" si="0"/>
        <v>0</v>
      </c>
      <c r="H69" s="407">
        <v>1.37</v>
      </c>
      <c r="I69" s="400"/>
      <c r="J69" s="400"/>
      <c r="K69" s="321"/>
      <c r="L69" s="321">
        <f t="shared" si="8"/>
        <v>0</v>
      </c>
      <c r="M69" s="407">
        <v>1.48</v>
      </c>
      <c r="N69" s="400"/>
      <c r="O69" s="400"/>
      <c r="P69" s="321"/>
      <c r="Q69" s="321">
        <f t="shared" si="9"/>
        <v>0</v>
      </c>
      <c r="R69" s="407">
        <v>1.34</v>
      </c>
      <c r="S69" s="400"/>
      <c r="T69" s="400"/>
      <c r="U69" s="321"/>
      <c r="V69" s="321">
        <f t="shared" si="10"/>
        <v>0</v>
      </c>
      <c r="W69" s="407">
        <v>0.46</v>
      </c>
      <c r="X69" s="400"/>
      <c r="Y69" s="400"/>
      <c r="Z69" s="321"/>
      <c r="AA69" s="321">
        <f t="shared" si="11"/>
        <v>0</v>
      </c>
      <c r="AB69" s="407">
        <v>1.1100000000000001</v>
      </c>
      <c r="AC69" s="400"/>
      <c r="AD69" s="400"/>
      <c r="AE69" s="321"/>
      <c r="AF69" s="321">
        <f t="shared" si="12"/>
        <v>0</v>
      </c>
      <c r="AG69" s="407">
        <v>1.05</v>
      </c>
      <c r="AH69" s="400"/>
      <c r="AI69" s="400"/>
      <c r="AJ69" s="321"/>
      <c r="AK69" s="321">
        <f t="shared" si="13"/>
        <v>0</v>
      </c>
      <c r="AL69" s="407">
        <v>0.99</v>
      </c>
      <c r="AM69" s="400"/>
      <c r="AN69" s="400"/>
      <c r="AO69" s="321"/>
      <c r="AP69" s="321">
        <f t="shared" si="14"/>
        <v>0</v>
      </c>
    </row>
    <row r="70" spans="1:42" ht="15.75" customHeight="1">
      <c r="A70" s="397"/>
      <c r="B70" s="398" t="s">
        <v>333</v>
      </c>
      <c r="C70" s="407">
        <v>1.86</v>
      </c>
      <c r="D70" s="400"/>
      <c r="E70" s="400"/>
      <c r="F70" s="321">
        <v>100</v>
      </c>
      <c r="G70" s="321">
        <f t="shared" si="0"/>
        <v>1.86</v>
      </c>
      <c r="H70" s="407">
        <v>2.09</v>
      </c>
      <c r="I70" s="400"/>
      <c r="J70" s="400"/>
      <c r="K70" s="321"/>
      <c r="L70" s="321">
        <f t="shared" si="8"/>
        <v>0</v>
      </c>
      <c r="M70" s="407">
        <v>2.1800000000000002</v>
      </c>
      <c r="N70" s="400"/>
      <c r="O70" s="400"/>
      <c r="P70" s="321"/>
      <c r="Q70" s="321">
        <f t="shared" si="9"/>
        <v>0</v>
      </c>
      <c r="R70" s="407">
        <v>2.1</v>
      </c>
      <c r="S70" s="400"/>
      <c r="T70" s="400"/>
      <c r="U70" s="321"/>
      <c r="V70" s="321">
        <f t="shared" si="10"/>
        <v>0</v>
      </c>
      <c r="W70" s="407">
        <v>0.67</v>
      </c>
      <c r="X70" s="400"/>
      <c r="Y70" s="400"/>
      <c r="Z70" s="321"/>
      <c r="AA70" s="321">
        <f t="shared" si="11"/>
        <v>0</v>
      </c>
      <c r="AB70" s="407">
        <v>1.61</v>
      </c>
      <c r="AC70" s="400"/>
      <c r="AD70" s="400"/>
      <c r="AE70" s="321"/>
      <c r="AF70" s="321">
        <f t="shared" si="12"/>
        <v>0</v>
      </c>
      <c r="AG70" s="407">
        <v>1.54</v>
      </c>
      <c r="AH70" s="400"/>
      <c r="AI70" s="400"/>
      <c r="AJ70" s="321"/>
      <c r="AK70" s="321">
        <f t="shared" si="13"/>
        <v>0</v>
      </c>
      <c r="AL70" s="407">
        <v>1.51</v>
      </c>
      <c r="AM70" s="400"/>
      <c r="AN70" s="400"/>
      <c r="AO70" s="321"/>
      <c r="AP70" s="321">
        <f t="shared" si="14"/>
        <v>0</v>
      </c>
    </row>
    <row r="71" spans="1:42" ht="15.75" customHeight="1">
      <c r="A71" s="397"/>
      <c r="B71" s="398" t="s">
        <v>334</v>
      </c>
      <c r="C71" s="407">
        <v>1.64</v>
      </c>
      <c r="D71" s="400"/>
      <c r="E71" s="400"/>
      <c r="F71" s="321"/>
      <c r="G71" s="321">
        <f t="shared" si="0"/>
        <v>0</v>
      </c>
      <c r="H71" s="407">
        <v>1.83</v>
      </c>
      <c r="I71" s="400"/>
      <c r="J71" s="400"/>
      <c r="K71" s="321"/>
      <c r="L71" s="321">
        <f t="shared" si="8"/>
        <v>0</v>
      </c>
      <c r="M71" s="407">
        <v>1.87</v>
      </c>
      <c r="N71" s="400"/>
      <c r="O71" s="400"/>
      <c r="P71" s="321"/>
      <c r="Q71" s="321">
        <f t="shared" si="9"/>
        <v>0</v>
      </c>
      <c r="R71" s="407">
        <v>1.76</v>
      </c>
      <c r="S71" s="400"/>
      <c r="T71" s="400"/>
      <c r="U71" s="321"/>
      <c r="V71" s="321">
        <f t="shared" si="10"/>
        <v>0</v>
      </c>
      <c r="W71" s="407">
        <v>0.56999999999999995</v>
      </c>
      <c r="X71" s="400"/>
      <c r="Y71" s="400"/>
      <c r="Z71" s="321"/>
      <c r="AA71" s="321">
        <f t="shared" si="11"/>
        <v>0</v>
      </c>
      <c r="AB71" s="407">
        <v>1.39</v>
      </c>
      <c r="AC71" s="400"/>
      <c r="AD71" s="400"/>
      <c r="AE71" s="321"/>
      <c r="AF71" s="321">
        <f t="shared" si="12"/>
        <v>0</v>
      </c>
      <c r="AG71" s="407">
        <v>1.32</v>
      </c>
      <c r="AH71" s="400"/>
      <c r="AI71" s="400"/>
      <c r="AJ71" s="321"/>
      <c r="AK71" s="321">
        <f t="shared" si="13"/>
        <v>0</v>
      </c>
      <c r="AL71" s="407">
        <v>1.27</v>
      </c>
      <c r="AM71" s="400"/>
      <c r="AN71" s="400"/>
      <c r="AO71" s="321"/>
      <c r="AP71" s="321">
        <f t="shared" si="14"/>
        <v>0</v>
      </c>
    </row>
    <row r="72" spans="1:42" ht="15.75" customHeight="1">
      <c r="A72" s="397"/>
      <c r="B72" s="398" t="s">
        <v>450</v>
      </c>
      <c r="C72" s="407">
        <v>2.25</v>
      </c>
      <c r="D72" s="400"/>
      <c r="E72" s="400"/>
      <c r="F72" s="321"/>
      <c r="G72" s="321">
        <f>$C72*F72/100</f>
        <v>0</v>
      </c>
      <c r="H72" s="407">
        <v>2.5299999999999998</v>
      </c>
      <c r="I72" s="400"/>
      <c r="J72" s="400"/>
      <c r="K72" s="321"/>
      <c r="L72" s="321">
        <f t="shared" si="8"/>
        <v>0</v>
      </c>
      <c r="M72" s="407">
        <v>2.61</v>
      </c>
      <c r="N72" s="400"/>
      <c r="O72" s="400"/>
      <c r="P72" s="321"/>
      <c r="Q72" s="321">
        <f t="shared" si="9"/>
        <v>0</v>
      </c>
      <c r="R72" s="407">
        <v>2.5499999999999998</v>
      </c>
      <c r="S72" s="400"/>
      <c r="T72" s="400"/>
      <c r="U72" s="321"/>
      <c r="V72" s="321">
        <f t="shared" si="10"/>
        <v>0</v>
      </c>
      <c r="W72" s="407">
        <v>0.8</v>
      </c>
      <c r="X72" s="400"/>
      <c r="Y72" s="400"/>
      <c r="Z72" s="321"/>
      <c r="AA72" s="321">
        <f t="shared" si="11"/>
        <v>0</v>
      </c>
      <c r="AB72" s="407">
        <v>1.92</v>
      </c>
      <c r="AC72" s="400"/>
      <c r="AD72" s="400"/>
      <c r="AE72" s="321"/>
      <c r="AF72" s="321">
        <f t="shared" si="12"/>
        <v>0</v>
      </c>
      <c r="AG72" s="407">
        <v>1.83</v>
      </c>
      <c r="AH72" s="400"/>
      <c r="AI72" s="400"/>
      <c r="AJ72" s="321"/>
      <c r="AK72" s="321">
        <f t="shared" si="13"/>
        <v>0</v>
      </c>
      <c r="AL72" s="407">
        <v>1.82</v>
      </c>
      <c r="AM72" s="400"/>
      <c r="AN72" s="400"/>
      <c r="AO72" s="321"/>
      <c r="AP72" s="321">
        <f t="shared" si="14"/>
        <v>0</v>
      </c>
    </row>
    <row r="73" spans="1:42" ht="15.75" customHeight="1">
      <c r="A73" s="397"/>
      <c r="B73" s="398" t="s">
        <v>451</v>
      </c>
      <c r="C73" s="407">
        <v>1.96</v>
      </c>
      <c r="D73" s="400"/>
      <c r="E73" s="400"/>
      <c r="F73" s="321"/>
      <c r="G73" s="321">
        <f>$C73*F73/100</f>
        <v>0</v>
      </c>
      <c r="H73" s="407">
        <v>2.2000000000000002</v>
      </c>
      <c r="I73" s="400"/>
      <c r="J73" s="400"/>
      <c r="K73" s="321"/>
      <c r="L73" s="321">
        <f t="shared" si="8"/>
        <v>0</v>
      </c>
      <c r="M73" s="407">
        <v>2.29</v>
      </c>
      <c r="N73" s="400"/>
      <c r="O73" s="400"/>
      <c r="P73" s="321"/>
      <c r="Q73" s="321">
        <f t="shared" si="9"/>
        <v>0</v>
      </c>
      <c r="R73" s="407">
        <v>2.21</v>
      </c>
      <c r="S73" s="400"/>
      <c r="T73" s="400"/>
      <c r="U73" s="321"/>
      <c r="V73" s="321">
        <f t="shared" si="10"/>
        <v>0</v>
      </c>
      <c r="W73" s="407">
        <v>0.7</v>
      </c>
      <c r="X73" s="400"/>
      <c r="Y73" s="400"/>
      <c r="Z73" s="321"/>
      <c r="AA73" s="321">
        <f t="shared" si="11"/>
        <v>0</v>
      </c>
      <c r="AB73" s="407">
        <v>1.69</v>
      </c>
      <c r="AC73" s="400"/>
      <c r="AD73" s="400"/>
      <c r="AE73" s="321"/>
      <c r="AF73" s="321">
        <f t="shared" si="12"/>
        <v>0</v>
      </c>
      <c r="AG73" s="407">
        <v>1.61</v>
      </c>
      <c r="AH73" s="400"/>
      <c r="AI73" s="400"/>
      <c r="AJ73" s="321"/>
      <c r="AK73" s="321">
        <f t="shared" si="13"/>
        <v>0</v>
      </c>
      <c r="AL73" s="407">
        <v>1.58</v>
      </c>
      <c r="AM73" s="400"/>
      <c r="AN73" s="400"/>
      <c r="AO73" s="321"/>
      <c r="AP73" s="321">
        <f t="shared" si="14"/>
        <v>0</v>
      </c>
    </row>
    <row r="74" spans="1:42" ht="15.75" customHeight="1">
      <c r="A74" s="397"/>
      <c r="B74" s="398" t="s">
        <v>452</v>
      </c>
      <c r="C74" s="407">
        <v>2.33</v>
      </c>
      <c r="D74" s="400"/>
      <c r="E74" s="400"/>
      <c r="F74" s="321"/>
      <c r="G74" s="321">
        <f>$C74*F74/100</f>
        <v>0</v>
      </c>
      <c r="H74" s="407">
        <v>2.63</v>
      </c>
      <c r="I74" s="400"/>
      <c r="J74" s="400"/>
      <c r="K74" s="321"/>
      <c r="L74" s="321">
        <f t="shared" si="8"/>
        <v>0</v>
      </c>
      <c r="M74" s="407">
        <v>2.7</v>
      </c>
      <c r="N74" s="400"/>
      <c r="O74" s="400"/>
      <c r="P74" s="321"/>
      <c r="Q74" s="321">
        <f t="shared" si="9"/>
        <v>0</v>
      </c>
      <c r="R74" s="407">
        <v>2.65</v>
      </c>
      <c r="S74" s="400"/>
      <c r="T74" s="400"/>
      <c r="U74" s="321"/>
      <c r="V74" s="321">
        <f t="shared" si="10"/>
        <v>0</v>
      </c>
      <c r="W74" s="407">
        <v>0.82</v>
      </c>
      <c r="X74" s="400"/>
      <c r="Y74" s="400"/>
      <c r="Z74" s="321"/>
      <c r="AA74" s="321">
        <f t="shared" si="11"/>
        <v>0</v>
      </c>
      <c r="AB74" s="407">
        <v>1.99</v>
      </c>
      <c r="AC74" s="400"/>
      <c r="AD74" s="400"/>
      <c r="AE74" s="321"/>
      <c r="AF74" s="321">
        <f t="shared" si="12"/>
        <v>0</v>
      </c>
      <c r="AG74" s="407">
        <v>1.9</v>
      </c>
      <c r="AH74" s="400"/>
      <c r="AI74" s="400"/>
      <c r="AJ74" s="321"/>
      <c r="AK74" s="321">
        <f t="shared" si="13"/>
        <v>0</v>
      </c>
      <c r="AL74" s="407">
        <v>1.89</v>
      </c>
      <c r="AM74" s="400"/>
      <c r="AN74" s="400"/>
      <c r="AO74" s="321"/>
      <c r="AP74" s="321">
        <f t="shared" si="14"/>
        <v>0</v>
      </c>
    </row>
    <row r="75" spans="1:42" s="88" customFormat="1" ht="15.75" customHeight="1">
      <c r="A75" s="397"/>
      <c r="B75" s="398" t="s">
        <v>453</v>
      </c>
      <c r="C75" s="423">
        <v>2.7</v>
      </c>
      <c r="D75" s="400"/>
      <c r="E75" s="400"/>
      <c r="F75" s="424"/>
      <c r="G75" s="424">
        <f>$C75*F75/100</f>
        <v>0</v>
      </c>
      <c r="H75" s="423">
        <v>3.05</v>
      </c>
      <c r="I75" s="400"/>
      <c r="J75" s="400"/>
      <c r="K75" s="424"/>
      <c r="L75" s="424">
        <f t="shared" si="8"/>
        <v>0</v>
      </c>
      <c r="M75" s="423">
        <v>3.11</v>
      </c>
      <c r="N75" s="400"/>
      <c r="O75" s="400"/>
      <c r="P75" s="424"/>
      <c r="Q75" s="424">
        <f t="shared" si="9"/>
        <v>0</v>
      </c>
      <c r="R75" s="423">
        <v>3.09</v>
      </c>
      <c r="S75" s="400"/>
      <c r="T75" s="400"/>
      <c r="U75" s="424"/>
      <c r="V75" s="424">
        <f t="shared" si="10"/>
        <v>0</v>
      </c>
      <c r="W75" s="423">
        <v>0.95</v>
      </c>
      <c r="X75" s="400"/>
      <c r="Y75" s="400"/>
      <c r="Z75" s="424"/>
      <c r="AA75" s="424">
        <f t="shared" si="11"/>
        <v>0</v>
      </c>
      <c r="AB75" s="423">
        <v>2.2799999999999998</v>
      </c>
      <c r="AC75" s="400"/>
      <c r="AD75" s="400"/>
      <c r="AE75" s="424"/>
      <c r="AF75" s="424">
        <f t="shared" si="12"/>
        <v>0</v>
      </c>
      <c r="AG75" s="423">
        <v>2.1800000000000002</v>
      </c>
      <c r="AH75" s="400"/>
      <c r="AI75" s="400"/>
      <c r="AJ75" s="424"/>
      <c r="AK75" s="424">
        <f t="shared" si="13"/>
        <v>0</v>
      </c>
      <c r="AL75" s="423">
        <v>2.19</v>
      </c>
      <c r="AM75" s="400"/>
      <c r="AN75" s="400"/>
      <c r="AO75" s="424"/>
      <c r="AP75" s="424">
        <f t="shared" si="14"/>
        <v>0</v>
      </c>
    </row>
    <row r="76" spans="1:42" s="88" customFormat="1" ht="15.75" customHeight="1">
      <c r="A76" s="397"/>
      <c r="B76" s="398" t="s">
        <v>454</v>
      </c>
      <c r="C76" s="423">
        <v>3.79</v>
      </c>
      <c r="D76" s="400"/>
      <c r="E76" s="400"/>
      <c r="F76" s="424"/>
      <c r="G76" s="424">
        <f t="shared" si="0"/>
        <v>0</v>
      </c>
      <c r="H76" s="423">
        <v>4.28</v>
      </c>
      <c r="I76" s="400"/>
      <c r="J76" s="400"/>
      <c r="K76" s="424"/>
      <c r="L76" s="424">
        <f t="shared" si="8"/>
        <v>0</v>
      </c>
      <c r="M76" s="423">
        <v>4.3</v>
      </c>
      <c r="N76" s="400"/>
      <c r="O76" s="400"/>
      <c r="P76" s="424"/>
      <c r="Q76" s="424">
        <f t="shared" si="9"/>
        <v>0</v>
      </c>
      <c r="R76" s="423">
        <v>4.37</v>
      </c>
      <c r="S76" s="400"/>
      <c r="T76" s="400"/>
      <c r="U76" s="424"/>
      <c r="V76" s="424">
        <f t="shared" si="10"/>
        <v>0</v>
      </c>
      <c r="W76" s="423">
        <v>1.3</v>
      </c>
      <c r="X76" s="400"/>
      <c r="Y76" s="400"/>
      <c r="Z76" s="424"/>
      <c r="AA76" s="424">
        <f t="shared" si="11"/>
        <v>0</v>
      </c>
      <c r="AB76" s="423">
        <v>3.14</v>
      </c>
      <c r="AC76" s="400"/>
      <c r="AD76" s="400"/>
      <c r="AE76" s="424"/>
      <c r="AF76" s="424">
        <f t="shared" si="12"/>
        <v>0</v>
      </c>
      <c r="AG76" s="423">
        <v>3.01</v>
      </c>
      <c r="AH76" s="400"/>
      <c r="AI76" s="400"/>
      <c r="AJ76" s="424"/>
      <c r="AK76" s="424">
        <f t="shared" si="13"/>
        <v>0</v>
      </c>
      <c r="AL76" s="423">
        <v>3.07</v>
      </c>
      <c r="AM76" s="400"/>
      <c r="AN76" s="400"/>
      <c r="AO76" s="424"/>
      <c r="AP76" s="424">
        <f t="shared" si="14"/>
        <v>0</v>
      </c>
    </row>
    <row r="77" spans="1:42" ht="15.75" customHeight="1">
      <c r="A77" s="397"/>
      <c r="B77" s="398" t="s">
        <v>455</v>
      </c>
      <c r="C77" s="407">
        <v>1.99</v>
      </c>
      <c r="D77" s="400"/>
      <c r="E77" s="400"/>
      <c r="F77" s="321"/>
      <c r="G77" s="321">
        <f t="shared" si="0"/>
        <v>0</v>
      </c>
      <c r="H77" s="407">
        <v>2.2400000000000002</v>
      </c>
      <c r="I77" s="400"/>
      <c r="J77" s="400"/>
      <c r="K77" s="321"/>
      <c r="L77" s="321">
        <f t="shared" si="8"/>
        <v>0</v>
      </c>
      <c r="M77" s="407">
        <v>2.33</v>
      </c>
      <c r="N77" s="400"/>
      <c r="O77" s="400"/>
      <c r="P77" s="321"/>
      <c r="Q77" s="321">
        <f t="shared" si="9"/>
        <v>0</v>
      </c>
      <c r="R77" s="407">
        <v>2.25</v>
      </c>
      <c r="S77" s="400"/>
      <c r="T77" s="400"/>
      <c r="U77" s="321"/>
      <c r="V77" s="321">
        <f t="shared" si="10"/>
        <v>0</v>
      </c>
      <c r="W77" s="407">
        <v>0.71</v>
      </c>
      <c r="X77" s="400"/>
      <c r="Y77" s="400"/>
      <c r="Z77" s="321"/>
      <c r="AA77" s="321">
        <f t="shared" si="11"/>
        <v>0</v>
      </c>
      <c r="AB77" s="407">
        <v>1.72</v>
      </c>
      <c r="AC77" s="400"/>
      <c r="AD77" s="400"/>
      <c r="AE77" s="321"/>
      <c r="AF77" s="321">
        <f t="shared" si="12"/>
        <v>0</v>
      </c>
      <c r="AG77" s="407">
        <v>1.64</v>
      </c>
      <c r="AH77" s="400"/>
      <c r="AI77" s="400"/>
      <c r="AJ77" s="321"/>
      <c r="AK77" s="321">
        <f t="shared" si="13"/>
        <v>0</v>
      </c>
      <c r="AL77" s="407">
        <v>1.61</v>
      </c>
      <c r="AM77" s="400"/>
      <c r="AN77" s="400"/>
      <c r="AO77" s="321"/>
      <c r="AP77" s="321">
        <f t="shared" si="14"/>
        <v>0</v>
      </c>
    </row>
    <row r="78" spans="1:42" ht="15.75" customHeight="1">
      <c r="A78" s="397"/>
      <c r="B78" s="398" t="s">
        <v>456</v>
      </c>
      <c r="C78" s="407">
        <v>4.49</v>
      </c>
      <c r="D78" s="400"/>
      <c r="E78" s="400"/>
      <c r="F78" s="321"/>
      <c r="G78" s="321">
        <f t="shared" si="0"/>
        <v>0</v>
      </c>
      <c r="H78" s="407">
        <v>5.07</v>
      </c>
      <c r="I78" s="400"/>
      <c r="J78" s="400"/>
      <c r="K78" s="321"/>
      <c r="L78" s="321">
        <f t="shared" si="8"/>
        <v>0</v>
      </c>
      <c r="M78" s="407">
        <v>5.07</v>
      </c>
      <c r="N78" s="400"/>
      <c r="O78" s="400"/>
      <c r="P78" s="321"/>
      <c r="Q78" s="321">
        <f t="shared" si="9"/>
        <v>0</v>
      </c>
      <c r="R78" s="407">
        <v>5.19</v>
      </c>
      <c r="S78" s="400"/>
      <c r="T78" s="400"/>
      <c r="U78" s="321"/>
      <c r="V78" s="321">
        <f t="shared" si="10"/>
        <v>0</v>
      </c>
      <c r="W78" s="407">
        <v>1.53</v>
      </c>
      <c r="X78" s="400"/>
      <c r="Y78" s="400"/>
      <c r="Z78" s="321"/>
      <c r="AA78" s="321">
        <f t="shared" si="11"/>
        <v>0</v>
      </c>
      <c r="AB78" s="407">
        <v>3.7</v>
      </c>
      <c r="AC78" s="400"/>
      <c r="AD78" s="400"/>
      <c r="AE78" s="321"/>
      <c r="AF78" s="321">
        <f t="shared" si="12"/>
        <v>0</v>
      </c>
      <c r="AG78" s="407">
        <v>3.55</v>
      </c>
      <c r="AH78" s="400"/>
      <c r="AI78" s="400"/>
      <c r="AJ78" s="321"/>
      <c r="AK78" s="321">
        <f t="shared" si="13"/>
        <v>0</v>
      </c>
      <c r="AL78" s="407">
        <v>3.63</v>
      </c>
      <c r="AM78" s="400"/>
      <c r="AN78" s="400"/>
      <c r="AO78" s="321"/>
      <c r="AP78" s="321">
        <f t="shared" si="14"/>
        <v>0</v>
      </c>
    </row>
    <row r="79" spans="1:42" ht="15.75" customHeight="1">
      <c r="A79" s="397"/>
      <c r="B79" s="398" t="s">
        <v>457</v>
      </c>
      <c r="C79" s="407">
        <v>3.07</v>
      </c>
      <c r="D79" s="400"/>
      <c r="E79" s="400"/>
      <c r="F79" s="321"/>
      <c r="G79" s="321">
        <f t="shared" si="0"/>
        <v>0</v>
      </c>
      <c r="H79" s="407">
        <v>3.46</v>
      </c>
      <c r="I79" s="400"/>
      <c r="J79" s="400"/>
      <c r="K79" s="321"/>
      <c r="L79" s="321">
        <f t="shared" si="8"/>
        <v>0</v>
      </c>
      <c r="M79" s="407">
        <v>3.51</v>
      </c>
      <c r="N79" s="400"/>
      <c r="O79" s="400"/>
      <c r="P79" s="321"/>
      <c r="Q79" s="321">
        <f t="shared" si="9"/>
        <v>0</v>
      </c>
      <c r="R79" s="407">
        <v>3.52</v>
      </c>
      <c r="S79" s="400"/>
      <c r="T79" s="400"/>
      <c r="U79" s="321"/>
      <c r="V79" s="321">
        <f t="shared" si="10"/>
        <v>0</v>
      </c>
      <c r="W79" s="407">
        <v>1.07</v>
      </c>
      <c r="X79" s="400"/>
      <c r="Y79" s="400"/>
      <c r="Z79" s="321"/>
      <c r="AA79" s="321">
        <f t="shared" si="11"/>
        <v>0</v>
      </c>
      <c r="AB79" s="407">
        <v>2.58</v>
      </c>
      <c r="AC79" s="400"/>
      <c r="AD79" s="400"/>
      <c r="AE79" s="321"/>
      <c r="AF79" s="321">
        <f t="shared" si="12"/>
        <v>0</v>
      </c>
      <c r="AG79" s="407">
        <v>2.46</v>
      </c>
      <c r="AH79" s="400"/>
      <c r="AI79" s="400"/>
      <c r="AJ79" s="321"/>
      <c r="AK79" s="321">
        <f t="shared" si="13"/>
        <v>0</v>
      </c>
      <c r="AL79" s="407">
        <v>2.4900000000000002</v>
      </c>
      <c r="AM79" s="400"/>
      <c r="AN79" s="400"/>
      <c r="AO79" s="321"/>
      <c r="AP79" s="321">
        <f t="shared" si="14"/>
        <v>0</v>
      </c>
    </row>
    <row r="80" spans="1:42" ht="15.75" customHeight="1">
      <c r="A80" s="397"/>
      <c r="B80" s="398" t="s">
        <v>458</v>
      </c>
      <c r="C80" s="407">
        <v>1.99</v>
      </c>
      <c r="D80" s="400"/>
      <c r="E80" s="400"/>
      <c r="F80" s="321"/>
      <c r="G80" s="321">
        <f t="shared" si="0"/>
        <v>0</v>
      </c>
      <c r="H80" s="407">
        <v>2.25</v>
      </c>
      <c r="I80" s="400"/>
      <c r="J80" s="400"/>
      <c r="K80" s="321"/>
      <c r="L80" s="321">
        <f t="shared" si="8"/>
        <v>0</v>
      </c>
      <c r="M80" s="407">
        <v>2.33</v>
      </c>
      <c r="N80" s="400"/>
      <c r="O80" s="400"/>
      <c r="P80" s="321"/>
      <c r="Q80" s="321">
        <f t="shared" si="9"/>
        <v>0</v>
      </c>
      <c r="R80" s="407">
        <v>2.25</v>
      </c>
      <c r="S80" s="400"/>
      <c r="T80" s="400"/>
      <c r="U80" s="321"/>
      <c r="V80" s="321">
        <f t="shared" si="10"/>
        <v>0</v>
      </c>
      <c r="W80" s="407">
        <v>0.71</v>
      </c>
      <c r="X80" s="400"/>
      <c r="Y80" s="400"/>
      <c r="Z80" s="321"/>
      <c r="AA80" s="321">
        <f t="shared" si="11"/>
        <v>0</v>
      </c>
      <c r="AB80" s="407">
        <v>1.72</v>
      </c>
      <c r="AC80" s="400"/>
      <c r="AD80" s="400"/>
      <c r="AE80" s="321"/>
      <c r="AF80" s="321">
        <f t="shared" si="12"/>
        <v>0</v>
      </c>
      <c r="AG80" s="407">
        <v>1.64</v>
      </c>
      <c r="AH80" s="400"/>
      <c r="AI80" s="400"/>
      <c r="AJ80" s="321"/>
      <c r="AK80" s="321">
        <f t="shared" si="13"/>
        <v>0</v>
      </c>
      <c r="AL80" s="407">
        <v>1.61</v>
      </c>
      <c r="AM80" s="400"/>
      <c r="AN80" s="400"/>
      <c r="AO80" s="321"/>
      <c r="AP80" s="321">
        <f t="shared" si="14"/>
        <v>0</v>
      </c>
    </row>
    <row r="81" spans="1:42" ht="15.75" customHeight="1">
      <c r="A81" s="397"/>
      <c r="B81" s="398" t="s">
        <v>459</v>
      </c>
      <c r="C81" s="407">
        <v>1.7</v>
      </c>
      <c r="D81" s="400"/>
      <c r="E81" s="400"/>
      <c r="F81" s="321"/>
      <c r="G81" s="321">
        <f t="shared" si="0"/>
        <v>0</v>
      </c>
      <c r="H81" s="407">
        <v>1.91</v>
      </c>
      <c r="I81" s="400"/>
      <c r="J81" s="400"/>
      <c r="K81" s="321"/>
      <c r="L81" s="321">
        <f t="shared" si="8"/>
        <v>0</v>
      </c>
      <c r="M81" s="407">
        <v>2.0099999999999998</v>
      </c>
      <c r="N81" s="400"/>
      <c r="O81" s="400"/>
      <c r="P81" s="321"/>
      <c r="Q81" s="321">
        <f t="shared" si="9"/>
        <v>0</v>
      </c>
      <c r="R81" s="407">
        <v>1.91</v>
      </c>
      <c r="S81" s="400"/>
      <c r="T81" s="400"/>
      <c r="U81" s="321"/>
      <c r="V81" s="321">
        <f t="shared" si="10"/>
        <v>0</v>
      </c>
      <c r="W81" s="407">
        <v>0.62</v>
      </c>
      <c r="X81" s="400"/>
      <c r="Y81" s="400"/>
      <c r="Z81" s="321"/>
      <c r="AA81" s="321">
        <f t="shared" si="11"/>
        <v>0</v>
      </c>
      <c r="AB81" s="407">
        <v>1.49</v>
      </c>
      <c r="AC81" s="400"/>
      <c r="AD81" s="400"/>
      <c r="AE81" s="321"/>
      <c r="AF81" s="321">
        <f t="shared" si="12"/>
        <v>0</v>
      </c>
      <c r="AG81" s="407">
        <v>1.41</v>
      </c>
      <c r="AH81" s="400"/>
      <c r="AI81" s="400"/>
      <c r="AJ81" s="321"/>
      <c r="AK81" s="321">
        <f t="shared" si="13"/>
        <v>0</v>
      </c>
      <c r="AL81" s="407">
        <v>1.38</v>
      </c>
      <c r="AM81" s="400"/>
      <c r="AN81" s="400"/>
      <c r="AO81" s="321"/>
      <c r="AP81" s="321">
        <f t="shared" si="14"/>
        <v>0</v>
      </c>
    </row>
    <row r="82" spans="1:42" ht="15.75" customHeight="1">
      <c r="A82" s="397"/>
      <c r="B82" s="398" t="s">
        <v>460</v>
      </c>
      <c r="C82" s="407">
        <v>2.86</v>
      </c>
      <c r="D82" s="400"/>
      <c r="E82" s="400"/>
      <c r="F82" s="321"/>
      <c r="G82" s="321">
        <f t="shared" si="0"/>
        <v>0</v>
      </c>
      <c r="H82" s="407">
        <v>3.23</v>
      </c>
      <c r="I82" s="400"/>
      <c r="J82" s="400"/>
      <c r="K82" s="321"/>
      <c r="L82" s="321">
        <f t="shared" si="8"/>
        <v>0</v>
      </c>
      <c r="M82" s="407">
        <v>3.28</v>
      </c>
      <c r="N82" s="400"/>
      <c r="O82" s="400"/>
      <c r="P82" s="321"/>
      <c r="Q82" s="321">
        <f t="shared" si="9"/>
        <v>0</v>
      </c>
      <c r="R82" s="407">
        <v>3.28</v>
      </c>
      <c r="S82" s="400"/>
      <c r="T82" s="400"/>
      <c r="U82" s="321"/>
      <c r="V82" s="321">
        <f t="shared" si="10"/>
        <v>0</v>
      </c>
      <c r="W82" s="407">
        <v>1</v>
      </c>
      <c r="X82" s="400"/>
      <c r="Y82" s="400"/>
      <c r="Z82" s="321"/>
      <c r="AA82" s="321">
        <f t="shared" si="11"/>
        <v>0</v>
      </c>
      <c r="AB82" s="407">
        <v>2.41</v>
      </c>
      <c r="AC82" s="400"/>
      <c r="AD82" s="400"/>
      <c r="AE82" s="321"/>
      <c r="AF82" s="321">
        <f t="shared" si="12"/>
        <v>0</v>
      </c>
      <c r="AG82" s="407">
        <v>2.2999999999999998</v>
      </c>
      <c r="AH82" s="400"/>
      <c r="AI82" s="400"/>
      <c r="AJ82" s="321"/>
      <c r="AK82" s="321">
        <f t="shared" si="13"/>
        <v>0</v>
      </c>
      <c r="AL82" s="407">
        <v>2.3199999999999998</v>
      </c>
      <c r="AM82" s="400"/>
      <c r="AN82" s="400"/>
      <c r="AO82" s="321"/>
      <c r="AP82" s="321">
        <f t="shared" si="14"/>
        <v>0</v>
      </c>
    </row>
    <row r="83" spans="1:42" ht="15.75">
      <c r="A83" s="321">
        <v>8</v>
      </c>
      <c r="B83" s="408" t="s">
        <v>346</v>
      </c>
      <c r="C83" s="407"/>
      <c r="D83" s="400"/>
      <c r="E83" s="400"/>
      <c r="F83" s="321"/>
      <c r="G83" s="321">
        <f t="shared" si="0"/>
        <v>0</v>
      </c>
      <c r="H83" s="407"/>
      <c r="I83" s="400"/>
      <c r="J83" s="400"/>
      <c r="K83" s="321"/>
      <c r="L83" s="321">
        <f t="shared" si="8"/>
        <v>0</v>
      </c>
      <c r="M83" s="407"/>
      <c r="N83" s="400"/>
      <c r="O83" s="400"/>
      <c r="P83" s="321"/>
      <c r="Q83" s="321">
        <f t="shared" si="9"/>
        <v>0</v>
      </c>
      <c r="R83" s="407"/>
      <c r="S83" s="400"/>
      <c r="T83" s="400"/>
      <c r="U83" s="321"/>
      <c r="V83" s="321">
        <f t="shared" si="10"/>
        <v>0</v>
      </c>
      <c r="W83" s="407"/>
      <c r="X83" s="400"/>
      <c r="Y83" s="400"/>
      <c r="Z83" s="321"/>
      <c r="AA83" s="321">
        <f t="shared" si="11"/>
        <v>0</v>
      </c>
      <c r="AB83" s="407"/>
      <c r="AC83" s="400"/>
      <c r="AD83" s="400"/>
      <c r="AE83" s="321"/>
      <c r="AF83" s="321">
        <f t="shared" si="12"/>
        <v>0</v>
      </c>
      <c r="AG83" s="407"/>
      <c r="AH83" s="400"/>
      <c r="AI83" s="400"/>
      <c r="AJ83" s="321"/>
      <c r="AK83" s="321">
        <f t="shared" si="13"/>
        <v>0</v>
      </c>
      <c r="AL83" s="407"/>
      <c r="AM83" s="400"/>
      <c r="AN83" s="400"/>
      <c r="AO83" s="321"/>
      <c r="AP83" s="321">
        <f t="shared" si="14"/>
        <v>0</v>
      </c>
    </row>
    <row r="84" spans="1:42" ht="15.75">
      <c r="A84" s="321"/>
      <c r="B84" s="408" t="s">
        <v>347</v>
      </c>
      <c r="C84" s="407"/>
      <c r="D84" s="400"/>
      <c r="E84" s="400"/>
      <c r="F84" s="321"/>
      <c r="G84" s="321">
        <f t="shared" si="0"/>
        <v>0</v>
      </c>
      <c r="H84" s="407"/>
      <c r="I84" s="400"/>
      <c r="J84" s="400"/>
      <c r="K84" s="321"/>
      <c r="L84" s="321">
        <f t="shared" si="8"/>
        <v>0</v>
      </c>
      <c r="M84" s="407"/>
      <c r="N84" s="400"/>
      <c r="O84" s="400"/>
      <c r="P84" s="321"/>
      <c r="Q84" s="321">
        <f t="shared" si="9"/>
        <v>0</v>
      </c>
      <c r="R84" s="407"/>
      <c r="S84" s="400"/>
      <c r="T84" s="400"/>
      <c r="U84" s="321"/>
      <c r="V84" s="321">
        <f t="shared" si="10"/>
        <v>0</v>
      </c>
      <c r="W84" s="407"/>
      <c r="X84" s="400"/>
      <c r="Y84" s="400"/>
      <c r="Z84" s="321"/>
      <c r="AA84" s="321">
        <f t="shared" si="11"/>
        <v>0</v>
      </c>
      <c r="AB84" s="407"/>
      <c r="AC84" s="400"/>
      <c r="AD84" s="400"/>
      <c r="AE84" s="321"/>
      <c r="AF84" s="321">
        <f t="shared" si="12"/>
        <v>0</v>
      </c>
      <c r="AG84" s="407"/>
      <c r="AH84" s="400"/>
      <c r="AI84" s="400"/>
      <c r="AJ84" s="321"/>
      <c r="AK84" s="321">
        <f t="shared" si="13"/>
        <v>0</v>
      </c>
      <c r="AL84" s="407"/>
      <c r="AM84" s="400"/>
      <c r="AN84" s="400"/>
      <c r="AO84" s="321"/>
      <c r="AP84" s="321">
        <f t="shared" si="14"/>
        <v>0</v>
      </c>
    </row>
    <row r="85" spans="1:42" ht="15.75">
      <c r="A85" s="397"/>
      <c r="B85" s="398" t="s">
        <v>348</v>
      </c>
      <c r="C85" s="407">
        <v>1.18</v>
      </c>
      <c r="D85" s="399">
        <f>MAX(C85:C101)</f>
        <v>11.23</v>
      </c>
      <c r="E85" s="400">
        <f>MIN(C85:C101)</f>
        <v>0.52</v>
      </c>
      <c r="F85" s="321"/>
      <c r="G85" s="321">
        <f t="shared" si="0"/>
        <v>0</v>
      </c>
      <c r="H85" s="407">
        <v>0.9</v>
      </c>
      <c r="I85" s="399">
        <f>MAX(H85:H101)</f>
        <v>8.56</v>
      </c>
      <c r="J85" s="400">
        <f>MIN(H85:H101)</f>
        <v>0.4</v>
      </c>
      <c r="K85" s="321"/>
      <c r="L85" s="321">
        <f t="shared" si="8"/>
        <v>0</v>
      </c>
      <c r="M85" s="407">
        <v>0.98</v>
      </c>
      <c r="N85" s="399">
        <f>MAX(M85:M101)</f>
        <v>9.31</v>
      </c>
      <c r="O85" s="400">
        <f>MIN(M85:M101)</f>
        <v>0.43</v>
      </c>
      <c r="P85" s="321"/>
      <c r="Q85" s="321">
        <f t="shared" si="9"/>
        <v>0</v>
      </c>
      <c r="R85" s="407">
        <v>0.7</v>
      </c>
      <c r="S85" s="399">
        <f>MAX(R85:R101)</f>
        <v>6.64</v>
      </c>
      <c r="T85" s="400">
        <f>MIN(R85:R101)</f>
        <v>0.31</v>
      </c>
      <c r="U85" s="321"/>
      <c r="V85" s="321">
        <f t="shared" si="10"/>
        <v>0</v>
      </c>
      <c r="W85" s="407">
        <v>0.33</v>
      </c>
      <c r="X85" s="399">
        <f>MAX(W85:W101)</f>
        <v>3.12</v>
      </c>
      <c r="Y85" s="400">
        <f>MIN(W85:W101)</f>
        <v>0.15</v>
      </c>
      <c r="Z85" s="321"/>
      <c r="AA85" s="321">
        <f t="shared" si="11"/>
        <v>0</v>
      </c>
      <c r="AB85" s="407">
        <v>0.65</v>
      </c>
      <c r="AC85" s="399">
        <f>MAX(AB85:AB101)</f>
        <v>3.1</v>
      </c>
      <c r="AD85" s="400">
        <f>MIN(AB85:AB101)</f>
        <v>0.49</v>
      </c>
      <c r="AE85" s="321"/>
      <c r="AF85" s="321">
        <f t="shared" si="12"/>
        <v>0</v>
      </c>
      <c r="AG85" s="407">
        <v>0.8</v>
      </c>
      <c r="AH85" s="399">
        <f>MAX(AG85:AG101)</f>
        <v>7.64</v>
      </c>
      <c r="AI85" s="400">
        <f>MIN(AG85:AG101)</f>
        <v>0.36</v>
      </c>
      <c r="AJ85" s="321"/>
      <c r="AK85" s="321">
        <f t="shared" si="13"/>
        <v>0</v>
      </c>
      <c r="AL85" s="407">
        <v>1.25</v>
      </c>
      <c r="AM85" s="399">
        <f>MAX(AL85:AL101)</f>
        <v>11.87</v>
      </c>
      <c r="AN85" s="400">
        <f>MIN(AL85:AL101)</f>
        <v>0.55000000000000004</v>
      </c>
      <c r="AO85" s="321"/>
      <c r="AP85" s="321">
        <f t="shared" si="14"/>
        <v>0</v>
      </c>
    </row>
    <row r="86" spans="1:42" ht="15.75">
      <c r="A86" s="397"/>
      <c r="B86" s="398" t="s">
        <v>349</v>
      </c>
      <c r="C86" s="407">
        <v>1.59</v>
      </c>
      <c r="D86" s="400"/>
      <c r="E86" s="400"/>
      <c r="F86" s="321">
        <v>100</v>
      </c>
      <c r="G86" s="321">
        <f t="shared" si="0"/>
        <v>1.59</v>
      </c>
      <c r="H86" s="407">
        <v>1.21</v>
      </c>
      <c r="I86" s="400"/>
      <c r="J86" s="400"/>
      <c r="K86" s="321"/>
      <c r="L86" s="321">
        <f t="shared" si="8"/>
        <v>0</v>
      </c>
      <c r="M86" s="407">
        <v>1.32</v>
      </c>
      <c r="N86" s="400"/>
      <c r="O86" s="400"/>
      <c r="P86" s="321"/>
      <c r="Q86" s="321">
        <f t="shared" si="9"/>
        <v>0</v>
      </c>
      <c r="R86" s="407">
        <v>0.94</v>
      </c>
      <c r="S86" s="400"/>
      <c r="T86" s="400"/>
      <c r="U86" s="321"/>
      <c r="V86" s="321">
        <f t="shared" si="10"/>
        <v>0</v>
      </c>
      <c r="W86" s="407">
        <v>0.44</v>
      </c>
      <c r="X86" s="400"/>
      <c r="Y86" s="400"/>
      <c r="Z86" s="321"/>
      <c r="AA86" s="321">
        <f t="shared" si="11"/>
        <v>0</v>
      </c>
      <c r="AB86" s="407">
        <v>0.75</v>
      </c>
      <c r="AC86" s="400"/>
      <c r="AD86" s="400"/>
      <c r="AE86" s="321"/>
      <c r="AF86" s="321">
        <f t="shared" si="12"/>
        <v>0</v>
      </c>
      <c r="AG86" s="407">
        <v>1.08</v>
      </c>
      <c r="AH86" s="400"/>
      <c r="AI86" s="400"/>
      <c r="AJ86" s="321"/>
      <c r="AK86" s="321">
        <f t="shared" si="13"/>
        <v>0</v>
      </c>
      <c r="AL86" s="407">
        <v>1.68</v>
      </c>
      <c r="AM86" s="400"/>
      <c r="AN86" s="400"/>
      <c r="AO86" s="321"/>
      <c r="AP86" s="321">
        <f t="shared" si="14"/>
        <v>0</v>
      </c>
    </row>
    <row r="87" spans="1:42" ht="15.75">
      <c r="A87" s="397"/>
      <c r="B87" s="398" t="s">
        <v>350</v>
      </c>
      <c r="C87" s="407">
        <v>0.52</v>
      </c>
      <c r="D87" s="400"/>
      <c r="E87" s="400"/>
      <c r="F87" s="321"/>
      <c r="G87" s="321">
        <f t="shared" si="0"/>
        <v>0</v>
      </c>
      <c r="H87" s="407">
        <v>0.4</v>
      </c>
      <c r="I87" s="400"/>
      <c r="J87" s="400"/>
      <c r="K87" s="321"/>
      <c r="L87" s="321">
        <f t="shared" si="8"/>
        <v>0</v>
      </c>
      <c r="M87" s="407">
        <v>0.43</v>
      </c>
      <c r="N87" s="400"/>
      <c r="O87" s="400"/>
      <c r="P87" s="321"/>
      <c r="Q87" s="321">
        <f t="shared" si="9"/>
        <v>0</v>
      </c>
      <c r="R87" s="407">
        <v>0.31</v>
      </c>
      <c r="S87" s="400"/>
      <c r="T87" s="400"/>
      <c r="U87" s="321"/>
      <c r="V87" s="321">
        <f t="shared" si="10"/>
        <v>0</v>
      </c>
      <c r="W87" s="407">
        <v>0.15</v>
      </c>
      <c r="X87" s="400"/>
      <c r="Y87" s="400"/>
      <c r="Z87" s="321"/>
      <c r="AA87" s="321">
        <f t="shared" si="11"/>
        <v>0</v>
      </c>
      <c r="AB87" s="407">
        <v>0.49</v>
      </c>
      <c r="AC87" s="400"/>
      <c r="AD87" s="400"/>
      <c r="AE87" s="321"/>
      <c r="AF87" s="321">
        <f t="shared" si="12"/>
        <v>0</v>
      </c>
      <c r="AG87" s="407">
        <v>0.36</v>
      </c>
      <c r="AH87" s="400"/>
      <c r="AI87" s="400"/>
      <c r="AJ87" s="321"/>
      <c r="AK87" s="321">
        <f t="shared" si="13"/>
        <v>0</v>
      </c>
      <c r="AL87" s="407">
        <v>0.55000000000000004</v>
      </c>
      <c r="AM87" s="400"/>
      <c r="AN87" s="400"/>
      <c r="AO87" s="321"/>
      <c r="AP87" s="321">
        <f t="shared" si="14"/>
        <v>0</v>
      </c>
    </row>
    <row r="88" spans="1:42" ht="15.75">
      <c r="A88" s="397"/>
      <c r="B88" s="398" t="s">
        <v>351</v>
      </c>
      <c r="C88" s="407">
        <v>0.67</v>
      </c>
      <c r="D88" s="400"/>
      <c r="E88" s="400"/>
      <c r="F88" s="321"/>
      <c r="G88" s="321">
        <f t="shared" si="0"/>
        <v>0</v>
      </c>
      <c r="H88" s="407">
        <v>0.51</v>
      </c>
      <c r="I88" s="400"/>
      <c r="J88" s="400"/>
      <c r="K88" s="321"/>
      <c r="L88" s="321">
        <f t="shared" si="8"/>
        <v>0</v>
      </c>
      <c r="M88" s="407">
        <v>0.56000000000000005</v>
      </c>
      <c r="N88" s="400"/>
      <c r="O88" s="400"/>
      <c r="P88" s="321"/>
      <c r="Q88" s="321">
        <f t="shared" si="9"/>
        <v>0</v>
      </c>
      <c r="R88" s="407">
        <v>0.4</v>
      </c>
      <c r="S88" s="400"/>
      <c r="T88" s="400"/>
      <c r="U88" s="321"/>
      <c r="V88" s="321">
        <f t="shared" si="10"/>
        <v>0</v>
      </c>
      <c r="W88" s="407">
        <v>0.19</v>
      </c>
      <c r="X88" s="400"/>
      <c r="Y88" s="400"/>
      <c r="Z88" s="321"/>
      <c r="AA88" s="321">
        <f t="shared" si="11"/>
        <v>0</v>
      </c>
      <c r="AB88" s="407">
        <v>0.52</v>
      </c>
      <c r="AC88" s="400"/>
      <c r="AD88" s="400"/>
      <c r="AE88" s="321"/>
      <c r="AF88" s="321">
        <f t="shared" si="12"/>
        <v>0</v>
      </c>
      <c r="AG88" s="407">
        <v>0.46</v>
      </c>
      <c r="AH88" s="400"/>
      <c r="AI88" s="400"/>
      <c r="AJ88" s="321"/>
      <c r="AK88" s="321">
        <f t="shared" si="13"/>
        <v>0</v>
      </c>
      <c r="AL88" s="407">
        <v>0.71</v>
      </c>
      <c r="AM88" s="400"/>
      <c r="AN88" s="400"/>
      <c r="AO88" s="321"/>
      <c r="AP88" s="321">
        <f t="shared" si="14"/>
        <v>0</v>
      </c>
    </row>
    <row r="89" spans="1:42" ht="15.75">
      <c r="A89" s="397"/>
      <c r="B89" s="398" t="s">
        <v>352</v>
      </c>
      <c r="C89" s="407">
        <v>0.84</v>
      </c>
      <c r="D89" s="400"/>
      <c r="E89" s="400"/>
      <c r="F89" s="321"/>
      <c r="G89" s="321">
        <f t="shared" si="0"/>
        <v>0</v>
      </c>
      <c r="H89" s="407">
        <v>0.64</v>
      </c>
      <c r="I89" s="400"/>
      <c r="J89" s="400"/>
      <c r="K89" s="321"/>
      <c r="L89" s="321">
        <f t="shared" si="8"/>
        <v>0</v>
      </c>
      <c r="M89" s="407">
        <v>0.7</v>
      </c>
      <c r="N89" s="400"/>
      <c r="O89" s="400"/>
      <c r="P89" s="321"/>
      <c r="Q89" s="321">
        <f t="shared" si="9"/>
        <v>0</v>
      </c>
      <c r="R89" s="407">
        <v>0.5</v>
      </c>
      <c r="S89" s="400"/>
      <c r="T89" s="400"/>
      <c r="U89" s="321"/>
      <c r="V89" s="321">
        <f t="shared" si="10"/>
        <v>0</v>
      </c>
      <c r="W89" s="407">
        <v>0.23</v>
      </c>
      <c r="X89" s="400"/>
      <c r="Y89" s="400"/>
      <c r="Z89" s="321"/>
      <c r="AA89" s="321">
        <f t="shared" si="11"/>
        <v>0</v>
      </c>
      <c r="AB89" s="407">
        <v>0.56000000000000005</v>
      </c>
      <c r="AC89" s="400"/>
      <c r="AD89" s="400"/>
      <c r="AE89" s="321"/>
      <c r="AF89" s="321">
        <f t="shared" si="12"/>
        <v>0</v>
      </c>
      <c r="AG89" s="407">
        <v>0.56999999999999995</v>
      </c>
      <c r="AH89" s="400"/>
      <c r="AI89" s="400"/>
      <c r="AJ89" s="321"/>
      <c r="AK89" s="321">
        <f t="shared" si="13"/>
        <v>0</v>
      </c>
      <c r="AL89" s="407">
        <v>0.89</v>
      </c>
      <c r="AM89" s="400"/>
      <c r="AN89" s="400"/>
      <c r="AO89" s="321"/>
      <c r="AP89" s="321">
        <f t="shared" si="14"/>
        <v>0</v>
      </c>
    </row>
    <row r="90" spans="1:42" ht="31.5">
      <c r="A90" s="397"/>
      <c r="B90" s="398" t="s">
        <v>353</v>
      </c>
      <c r="C90" s="407">
        <v>4.07</v>
      </c>
      <c r="D90" s="400"/>
      <c r="E90" s="400"/>
      <c r="F90" s="321"/>
      <c r="G90" s="321">
        <f t="shared" si="0"/>
        <v>0</v>
      </c>
      <c r="H90" s="407">
        <v>3.1</v>
      </c>
      <c r="I90" s="400"/>
      <c r="J90" s="400"/>
      <c r="K90" s="321"/>
      <c r="L90" s="321">
        <f t="shared" si="8"/>
        <v>0</v>
      </c>
      <c r="M90" s="407">
        <v>3.38</v>
      </c>
      <c r="N90" s="400"/>
      <c r="O90" s="400"/>
      <c r="P90" s="321"/>
      <c r="Q90" s="321">
        <f t="shared" si="9"/>
        <v>0</v>
      </c>
      <c r="R90" s="407">
        <v>2.41</v>
      </c>
      <c r="S90" s="400"/>
      <c r="T90" s="400"/>
      <c r="U90" s="321"/>
      <c r="V90" s="321">
        <f t="shared" si="10"/>
        <v>0</v>
      </c>
      <c r="W90" s="407">
        <v>1.1299999999999999</v>
      </c>
      <c r="X90" s="400"/>
      <c r="Y90" s="400"/>
      <c r="Z90" s="321"/>
      <c r="AA90" s="321">
        <f t="shared" si="11"/>
        <v>0</v>
      </c>
      <c r="AB90" s="407">
        <v>1.35</v>
      </c>
      <c r="AC90" s="400"/>
      <c r="AD90" s="400"/>
      <c r="AE90" s="321"/>
      <c r="AF90" s="321">
        <f t="shared" si="12"/>
        <v>0</v>
      </c>
      <c r="AG90" s="407">
        <v>2.77</v>
      </c>
      <c r="AH90" s="400"/>
      <c r="AI90" s="400"/>
      <c r="AJ90" s="321"/>
      <c r="AK90" s="321">
        <f t="shared" si="13"/>
        <v>0</v>
      </c>
      <c r="AL90" s="407">
        <v>4.3099999999999996</v>
      </c>
      <c r="AM90" s="400"/>
      <c r="AN90" s="400"/>
      <c r="AO90" s="321"/>
      <c r="AP90" s="321">
        <f t="shared" si="14"/>
        <v>0</v>
      </c>
    </row>
    <row r="91" spans="1:42" ht="15.75">
      <c r="A91" s="397"/>
      <c r="B91" s="398" t="s">
        <v>354</v>
      </c>
      <c r="C91" s="407">
        <v>7.73</v>
      </c>
      <c r="D91" s="400"/>
      <c r="E91" s="400"/>
      <c r="F91" s="321"/>
      <c r="G91" s="321">
        <f t="shared" si="0"/>
        <v>0</v>
      </c>
      <c r="H91" s="407">
        <v>5.89</v>
      </c>
      <c r="I91" s="400"/>
      <c r="J91" s="400"/>
      <c r="K91" s="321"/>
      <c r="L91" s="321">
        <f t="shared" si="8"/>
        <v>0</v>
      </c>
      <c r="M91" s="407">
        <v>6.41</v>
      </c>
      <c r="N91" s="400"/>
      <c r="O91" s="400"/>
      <c r="P91" s="321"/>
      <c r="Q91" s="321">
        <f t="shared" si="9"/>
        <v>0</v>
      </c>
      <c r="R91" s="407">
        <v>4.57</v>
      </c>
      <c r="S91" s="400"/>
      <c r="T91" s="400"/>
      <c r="U91" s="321"/>
      <c r="V91" s="321">
        <f t="shared" si="10"/>
        <v>0</v>
      </c>
      <c r="W91" s="407">
        <v>2.15</v>
      </c>
      <c r="X91" s="400"/>
      <c r="Y91" s="400"/>
      <c r="Z91" s="321"/>
      <c r="AA91" s="321">
        <f t="shared" si="11"/>
        <v>0</v>
      </c>
      <c r="AB91" s="407">
        <v>2.2400000000000002</v>
      </c>
      <c r="AC91" s="400"/>
      <c r="AD91" s="400"/>
      <c r="AE91" s="321"/>
      <c r="AF91" s="321">
        <f t="shared" si="12"/>
        <v>0</v>
      </c>
      <c r="AG91" s="407">
        <v>5.26</v>
      </c>
      <c r="AH91" s="400"/>
      <c r="AI91" s="400"/>
      <c r="AJ91" s="321"/>
      <c r="AK91" s="321">
        <f t="shared" si="13"/>
        <v>0</v>
      </c>
      <c r="AL91" s="407">
        <v>8.17</v>
      </c>
      <c r="AM91" s="400"/>
      <c r="AN91" s="400"/>
      <c r="AO91" s="321"/>
      <c r="AP91" s="321">
        <f t="shared" si="14"/>
        <v>0</v>
      </c>
    </row>
    <row r="92" spans="1:42" ht="31.5">
      <c r="A92" s="397"/>
      <c r="B92" s="398" t="s">
        <v>355</v>
      </c>
      <c r="C92" s="407">
        <v>6.35</v>
      </c>
      <c r="D92" s="400"/>
      <c r="E92" s="400"/>
      <c r="F92" s="321"/>
      <c r="G92" s="321">
        <f t="shared" si="0"/>
        <v>0</v>
      </c>
      <c r="H92" s="407">
        <v>4.84</v>
      </c>
      <c r="I92" s="400"/>
      <c r="J92" s="400"/>
      <c r="K92" s="321"/>
      <c r="L92" s="321">
        <f t="shared" si="8"/>
        <v>0</v>
      </c>
      <c r="M92" s="407">
        <v>5.26</v>
      </c>
      <c r="N92" s="400"/>
      <c r="O92" s="400"/>
      <c r="P92" s="321"/>
      <c r="Q92" s="321">
        <f t="shared" si="9"/>
        <v>0</v>
      </c>
      <c r="R92" s="407">
        <v>3.75</v>
      </c>
      <c r="S92" s="400"/>
      <c r="T92" s="400"/>
      <c r="U92" s="321"/>
      <c r="V92" s="321">
        <f t="shared" si="10"/>
        <v>0</v>
      </c>
      <c r="W92" s="407">
        <v>1.77</v>
      </c>
      <c r="X92" s="400"/>
      <c r="Y92" s="400"/>
      <c r="Z92" s="321"/>
      <c r="AA92" s="321">
        <f t="shared" si="11"/>
        <v>0</v>
      </c>
      <c r="AB92" s="407">
        <v>1.91</v>
      </c>
      <c r="AC92" s="400"/>
      <c r="AD92" s="400"/>
      <c r="AE92" s="321"/>
      <c r="AF92" s="321">
        <f t="shared" si="12"/>
        <v>0</v>
      </c>
      <c r="AG92" s="407">
        <v>4.32</v>
      </c>
      <c r="AH92" s="400"/>
      <c r="AI92" s="400"/>
      <c r="AJ92" s="321"/>
      <c r="AK92" s="321">
        <f t="shared" si="13"/>
        <v>0</v>
      </c>
      <c r="AL92" s="407">
        <v>6.71</v>
      </c>
      <c r="AM92" s="400"/>
      <c r="AN92" s="400"/>
      <c r="AO92" s="321"/>
      <c r="AP92" s="321">
        <f t="shared" si="14"/>
        <v>0</v>
      </c>
    </row>
    <row r="93" spans="1:42" ht="31.5">
      <c r="A93" s="397"/>
      <c r="B93" s="398" t="s">
        <v>356</v>
      </c>
      <c r="C93" s="407">
        <v>4</v>
      </c>
      <c r="D93" s="400"/>
      <c r="E93" s="400"/>
      <c r="F93" s="321"/>
      <c r="G93" s="321">
        <f t="shared" si="0"/>
        <v>0</v>
      </c>
      <c r="H93" s="407">
        <v>3.05</v>
      </c>
      <c r="I93" s="400"/>
      <c r="J93" s="400"/>
      <c r="K93" s="321"/>
      <c r="L93" s="321">
        <f t="shared" si="8"/>
        <v>0</v>
      </c>
      <c r="M93" s="407">
        <v>3.32</v>
      </c>
      <c r="N93" s="400"/>
      <c r="O93" s="400"/>
      <c r="P93" s="321"/>
      <c r="Q93" s="321">
        <f t="shared" si="9"/>
        <v>0</v>
      </c>
      <c r="R93" s="407">
        <v>2.37</v>
      </c>
      <c r="S93" s="400"/>
      <c r="T93" s="400"/>
      <c r="U93" s="321"/>
      <c r="V93" s="321">
        <f t="shared" si="10"/>
        <v>0</v>
      </c>
      <c r="W93" s="407">
        <v>1.1100000000000001</v>
      </c>
      <c r="X93" s="400"/>
      <c r="Y93" s="400"/>
      <c r="Z93" s="321"/>
      <c r="AA93" s="321">
        <f t="shared" si="11"/>
        <v>0</v>
      </c>
      <c r="AB93" s="407">
        <v>1.33</v>
      </c>
      <c r="AC93" s="400"/>
      <c r="AD93" s="400"/>
      <c r="AE93" s="321"/>
      <c r="AF93" s="321">
        <f t="shared" si="12"/>
        <v>0</v>
      </c>
      <c r="AG93" s="407">
        <v>2.72</v>
      </c>
      <c r="AH93" s="400"/>
      <c r="AI93" s="400"/>
      <c r="AJ93" s="321"/>
      <c r="AK93" s="321">
        <f t="shared" si="13"/>
        <v>0</v>
      </c>
      <c r="AL93" s="407">
        <v>4.2300000000000004</v>
      </c>
      <c r="AM93" s="400"/>
      <c r="AN93" s="400"/>
      <c r="AO93" s="321"/>
      <c r="AP93" s="321">
        <f t="shared" si="14"/>
        <v>0</v>
      </c>
    </row>
    <row r="94" spans="1:42" ht="31.5">
      <c r="A94" s="397"/>
      <c r="B94" s="398" t="s">
        <v>357</v>
      </c>
      <c r="C94" s="407">
        <v>2.95</v>
      </c>
      <c r="D94" s="400"/>
      <c r="E94" s="400"/>
      <c r="F94" s="321"/>
      <c r="G94" s="321">
        <f t="shared" si="0"/>
        <v>0</v>
      </c>
      <c r="H94" s="407">
        <v>2.25</v>
      </c>
      <c r="I94" s="400"/>
      <c r="J94" s="400"/>
      <c r="K94" s="321"/>
      <c r="L94" s="321">
        <f t="shared" si="8"/>
        <v>0</v>
      </c>
      <c r="M94" s="407">
        <v>2.4500000000000002</v>
      </c>
      <c r="N94" s="400"/>
      <c r="O94" s="400"/>
      <c r="P94" s="321"/>
      <c r="Q94" s="321">
        <f t="shared" si="9"/>
        <v>0</v>
      </c>
      <c r="R94" s="407">
        <v>1.75</v>
      </c>
      <c r="S94" s="400"/>
      <c r="T94" s="400"/>
      <c r="U94" s="321"/>
      <c r="V94" s="321">
        <f t="shared" si="10"/>
        <v>0</v>
      </c>
      <c r="W94" s="407">
        <v>0.82</v>
      </c>
      <c r="X94" s="400"/>
      <c r="Y94" s="400"/>
      <c r="Z94" s="321"/>
      <c r="AA94" s="321">
        <f t="shared" si="11"/>
        <v>0</v>
      </c>
      <c r="AB94" s="407">
        <v>1.08</v>
      </c>
      <c r="AC94" s="400"/>
      <c r="AD94" s="400"/>
      <c r="AE94" s="321"/>
      <c r="AF94" s="321">
        <f t="shared" si="12"/>
        <v>0</v>
      </c>
      <c r="AG94" s="407">
        <v>2.0099999999999998</v>
      </c>
      <c r="AH94" s="400"/>
      <c r="AI94" s="400"/>
      <c r="AJ94" s="321"/>
      <c r="AK94" s="321">
        <f t="shared" si="13"/>
        <v>0</v>
      </c>
      <c r="AL94" s="407">
        <v>3.12</v>
      </c>
      <c r="AM94" s="400"/>
      <c r="AN94" s="400"/>
      <c r="AO94" s="321"/>
      <c r="AP94" s="321">
        <f t="shared" si="14"/>
        <v>0</v>
      </c>
    </row>
    <row r="95" spans="1:42" ht="31.5">
      <c r="A95" s="397"/>
      <c r="B95" s="398" t="s">
        <v>358</v>
      </c>
      <c r="C95" s="407">
        <v>2.91</v>
      </c>
      <c r="D95" s="400"/>
      <c r="E95" s="400"/>
      <c r="F95" s="321"/>
      <c r="G95" s="321">
        <f t="shared" si="0"/>
        <v>0</v>
      </c>
      <c r="H95" s="407">
        <v>2.2200000000000002</v>
      </c>
      <c r="I95" s="400"/>
      <c r="J95" s="400"/>
      <c r="K95" s="321"/>
      <c r="L95" s="321">
        <f t="shared" si="8"/>
        <v>0</v>
      </c>
      <c r="M95" s="407">
        <v>2.41</v>
      </c>
      <c r="N95" s="400"/>
      <c r="O95" s="400"/>
      <c r="P95" s="321"/>
      <c r="Q95" s="321">
        <f t="shared" si="9"/>
        <v>0</v>
      </c>
      <c r="R95" s="407">
        <v>1.72</v>
      </c>
      <c r="S95" s="400"/>
      <c r="T95" s="400"/>
      <c r="U95" s="321"/>
      <c r="V95" s="321">
        <f t="shared" si="10"/>
        <v>0</v>
      </c>
      <c r="W95" s="407">
        <v>0.81</v>
      </c>
      <c r="X95" s="400"/>
      <c r="Y95" s="400"/>
      <c r="Z95" s="321"/>
      <c r="AA95" s="321">
        <f t="shared" si="11"/>
        <v>0</v>
      </c>
      <c r="AB95" s="407">
        <v>1.07</v>
      </c>
      <c r="AC95" s="400"/>
      <c r="AD95" s="400"/>
      <c r="AE95" s="321"/>
      <c r="AF95" s="321">
        <f t="shared" si="12"/>
        <v>0</v>
      </c>
      <c r="AG95" s="407">
        <v>1.98</v>
      </c>
      <c r="AH95" s="400"/>
      <c r="AI95" s="400"/>
      <c r="AJ95" s="321"/>
      <c r="AK95" s="321">
        <f t="shared" si="13"/>
        <v>0</v>
      </c>
      <c r="AL95" s="407">
        <v>3.08</v>
      </c>
      <c r="AM95" s="400"/>
      <c r="AN95" s="400"/>
      <c r="AO95" s="321"/>
      <c r="AP95" s="321">
        <f t="shared" si="14"/>
        <v>0</v>
      </c>
    </row>
    <row r="96" spans="1:42" ht="31.5">
      <c r="A96" s="397"/>
      <c r="B96" s="398" t="s">
        <v>359</v>
      </c>
      <c r="C96" s="407">
        <v>0.94</v>
      </c>
      <c r="D96" s="400"/>
      <c r="E96" s="400"/>
      <c r="F96" s="321"/>
      <c r="G96" s="321">
        <f t="shared" si="0"/>
        <v>0</v>
      </c>
      <c r="H96" s="407">
        <v>0.71</v>
      </c>
      <c r="I96" s="400"/>
      <c r="J96" s="400"/>
      <c r="K96" s="321"/>
      <c r="L96" s="321">
        <f t="shared" si="8"/>
        <v>0</v>
      </c>
      <c r="M96" s="407">
        <v>0.78</v>
      </c>
      <c r="N96" s="400"/>
      <c r="O96" s="400"/>
      <c r="P96" s="321"/>
      <c r="Q96" s="321">
        <f t="shared" si="9"/>
        <v>0</v>
      </c>
      <c r="R96" s="407">
        <v>0.55000000000000004</v>
      </c>
      <c r="S96" s="400"/>
      <c r="T96" s="400"/>
      <c r="U96" s="321"/>
      <c r="V96" s="321">
        <f t="shared" si="10"/>
        <v>0</v>
      </c>
      <c r="W96" s="407">
        <v>0.26</v>
      </c>
      <c r="X96" s="400"/>
      <c r="Y96" s="400"/>
      <c r="Z96" s="321"/>
      <c r="AA96" s="321">
        <f t="shared" si="11"/>
        <v>0</v>
      </c>
      <c r="AB96" s="407">
        <v>0.59</v>
      </c>
      <c r="AC96" s="400"/>
      <c r="AD96" s="400"/>
      <c r="AE96" s="321"/>
      <c r="AF96" s="321">
        <f t="shared" si="12"/>
        <v>0</v>
      </c>
      <c r="AG96" s="407">
        <v>0.64</v>
      </c>
      <c r="AH96" s="400"/>
      <c r="AI96" s="400"/>
      <c r="AJ96" s="321"/>
      <c r="AK96" s="321">
        <f t="shared" si="13"/>
        <v>0</v>
      </c>
      <c r="AL96" s="407">
        <v>0.99</v>
      </c>
      <c r="AM96" s="400"/>
      <c r="AN96" s="400"/>
      <c r="AO96" s="321"/>
      <c r="AP96" s="321">
        <f t="shared" si="14"/>
        <v>0</v>
      </c>
    </row>
    <row r="97" spans="1:42" ht="31.5">
      <c r="A97" s="397"/>
      <c r="B97" s="398" t="s">
        <v>360</v>
      </c>
      <c r="C97" s="407">
        <v>1.25</v>
      </c>
      <c r="D97" s="400"/>
      <c r="E97" s="400"/>
      <c r="F97" s="321"/>
      <c r="G97" s="321">
        <f t="shared" si="0"/>
        <v>0</v>
      </c>
      <c r="H97" s="407">
        <v>0.96</v>
      </c>
      <c r="I97" s="400"/>
      <c r="J97" s="400"/>
      <c r="K97" s="321"/>
      <c r="L97" s="321">
        <f t="shared" si="8"/>
        <v>0</v>
      </c>
      <c r="M97" s="407">
        <v>1.04</v>
      </c>
      <c r="N97" s="400"/>
      <c r="O97" s="400"/>
      <c r="P97" s="321"/>
      <c r="Q97" s="321">
        <f t="shared" si="9"/>
        <v>0</v>
      </c>
      <c r="R97" s="407">
        <v>0.74</v>
      </c>
      <c r="S97" s="400"/>
      <c r="T97" s="400"/>
      <c r="U97" s="321"/>
      <c r="V97" s="321">
        <f t="shared" si="10"/>
        <v>0</v>
      </c>
      <c r="W97" s="407">
        <v>0.35</v>
      </c>
      <c r="X97" s="400"/>
      <c r="Y97" s="400"/>
      <c r="Z97" s="321"/>
      <c r="AA97" s="321">
        <f t="shared" si="11"/>
        <v>0</v>
      </c>
      <c r="AB97" s="407">
        <v>0.66</v>
      </c>
      <c r="AC97" s="400"/>
      <c r="AD97" s="400"/>
      <c r="AE97" s="321"/>
      <c r="AF97" s="321">
        <f t="shared" si="12"/>
        <v>0</v>
      </c>
      <c r="AG97" s="407">
        <v>0.85</v>
      </c>
      <c r="AH97" s="400"/>
      <c r="AI97" s="400"/>
      <c r="AJ97" s="321"/>
      <c r="AK97" s="321">
        <f t="shared" si="13"/>
        <v>0</v>
      </c>
      <c r="AL97" s="407">
        <v>1.32</v>
      </c>
      <c r="AM97" s="400"/>
      <c r="AN97" s="400"/>
      <c r="AO97" s="321"/>
      <c r="AP97" s="321">
        <f t="shared" si="14"/>
        <v>0</v>
      </c>
    </row>
    <row r="98" spans="1:42" ht="15.75">
      <c r="A98" s="397"/>
      <c r="B98" s="398" t="s">
        <v>361</v>
      </c>
      <c r="C98" s="407">
        <v>7.09</v>
      </c>
      <c r="D98" s="400"/>
      <c r="E98" s="400"/>
      <c r="F98" s="321"/>
      <c r="G98" s="321">
        <f t="shared" si="0"/>
        <v>0</v>
      </c>
      <c r="H98" s="407">
        <v>5.4</v>
      </c>
      <c r="I98" s="400"/>
      <c r="J98" s="400"/>
      <c r="K98" s="321"/>
      <c r="L98" s="321">
        <f t="shared" si="8"/>
        <v>0</v>
      </c>
      <c r="M98" s="407">
        <v>5.87</v>
      </c>
      <c r="N98" s="400"/>
      <c r="O98" s="400"/>
      <c r="P98" s="321"/>
      <c r="Q98" s="321">
        <f t="shared" si="9"/>
        <v>0</v>
      </c>
      <c r="R98" s="407">
        <v>4.1900000000000004</v>
      </c>
      <c r="S98" s="400"/>
      <c r="T98" s="400"/>
      <c r="U98" s="321"/>
      <c r="V98" s="321">
        <f t="shared" si="10"/>
        <v>0</v>
      </c>
      <c r="W98" s="407">
        <v>1.97</v>
      </c>
      <c r="X98" s="400"/>
      <c r="Y98" s="400"/>
      <c r="Z98" s="321"/>
      <c r="AA98" s="321">
        <f t="shared" si="11"/>
        <v>0</v>
      </c>
      <c r="AB98" s="407">
        <v>2.09</v>
      </c>
      <c r="AC98" s="400"/>
      <c r="AD98" s="400"/>
      <c r="AE98" s="321"/>
      <c r="AF98" s="321">
        <f t="shared" si="12"/>
        <v>0</v>
      </c>
      <c r="AG98" s="407">
        <v>4.82</v>
      </c>
      <c r="AH98" s="400"/>
      <c r="AI98" s="400"/>
      <c r="AJ98" s="321"/>
      <c r="AK98" s="321">
        <f t="shared" si="13"/>
        <v>0</v>
      </c>
      <c r="AL98" s="407">
        <v>7.49</v>
      </c>
      <c r="AM98" s="400"/>
      <c r="AN98" s="400"/>
      <c r="AO98" s="321"/>
      <c r="AP98" s="321">
        <f t="shared" si="14"/>
        <v>0</v>
      </c>
    </row>
    <row r="99" spans="1:42" ht="15.75">
      <c r="A99" s="397"/>
      <c r="B99" s="398" t="s">
        <v>362</v>
      </c>
      <c r="C99" s="407">
        <v>9.77</v>
      </c>
      <c r="D99" s="400"/>
      <c r="E99" s="400"/>
      <c r="F99" s="321"/>
      <c r="G99" s="321">
        <f t="shared" si="0"/>
        <v>0</v>
      </c>
      <c r="H99" s="407">
        <v>7.44</v>
      </c>
      <c r="I99" s="400"/>
      <c r="J99" s="400"/>
      <c r="K99" s="321"/>
      <c r="L99" s="321">
        <f t="shared" si="8"/>
        <v>0</v>
      </c>
      <c r="M99" s="407">
        <v>8.09</v>
      </c>
      <c r="N99" s="400"/>
      <c r="O99" s="400"/>
      <c r="P99" s="321"/>
      <c r="Q99" s="321">
        <f t="shared" si="9"/>
        <v>0</v>
      </c>
      <c r="R99" s="407">
        <v>5.78</v>
      </c>
      <c r="S99" s="400"/>
      <c r="T99" s="400"/>
      <c r="U99" s="321"/>
      <c r="V99" s="321">
        <f t="shared" si="10"/>
        <v>0</v>
      </c>
      <c r="W99" s="407">
        <v>2.72</v>
      </c>
      <c r="X99" s="400"/>
      <c r="Y99" s="400"/>
      <c r="Z99" s="321"/>
      <c r="AA99" s="321">
        <f t="shared" si="11"/>
        <v>0</v>
      </c>
      <c r="AB99" s="407">
        <v>2.74</v>
      </c>
      <c r="AC99" s="400"/>
      <c r="AD99" s="400"/>
      <c r="AE99" s="321"/>
      <c r="AF99" s="321">
        <f t="shared" si="12"/>
        <v>0</v>
      </c>
      <c r="AG99" s="407">
        <v>6.65</v>
      </c>
      <c r="AH99" s="400"/>
      <c r="AI99" s="400"/>
      <c r="AJ99" s="321"/>
      <c r="AK99" s="321">
        <f t="shared" si="13"/>
        <v>0</v>
      </c>
      <c r="AL99" s="407">
        <v>10.32</v>
      </c>
      <c r="AM99" s="400"/>
      <c r="AN99" s="400"/>
      <c r="AO99" s="321"/>
      <c r="AP99" s="321">
        <f t="shared" si="14"/>
        <v>0</v>
      </c>
    </row>
    <row r="100" spans="1:42" ht="15.75">
      <c r="A100" s="397"/>
      <c r="B100" s="398" t="s">
        <v>363</v>
      </c>
      <c r="C100" s="407">
        <v>11.23</v>
      </c>
      <c r="D100" s="400"/>
      <c r="E100" s="400"/>
      <c r="F100" s="321"/>
      <c r="G100" s="321">
        <f t="shared" si="0"/>
        <v>0</v>
      </c>
      <c r="H100" s="407">
        <v>8.56</v>
      </c>
      <c r="I100" s="400"/>
      <c r="J100" s="400"/>
      <c r="K100" s="321"/>
      <c r="L100" s="321">
        <f t="shared" si="8"/>
        <v>0</v>
      </c>
      <c r="M100" s="407">
        <v>9.31</v>
      </c>
      <c r="N100" s="400"/>
      <c r="O100" s="400"/>
      <c r="P100" s="321"/>
      <c r="Q100" s="321">
        <f t="shared" si="9"/>
        <v>0</v>
      </c>
      <c r="R100" s="407">
        <v>6.64</v>
      </c>
      <c r="S100" s="400"/>
      <c r="T100" s="400"/>
      <c r="U100" s="321"/>
      <c r="V100" s="321">
        <f t="shared" si="10"/>
        <v>0</v>
      </c>
      <c r="W100" s="407">
        <v>3.12</v>
      </c>
      <c r="X100" s="400"/>
      <c r="Y100" s="400"/>
      <c r="Z100" s="321"/>
      <c r="AA100" s="321">
        <f t="shared" si="11"/>
        <v>0</v>
      </c>
      <c r="AB100" s="407">
        <v>3.1</v>
      </c>
      <c r="AC100" s="400"/>
      <c r="AD100" s="400"/>
      <c r="AE100" s="321"/>
      <c r="AF100" s="321">
        <f t="shared" si="12"/>
        <v>0</v>
      </c>
      <c r="AG100" s="407">
        <v>7.64</v>
      </c>
      <c r="AH100" s="400"/>
      <c r="AI100" s="400"/>
      <c r="AJ100" s="321"/>
      <c r="AK100" s="321">
        <f t="shared" si="13"/>
        <v>0</v>
      </c>
      <c r="AL100" s="407">
        <v>11.87</v>
      </c>
      <c r="AM100" s="400"/>
      <c r="AN100" s="400"/>
      <c r="AO100" s="321"/>
      <c r="AP100" s="321">
        <f t="shared" si="14"/>
        <v>0</v>
      </c>
    </row>
    <row r="101" spans="1:42" ht="15.75">
      <c r="A101" s="397"/>
      <c r="B101" s="398" t="s">
        <v>365</v>
      </c>
      <c r="C101" s="407">
        <v>10.51</v>
      </c>
      <c r="D101" s="400"/>
      <c r="E101" s="400"/>
      <c r="F101" s="321"/>
      <c r="G101" s="321">
        <f t="shared" si="0"/>
        <v>0</v>
      </c>
      <c r="H101" s="407">
        <v>8.01</v>
      </c>
      <c r="I101" s="400"/>
      <c r="J101" s="400"/>
      <c r="K101" s="321"/>
      <c r="L101" s="321">
        <f t="shared" si="8"/>
        <v>0</v>
      </c>
      <c r="M101" s="407">
        <v>8.7100000000000009</v>
      </c>
      <c r="N101" s="400"/>
      <c r="O101" s="400"/>
      <c r="P101" s="321"/>
      <c r="Q101" s="321">
        <f t="shared" si="9"/>
        <v>0</v>
      </c>
      <c r="R101" s="407">
        <v>6.22</v>
      </c>
      <c r="S101" s="400"/>
      <c r="T101" s="400"/>
      <c r="U101" s="321"/>
      <c r="V101" s="321">
        <f t="shared" si="10"/>
        <v>0</v>
      </c>
      <c r="W101" s="407">
        <v>2.92</v>
      </c>
      <c r="X101" s="400"/>
      <c r="Y101" s="400"/>
      <c r="Z101" s="321"/>
      <c r="AA101" s="321">
        <f t="shared" si="11"/>
        <v>0</v>
      </c>
      <c r="AB101" s="407">
        <v>2.92</v>
      </c>
      <c r="AC101" s="400"/>
      <c r="AD101" s="400"/>
      <c r="AE101" s="321"/>
      <c r="AF101" s="321">
        <f t="shared" si="12"/>
        <v>0</v>
      </c>
      <c r="AG101" s="407">
        <v>7.15</v>
      </c>
      <c r="AH101" s="400"/>
      <c r="AI101" s="400"/>
      <c r="AJ101" s="321"/>
      <c r="AK101" s="321">
        <f t="shared" si="13"/>
        <v>0</v>
      </c>
      <c r="AL101" s="407">
        <v>11.11</v>
      </c>
      <c r="AM101" s="400"/>
      <c r="AN101" s="400"/>
      <c r="AO101" s="321"/>
      <c r="AP101" s="321">
        <f t="shared" si="14"/>
        <v>0</v>
      </c>
    </row>
    <row r="102" spans="1:42" ht="15.75">
      <c r="A102" s="411"/>
      <c r="B102" s="408" t="s">
        <v>366</v>
      </c>
      <c r="C102" s="407"/>
      <c r="D102" s="400"/>
      <c r="E102" s="400"/>
      <c r="F102" s="321"/>
      <c r="G102" s="321">
        <f t="shared" si="0"/>
        <v>0</v>
      </c>
      <c r="H102" s="407"/>
      <c r="I102" s="400"/>
      <c r="J102" s="400"/>
      <c r="K102" s="321"/>
      <c r="L102" s="321">
        <f t="shared" si="8"/>
        <v>0</v>
      </c>
      <c r="M102" s="407"/>
      <c r="N102" s="400"/>
      <c r="O102" s="400"/>
      <c r="P102" s="321"/>
      <c r="Q102" s="321">
        <f t="shared" si="9"/>
        <v>0</v>
      </c>
      <c r="R102" s="407"/>
      <c r="S102" s="400"/>
      <c r="T102" s="400"/>
      <c r="U102" s="321"/>
      <c r="V102" s="321">
        <f t="shared" si="10"/>
        <v>0</v>
      </c>
      <c r="W102" s="407"/>
      <c r="X102" s="400"/>
      <c r="Y102" s="400"/>
      <c r="Z102" s="321"/>
      <c r="AA102" s="321">
        <f t="shared" si="11"/>
        <v>0</v>
      </c>
      <c r="AB102" s="407"/>
      <c r="AC102" s="400"/>
      <c r="AD102" s="400"/>
      <c r="AE102" s="321"/>
      <c r="AF102" s="321">
        <f t="shared" si="12"/>
        <v>0</v>
      </c>
      <c r="AG102" s="407"/>
      <c r="AH102" s="400"/>
      <c r="AI102" s="400"/>
      <c r="AJ102" s="321"/>
      <c r="AK102" s="321">
        <f t="shared" si="13"/>
        <v>0</v>
      </c>
      <c r="AL102" s="407"/>
      <c r="AM102" s="400"/>
      <c r="AN102" s="400"/>
      <c r="AO102" s="321"/>
      <c r="AP102" s="321">
        <f t="shared" si="14"/>
        <v>0</v>
      </c>
    </row>
    <row r="103" spans="1:42" ht="15.75">
      <c r="A103" s="397"/>
      <c r="B103" s="398" t="s">
        <v>367</v>
      </c>
      <c r="C103" s="407">
        <v>0.55000000000000004</v>
      </c>
      <c r="D103" s="399">
        <f>MAX(C103:C127)</f>
        <v>5.2</v>
      </c>
      <c r="E103" s="400">
        <f>MIN(C103:C127)</f>
        <v>0.24</v>
      </c>
      <c r="F103" s="321"/>
      <c r="G103" s="321">
        <f t="shared" si="0"/>
        <v>0</v>
      </c>
      <c r="H103" s="407">
        <v>0.23</v>
      </c>
      <c r="I103" s="399">
        <f>MAX(H103:H127)</f>
        <v>2.2400000000000002</v>
      </c>
      <c r="J103" s="400">
        <f>MIN(H103:H127)</f>
        <v>0.1</v>
      </c>
      <c r="K103" s="321"/>
      <c r="L103" s="321">
        <f t="shared" si="8"/>
        <v>0</v>
      </c>
      <c r="M103" s="407">
        <v>0.24</v>
      </c>
      <c r="N103" s="399">
        <f>MAX(M103:M127)</f>
        <v>2.25</v>
      </c>
      <c r="O103" s="400">
        <f>MIN(M103:M127)</f>
        <v>0.11</v>
      </c>
      <c r="P103" s="321"/>
      <c r="Q103" s="321">
        <f t="shared" si="9"/>
        <v>0</v>
      </c>
      <c r="R103" s="407">
        <v>0.2</v>
      </c>
      <c r="S103" s="399">
        <f>MAX(R103:R127)</f>
        <v>1.87</v>
      </c>
      <c r="T103" s="400">
        <f>MIN(R103:R127)</f>
        <v>0.09</v>
      </c>
      <c r="U103" s="321"/>
      <c r="V103" s="321">
        <f t="shared" si="10"/>
        <v>0</v>
      </c>
      <c r="W103" s="407">
        <v>0.1</v>
      </c>
      <c r="X103" s="399">
        <f>MAX(W103:W127)</f>
        <v>0.97</v>
      </c>
      <c r="Y103" s="400">
        <f>MIN(W103:W127)</f>
        <v>0.05</v>
      </c>
      <c r="Z103" s="321"/>
      <c r="AA103" s="321">
        <f t="shared" si="11"/>
        <v>0</v>
      </c>
      <c r="AB103" s="407">
        <v>0.16</v>
      </c>
      <c r="AC103" s="399">
        <f>MAX(AB103:AB127)</f>
        <v>1.1399999999999999</v>
      </c>
      <c r="AD103" s="400">
        <f>MIN(AB103:AB127)</f>
        <v>0.09</v>
      </c>
      <c r="AE103" s="321"/>
      <c r="AF103" s="321">
        <f t="shared" si="12"/>
        <v>0</v>
      </c>
      <c r="AG103" s="407">
        <v>0.12</v>
      </c>
      <c r="AH103" s="399">
        <f>MAX(AG103:AG127)</f>
        <v>0.87</v>
      </c>
      <c r="AI103" s="400">
        <f>MIN(AG103:AG127)</f>
        <v>0.08</v>
      </c>
      <c r="AJ103" s="321"/>
      <c r="AK103" s="321">
        <f t="shared" si="13"/>
        <v>0</v>
      </c>
      <c r="AL103" s="407">
        <v>0.11</v>
      </c>
      <c r="AM103" s="399">
        <f>MAX(AL103:AL127)</f>
        <v>1.04</v>
      </c>
      <c r="AN103" s="400">
        <f>MIN(AL103:AL127)</f>
        <v>0.05</v>
      </c>
      <c r="AO103" s="321"/>
      <c r="AP103" s="321">
        <f t="shared" si="14"/>
        <v>0</v>
      </c>
    </row>
    <row r="104" spans="1:42" ht="31.5">
      <c r="A104" s="397"/>
      <c r="B104" s="398" t="s">
        <v>461</v>
      </c>
      <c r="C104" s="407">
        <v>0.74</v>
      </c>
      <c r="D104" s="400"/>
      <c r="E104" s="400"/>
      <c r="F104" s="321">
        <v>100</v>
      </c>
      <c r="G104" s="321">
        <f t="shared" si="0"/>
        <v>0.74</v>
      </c>
      <c r="H104" s="407">
        <v>0.32</v>
      </c>
      <c r="I104" s="400"/>
      <c r="J104" s="400"/>
      <c r="K104" s="321"/>
      <c r="L104" s="321">
        <f t="shared" si="8"/>
        <v>0</v>
      </c>
      <c r="M104" s="407">
        <v>0.32</v>
      </c>
      <c r="N104" s="400"/>
      <c r="O104" s="400"/>
      <c r="P104" s="321"/>
      <c r="Q104" s="321">
        <f t="shared" si="9"/>
        <v>0</v>
      </c>
      <c r="R104" s="407">
        <v>0.26</v>
      </c>
      <c r="S104" s="400"/>
      <c r="T104" s="400"/>
      <c r="U104" s="321"/>
      <c r="V104" s="321">
        <f t="shared" si="10"/>
        <v>0</v>
      </c>
      <c r="W104" s="407">
        <v>0.14000000000000001</v>
      </c>
      <c r="X104" s="400"/>
      <c r="Y104" s="400"/>
      <c r="Z104" s="321"/>
      <c r="AA104" s="321">
        <f t="shared" si="11"/>
        <v>0</v>
      </c>
      <c r="AB104" s="407">
        <v>0.2</v>
      </c>
      <c r="AC104" s="400"/>
      <c r="AD104" s="400"/>
      <c r="AE104" s="321"/>
      <c r="AF104" s="321">
        <f t="shared" si="12"/>
        <v>0</v>
      </c>
      <c r="AG104" s="407">
        <v>0.15</v>
      </c>
      <c r="AH104" s="400"/>
      <c r="AI104" s="400"/>
      <c r="AJ104" s="321"/>
      <c r="AK104" s="321">
        <f t="shared" si="13"/>
        <v>0</v>
      </c>
      <c r="AL104" s="407">
        <v>0.15</v>
      </c>
      <c r="AM104" s="400"/>
      <c r="AN104" s="400"/>
      <c r="AO104" s="321"/>
      <c r="AP104" s="321">
        <f t="shared" si="14"/>
        <v>0</v>
      </c>
    </row>
    <row r="105" spans="1:42" ht="15.75">
      <c r="A105" s="397"/>
      <c r="B105" s="398" t="s">
        <v>369</v>
      </c>
      <c r="C105" s="407">
        <v>0.24</v>
      </c>
      <c r="D105" s="400"/>
      <c r="E105" s="400"/>
      <c r="F105" s="321"/>
      <c r="G105" s="321">
        <f t="shared" si="0"/>
        <v>0</v>
      </c>
      <c r="H105" s="407">
        <v>0.1</v>
      </c>
      <c r="I105" s="400"/>
      <c r="J105" s="400"/>
      <c r="K105" s="321"/>
      <c r="L105" s="321">
        <f t="shared" si="8"/>
        <v>0</v>
      </c>
      <c r="M105" s="407">
        <v>0.11</v>
      </c>
      <c r="N105" s="400"/>
      <c r="O105" s="400"/>
      <c r="P105" s="321"/>
      <c r="Q105" s="321">
        <f t="shared" si="9"/>
        <v>0</v>
      </c>
      <c r="R105" s="407">
        <v>0.09</v>
      </c>
      <c r="S105" s="400"/>
      <c r="T105" s="400"/>
      <c r="U105" s="321"/>
      <c r="V105" s="321">
        <f t="shared" si="10"/>
        <v>0</v>
      </c>
      <c r="W105" s="407">
        <v>0.05</v>
      </c>
      <c r="X105" s="400"/>
      <c r="Y105" s="400"/>
      <c r="Z105" s="321"/>
      <c r="AA105" s="321">
        <f t="shared" si="11"/>
        <v>0</v>
      </c>
      <c r="AB105" s="407">
        <v>0.09</v>
      </c>
      <c r="AC105" s="400"/>
      <c r="AD105" s="400"/>
      <c r="AE105" s="321"/>
      <c r="AF105" s="321">
        <f t="shared" si="12"/>
        <v>0</v>
      </c>
      <c r="AG105" s="407">
        <v>0.08</v>
      </c>
      <c r="AH105" s="400"/>
      <c r="AI105" s="400"/>
      <c r="AJ105" s="321"/>
      <c r="AK105" s="321">
        <f t="shared" si="13"/>
        <v>0</v>
      </c>
      <c r="AL105" s="407">
        <v>0.05</v>
      </c>
      <c r="AM105" s="400"/>
      <c r="AN105" s="400"/>
      <c r="AO105" s="321"/>
      <c r="AP105" s="321">
        <f t="shared" si="14"/>
        <v>0</v>
      </c>
    </row>
    <row r="106" spans="1:42" ht="15.75">
      <c r="A106" s="397"/>
      <c r="B106" s="398" t="s">
        <v>370</v>
      </c>
      <c r="C106" s="407">
        <v>0.31</v>
      </c>
      <c r="D106" s="400"/>
      <c r="E106" s="400"/>
      <c r="F106" s="321"/>
      <c r="G106" s="321">
        <f t="shared" si="0"/>
        <v>0</v>
      </c>
      <c r="H106" s="407">
        <v>0.13</v>
      </c>
      <c r="I106" s="400"/>
      <c r="J106" s="400"/>
      <c r="K106" s="321"/>
      <c r="L106" s="321">
        <f t="shared" si="8"/>
        <v>0</v>
      </c>
      <c r="M106" s="407">
        <v>0.14000000000000001</v>
      </c>
      <c r="N106" s="400"/>
      <c r="O106" s="400"/>
      <c r="P106" s="321"/>
      <c r="Q106" s="321">
        <f t="shared" si="9"/>
        <v>0</v>
      </c>
      <c r="R106" s="407">
        <v>0.11</v>
      </c>
      <c r="S106" s="400"/>
      <c r="T106" s="400"/>
      <c r="U106" s="321"/>
      <c r="V106" s="321">
        <f t="shared" si="10"/>
        <v>0</v>
      </c>
      <c r="W106" s="407">
        <v>0.06</v>
      </c>
      <c r="X106" s="400"/>
      <c r="Y106" s="400"/>
      <c r="Z106" s="321"/>
      <c r="AA106" s="321">
        <f t="shared" si="11"/>
        <v>0</v>
      </c>
      <c r="AB106" s="407">
        <v>0.11</v>
      </c>
      <c r="AC106" s="400"/>
      <c r="AD106" s="400"/>
      <c r="AE106" s="321"/>
      <c r="AF106" s="321">
        <f t="shared" si="12"/>
        <v>0</v>
      </c>
      <c r="AG106" s="407">
        <v>0.09</v>
      </c>
      <c r="AH106" s="400"/>
      <c r="AI106" s="400"/>
      <c r="AJ106" s="321"/>
      <c r="AK106" s="321">
        <f t="shared" si="13"/>
        <v>0</v>
      </c>
      <c r="AL106" s="407">
        <v>0.06</v>
      </c>
      <c r="AM106" s="400"/>
      <c r="AN106" s="400"/>
      <c r="AO106" s="321"/>
      <c r="AP106" s="321">
        <f t="shared" si="14"/>
        <v>0</v>
      </c>
    </row>
    <row r="107" spans="1:42" ht="31.5">
      <c r="A107" s="397"/>
      <c r="B107" s="398" t="s">
        <v>462</v>
      </c>
      <c r="C107" s="407">
        <v>3.81</v>
      </c>
      <c r="D107" s="400"/>
      <c r="E107" s="400"/>
      <c r="F107" s="321"/>
      <c r="G107" s="321">
        <f t="shared" si="0"/>
        <v>0</v>
      </c>
      <c r="H107" s="407">
        <v>1.64</v>
      </c>
      <c r="I107" s="400"/>
      <c r="J107" s="400"/>
      <c r="K107" s="321"/>
      <c r="L107" s="321">
        <f t="shared" si="8"/>
        <v>0</v>
      </c>
      <c r="M107" s="407">
        <v>1.65</v>
      </c>
      <c r="N107" s="400"/>
      <c r="O107" s="400"/>
      <c r="P107" s="321"/>
      <c r="Q107" s="321">
        <f t="shared" si="9"/>
        <v>0</v>
      </c>
      <c r="R107" s="407">
        <v>1.37</v>
      </c>
      <c r="S107" s="400"/>
      <c r="T107" s="400"/>
      <c r="U107" s="321"/>
      <c r="V107" s="321">
        <f t="shared" si="10"/>
        <v>0</v>
      </c>
      <c r="W107" s="407">
        <v>0.71</v>
      </c>
      <c r="X107" s="400"/>
      <c r="Y107" s="400"/>
      <c r="Z107" s="321"/>
      <c r="AA107" s="321">
        <f t="shared" si="11"/>
        <v>0</v>
      </c>
      <c r="AB107" s="407">
        <v>0.85</v>
      </c>
      <c r="AC107" s="400"/>
      <c r="AD107" s="400"/>
      <c r="AE107" s="321"/>
      <c r="AF107" s="321">
        <f t="shared" si="12"/>
        <v>0</v>
      </c>
      <c r="AG107" s="407">
        <v>0.65</v>
      </c>
      <c r="AH107" s="400"/>
      <c r="AI107" s="400"/>
      <c r="AJ107" s="321"/>
      <c r="AK107" s="321">
        <f t="shared" si="13"/>
        <v>0</v>
      </c>
      <c r="AL107" s="407">
        <v>0.76</v>
      </c>
      <c r="AM107" s="400"/>
      <c r="AN107" s="400"/>
      <c r="AO107" s="321"/>
      <c r="AP107" s="321">
        <f t="shared" si="14"/>
        <v>0</v>
      </c>
    </row>
    <row r="108" spans="1:42" ht="31.5">
      <c r="A108" s="397"/>
      <c r="B108" s="398" t="s">
        <v>463</v>
      </c>
      <c r="C108" s="407">
        <v>3.5</v>
      </c>
      <c r="D108" s="400"/>
      <c r="E108" s="400"/>
      <c r="F108" s="321"/>
      <c r="G108" s="321">
        <f t="shared" si="0"/>
        <v>0</v>
      </c>
      <c r="H108" s="407">
        <v>1.5</v>
      </c>
      <c r="I108" s="400"/>
      <c r="J108" s="400"/>
      <c r="K108" s="321"/>
      <c r="L108" s="321">
        <f t="shared" si="8"/>
        <v>0</v>
      </c>
      <c r="M108" s="407">
        <v>1.51</v>
      </c>
      <c r="N108" s="400"/>
      <c r="O108" s="400"/>
      <c r="P108" s="321"/>
      <c r="Q108" s="321">
        <f t="shared" si="9"/>
        <v>0</v>
      </c>
      <c r="R108" s="407">
        <v>1.25</v>
      </c>
      <c r="S108" s="400"/>
      <c r="T108" s="400"/>
      <c r="U108" s="321"/>
      <c r="V108" s="321">
        <f t="shared" si="10"/>
        <v>0</v>
      </c>
      <c r="W108" s="407">
        <v>0.65</v>
      </c>
      <c r="X108" s="400"/>
      <c r="Y108" s="400"/>
      <c r="Z108" s="321"/>
      <c r="AA108" s="321">
        <f t="shared" si="11"/>
        <v>0</v>
      </c>
      <c r="AB108" s="407">
        <v>0.78</v>
      </c>
      <c r="AC108" s="400"/>
      <c r="AD108" s="400"/>
      <c r="AE108" s="321"/>
      <c r="AF108" s="321">
        <f t="shared" si="12"/>
        <v>0</v>
      </c>
      <c r="AG108" s="407">
        <v>0.6</v>
      </c>
      <c r="AH108" s="400"/>
      <c r="AI108" s="400"/>
      <c r="AJ108" s="321"/>
      <c r="AK108" s="321">
        <f t="shared" si="13"/>
        <v>0</v>
      </c>
      <c r="AL108" s="407">
        <v>0.7</v>
      </c>
      <c r="AM108" s="400"/>
      <c r="AN108" s="400"/>
      <c r="AO108" s="321"/>
      <c r="AP108" s="321">
        <f t="shared" si="14"/>
        <v>0</v>
      </c>
    </row>
    <row r="109" spans="1:42" ht="31.5">
      <c r="A109" s="397"/>
      <c r="B109" s="398" t="s">
        <v>464</v>
      </c>
      <c r="C109" s="407">
        <v>3.5</v>
      </c>
      <c r="D109" s="400"/>
      <c r="E109" s="400"/>
      <c r="F109" s="321"/>
      <c r="G109" s="321">
        <f t="shared" si="0"/>
        <v>0</v>
      </c>
      <c r="H109" s="407">
        <v>1.5</v>
      </c>
      <c r="I109" s="400"/>
      <c r="J109" s="400"/>
      <c r="K109" s="321"/>
      <c r="L109" s="321">
        <f t="shared" si="8"/>
        <v>0</v>
      </c>
      <c r="M109" s="407">
        <v>1.51</v>
      </c>
      <c r="N109" s="400"/>
      <c r="O109" s="400"/>
      <c r="P109" s="321"/>
      <c r="Q109" s="321">
        <f t="shared" si="9"/>
        <v>0</v>
      </c>
      <c r="R109" s="407">
        <v>1.25</v>
      </c>
      <c r="S109" s="400"/>
      <c r="T109" s="400"/>
      <c r="U109" s="321"/>
      <c r="V109" s="321">
        <f t="shared" si="10"/>
        <v>0</v>
      </c>
      <c r="W109" s="407">
        <v>0.65</v>
      </c>
      <c r="X109" s="400"/>
      <c r="Y109" s="400"/>
      <c r="Z109" s="321"/>
      <c r="AA109" s="321">
        <f t="shared" si="11"/>
        <v>0</v>
      </c>
      <c r="AB109" s="407">
        <v>0.78</v>
      </c>
      <c r="AC109" s="400"/>
      <c r="AD109" s="400"/>
      <c r="AE109" s="321"/>
      <c r="AF109" s="321">
        <f t="shared" si="12"/>
        <v>0</v>
      </c>
      <c r="AG109" s="407">
        <v>0.6</v>
      </c>
      <c r="AH109" s="400"/>
      <c r="AI109" s="400"/>
      <c r="AJ109" s="321"/>
      <c r="AK109" s="321">
        <f t="shared" si="13"/>
        <v>0</v>
      </c>
      <c r="AL109" s="407">
        <v>0.7</v>
      </c>
      <c r="AM109" s="400"/>
      <c r="AN109" s="400"/>
      <c r="AO109" s="321"/>
      <c r="AP109" s="321">
        <f t="shared" si="14"/>
        <v>0</v>
      </c>
    </row>
    <row r="110" spans="1:42" ht="31.5">
      <c r="A110" s="397"/>
      <c r="B110" s="398" t="s">
        <v>465</v>
      </c>
      <c r="C110" s="407">
        <v>0.39</v>
      </c>
      <c r="D110" s="400"/>
      <c r="E110" s="400"/>
      <c r="F110" s="321"/>
      <c r="G110" s="321">
        <f t="shared" si="0"/>
        <v>0</v>
      </c>
      <c r="H110" s="407">
        <v>0.17</v>
      </c>
      <c r="I110" s="400"/>
      <c r="J110" s="400"/>
      <c r="K110" s="321"/>
      <c r="L110" s="321">
        <f t="shared" si="8"/>
        <v>0</v>
      </c>
      <c r="M110" s="407">
        <v>0.17</v>
      </c>
      <c r="N110" s="400"/>
      <c r="O110" s="400"/>
      <c r="P110" s="321"/>
      <c r="Q110" s="321">
        <f t="shared" si="9"/>
        <v>0</v>
      </c>
      <c r="R110" s="407">
        <v>0.14000000000000001</v>
      </c>
      <c r="S110" s="400"/>
      <c r="T110" s="400"/>
      <c r="U110" s="321"/>
      <c r="V110" s="321">
        <f t="shared" si="10"/>
        <v>0</v>
      </c>
      <c r="W110" s="407">
        <v>7.0000000000000007E-2</v>
      </c>
      <c r="X110" s="400"/>
      <c r="Y110" s="400"/>
      <c r="Z110" s="321"/>
      <c r="AA110" s="321">
        <f t="shared" si="11"/>
        <v>0</v>
      </c>
      <c r="AB110" s="407">
        <v>0.12</v>
      </c>
      <c r="AC110" s="400"/>
      <c r="AD110" s="400"/>
      <c r="AE110" s="321"/>
      <c r="AF110" s="321">
        <f t="shared" si="12"/>
        <v>0</v>
      </c>
      <c r="AG110" s="407">
        <v>0.1</v>
      </c>
      <c r="AH110" s="400"/>
      <c r="AI110" s="400"/>
      <c r="AJ110" s="321"/>
      <c r="AK110" s="321">
        <f t="shared" si="13"/>
        <v>0</v>
      </c>
      <c r="AL110" s="407">
        <v>0.08</v>
      </c>
      <c r="AM110" s="400"/>
      <c r="AN110" s="400"/>
      <c r="AO110" s="321"/>
      <c r="AP110" s="321">
        <f t="shared" si="14"/>
        <v>0</v>
      </c>
    </row>
    <row r="111" spans="1:42" ht="15.75">
      <c r="A111" s="397"/>
      <c r="B111" s="398" t="s">
        <v>466</v>
      </c>
      <c r="C111" s="407">
        <v>0.55000000000000004</v>
      </c>
      <c r="D111" s="400"/>
      <c r="E111" s="400"/>
      <c r="F111" s="321"/>
      <c r="G111" s="321">
        <f t="shared" si="0"/>
        <v>0</v>
      </c>
      <c r="H111" s="407">
        <v>0.23</v>
      </c>
      <c r="I111" s="400"/>
      <c r="J111" s="400"/>
      <c r="K111" s="321"/>
      <c r="L111" s="321">
        <f t="shared" si="8"/>
        <v>0</v>
      </c>
      <c r="M111" s="407">
        <v>0.24</v>
      </c>
      <c r="N111" s="400"/>
      <c r="O111" s="400"/>
      <c r="P111" s="321"/>
      <c r="Q111" s="321">
        <f t="shared" si="9"/>
        <v>0</v>
      </c>
      <c r="R111" s="407">
        <v>0.2</v>
      </c>
      <c r="S111" s="400"/>
      <c r="T111" s="400"/>
      <c r="U111" s="321"/>
      <c r="V111" s="321">
        <f t="shared" si="10"/>
        <v>0</v>
      </c>
      <c r="W111" s="407">
        <v>0.1</v>
      </c>
      <c r="X111" s="400"/>
      <c r="Y111" s="400"/>
      <c r="Z111" s="321"/>
      <c r="AA111" s="321">
        <f t="shared" si="11"/>
        <v>0</v>
      </c>
      <c r="AB111" s="407">
        <v>0.16</v>
      </c>
      <c r="AC111" s="400"/>
      <c r="AD111" s="400"/>
      <c r="AE111" s="321"/>
      <c r="AF111" s="321">
        <f t="shared" si="12"/>
        <v>0</v>
      </c>
      <c r="AG111" s="407">
        <v>0.12</v>
      </c>
      <c r="AH111" s="400"/>
      <c r="AI111" s="400"/>
      <c r="AJ111" s="321"/>
      <c r="AK111" s="321">
        <f t="shared" si="13"/>
        <v>0</v>
      </c>
      <c r="AL111" s="407">
        <v>0.11</v>
      </c>
      <c r="AM111" s="400"/>
      <c r="AN111" s="400"/>
      <c r="AO111" s="321"/>
      <c r="AP111" s="321">
        <f t="shared" si="14"/>
        <v>0</v>
      </c>
    </row>
    <row r="112" spans="1:42" ht="15.75">
      <c r="A112" s="397"/>
      <c r="B112" s="398" t="s">
        <v>467</v>
      </c>
      <c r="C112" s="407">
        <v>0.74</v>
      </c>
      <c r="D112" s="400"/>
      <c r="E112" s="400"/>
      <c r="F112" s="321"/>
      <c r="G112" s="321">
        <f t="shared" si="0"/>
        <v>0</v>
      </c>
      <c r="H112" s="407">
        <v>0.32</v>
      </c>
      <c r="I112" s="400"/>
      <c r="J112" s="400"/>
      <c r="K112" s="321"/>
      <c r="L112" s="321">
        <f t="shared" si="8"/>
        <v>0</v>
      </c>
      <c r="M112" s="407">
        <v>0.32</v>
      </c>
      <c r="N112" s="400"/>
      <c r="O112" s="400"/>
      <c r="P112" s="321"/>
      <c r="Q112" s="321">
        <f t="shared" si="9"/>
        <v>0</v>
      </c>
      <c r="R112" s="407">
        <v>0.26</v>
      </c>
      <c r="S112" s="400"/>
      <c r="T112" s="400"/>
      <c r="U112" s="321"/>
      <c r="V112" s="321">
        <f t="shared" si="10"/>
        <v>0</v>
      </c>
      <c r="W112" s="407">
        <v>0.14000000000000001</v>
      </c>
      <c r="X112" s="400"/>
      <c r="Y112" s="400"/>
      <c r="Z112" s="321"/>
      <c r="AA112" s="321">
        <f t="shared" si="11"/>
        <v>0</v>
      </c>
      <c r="AB112" s="407">
        <v>0.2</v>
      </c>
      <c r="AC112" s="400"/>
      <c r="AD112" s="400"/>
      <c r="AE112" s="321"/>
      <c r="AF112" s="321">
        <f t="shared" si="12"/>
        <v>0</v>
      </c>
      <c r="AG112" s="407">
        <v>0.15</v>
      </c>
      <c r="AH112" s="400"/>
      <c r="AI112" s="400"/>
      <c r="AJ112" s="321"/>
      <c r="AK112" s="321">
        <f t="shared" si="13"/>
        <v>0</v>
      </c>
      <c r="AL112" s="407">
        <v>0.15</v>
      </c>
      <c r="AM112" s="400"/>
      <c r="AN112" s="400"/>
      <c r="AO112" s="321"/>
      <c r="AP112" s="321">
        <f t="shared" si="14"/>
        <v>0</v>
      </c>
    </row>
    <row r="113" spans="1:42" ht="31.5">
      <c r="A113" s="397"/>
      <c r="B113" s="398" t="s">
        <v>468</v>
      </c>
      <c r="C113" s="407">
        <v>1.89</v>
      </c>
      <c r="D113" s="400"/>
      <c r="E113" s="400"/>
      <c r="F113" s="321"/>
      <c r="G113" s="321">
        <f t="shared" si="0"/>
        <v>0</v>
      </c>
      <c r="H113" s="407">
        <v>0.81</v>
      </c>
      <c r="I113" s="400"/>
      <c r="J113" s="400"/>
      <c r="K113" s="321"/>
      <c r="L113" s="321">
        <f t="shared" si="8"/>
        <v>0</v>
      </c>
      <c r="M113" s="407">
        <v>0.82</v>
      </c>
      <c r="N113" s="400"/>
      <c r="O113" s="400"/>
      <c r="P113" s="321"/>
      <c r="Q113" s="321">
        <f t="shared" si="9"/>
        <v>0</v>
      </c>
      <c r="R113" s="407">
        <v>0.68</v>
      </c>
      <c r="S113" s="400"/>
      <c r="T113" s="400"/>
      <c r="U113" s="321"/>
      <c r="V113" s="321">
        <f t="shared" si="10"/>
        <v>0</v>
      </c>
      <c r="W113" s="407">
        <v>0.35</v>
      </c>
      <c r="X113" s="400"/>
      <c r="Y113" s="400"/>
      <c r="Z113" s="321"/>
      <c r="AA113" s="321">
        <f t="shared" si="11"/>
        <v>0</v>
      </c>
      <c r="AB113" s="407">
        <v>0.44</v>
      </c>
      <c r="AC113" s="400"/>
      <c r="AD113" s="400"/>
      <c r="AE113" s="321"/>
      <c r="AF113" s="321">
        <f t="shared" si="12"/>
        <v>0</v>
      </c>
      <c r="AG113" s="407">
        <v>0.34</v>
      </c>
      <c r="AH113" s="400"/>
      <c r="AI113" s="400"/>
      <c r="AJ113" s="321"/>
      <c r="AK113" s="321">
        <f t="shared" si="13"/>
        <v>0</v>
      </c>
      <c r="AL113" s="407">
        <v>0.38</v>
      </c>
      <c r="AM113" s="400"/>
      <c r="AN113" s="400"/>
      <c r="AO113" s="321"/>
      <c r="AP113" s="321">
        <f t="shared" si="14"/>
        <v>0</v>
      </c>
    </row>
    <row r="114" spans="1:42" ht="15.75">
      <c r="A114" s="397"/>
      <c r="B114" s="398" t="s">
        <v>469</v>
      </c>
      <c r="C114" s="407">
        <v>3.58</v>
      </c>
      <c r="D114" s="400"/>
      <c r="E114" s="400"/>
      <c r="F114" s="321"/>
      <c r="G114" s="321">
        <f t="shared" si="0"/>
        <v>0</v>
      </c>
      <c r="H114" s="407">
        <v>1.54</v>
      </c>
      <c r="I114" s="400"/>
      <c r="J114" s="400"/>
      <c r="K114" s="321"/>
      <c r="L114" s="321">
        <f t="shared" si="8"/>
        <v>0</v>
      </c>
      <c r="M114" s="407">
        <v>1.55</v>
      </c>
      <c r="N114" s="400"/>
      <c r="O114" s="400"/>
      <c r="P114" s="321"/>
      <c r="Q114" s="321">
        <f t="shared" si="9"/>
        <v>0</v>
      </c>
      <c r="R114" s="407">
        <v>1.28</v>
      </c>
      <c r="S114" s="400"/>
      <c r="T114" s="400"/>
      <c r="U114" s="321"/>
      <c r="V114" s="321">
        <f t="shared" si="10"/>
        <v>0</v>
      </c>
      <c r="W114" s="407">
        <v>0.67</v>
      </c>
      <c r="X114" s="400"/>
      <c r="Y114" s="400"/>
      <c r="Z114" s="321"/>
      <c r="AA114" s="321">
        <f t="shared" si="11"/>
        <v>0</v>
      </c>
      <c r="AB114" s="407">
        <v>0.8</v>
      </c>
      <c r="AC114" s="400"/>
      <c r="AD114" s="400"/>
      <c r="AE114" s="321"/>
      <c r="AF114" s="321">
        <f t="shared" si="12"/>
        <v>0</v>
      </c>
      <c r="AG114" s="407">
        <v>0.61</v>
      </c>
      <c r="AH114" s="400"/>
      <c r="AI114" s="400"/>
      <c r="AJ114" s="321"/>
      <c r="AK114" s="321">
        <f t="shared" si="13"/>
        <v>0</v>
      </c>
      <c r="AL114" s="407">
        <v>0.71</v>
      </c>
      <c r="AM114" s="400"/>
      <c r="AN114" s="400"/>
      <c r="AO114" s="321"/>
      <c r="AP114" s="321">
        <f t="shared" si="14"/>
        <v>0</v>
      </c>
    </row>
    <row r="115" spans="1:42" ht="31.5">
      <c r="A115" s="397"/>
      <c r="B115" s="398" t="s">
        <v>470</v>
      </c>
      <c r="C115" s="407">
        <v>2.94</v>
      </c>
      <c r="D115" s="400"/>
      <c r="E115" s="400"/>
      <c r="F115" s="321"/>
      <c r="G115" s="321">
        <f t="shared" si="0"/>
        <v>0</v>
      </c>
      <c r="H115" s="407">
        <v>1.26</v>
      </c>
      <c r="I115" s="400"/>
      <c r="J115" s="400"/>
      <c r="K115" s="321"/>
      <c r="L115" s="321">
        <f t="shared" si="8"/>
        <v>0</v>
      </c>
      <c r="M115" s="407">
        <v>1.27</v>
      </c>
      <c r="N115" s="400"/>
      <c r="O115" s="400"/>
      <c r="P115" s="321"/>
      <c r="Q115" s="321">
        <f t="shared" si="9"/>
        <v>0</v>
      </c>
      <c r="R115" s="407">
        <v>1.06</v>
      </c>
      <c r="S115" s="400"/>
      <c r="T115" s="400"/>
      <c r="U115" s="321"/>
      <c r="V115" s="321">
        <f t="shared" si="10"/>
        <v>0</v>
      </c>
      <c r="W115" s="407">
        <v>0.55000000000000004</v>
      </c>
      <c r="X115" s="400"/>
      <c r="Y115" s="400"/>
      <c r="Z115" s="321"/>
      <c r="AA115" s="321">
        <f t="shared" si="11"/>
        <v>0</v>
      </c>
      <c r="AB115" s="407">
        <v>0.66</v>
      </c>
      <c r="AC115" s="400"/>
      <c r="AD115" s="400"/>
      <c r="AE115" s="321"/>
      <c r="AF115" s="321">
        <f t="shared" si="12"/>
        <v>0</v>
      </c>
      <c r="AG115" s="407">
        <v>0.51</v>
      </c>
      <c r="AH115" s="400"/>
      <c r="AI115" s="400"/>
      <c r="AJ115" s="321"/>
      <c r="AK115" s="321">
        <f t="shared" si="13"/>
        <v>0</v>
      </c>
      <c r="AL115" s="407">
        <v>0.59</v>
      </c>
      <c r="AM115" s="400"/>
      <c r="AN115" s="400"/>
      <c r="AO115" s="321"/>
      <c r="AP115" s="321">
        <f t="shared" si="14"/>
        <v>0</v>
      </c>
    </row>
    <row r="116" spans="1:42" ht="15.75">
      <c r="A116" s="397"/>
      <c r="B116" s="398" t="s">
        <v>471</v>
      </c>
      <c r="C116" s="407">
        <v>1.85</v>
      </c>
      <c r="D116" s="400"/>
      <c r="E116" s="400"/>
      <c r="F116" s="321"/>
      <c r="G116" s="321">
        <f t="shared" si="0"/>
        <v>0</v>
      </c>
      <c r="H116" s="407">
        <v>0.8</v>
      </c>
      <c r="I116" s="400"/>
      <c r="J116" s="400"/>
      <c r="K116" s="321"/>
      <c r="L116" s="321">
        <f t="shared" si="8"/>
        <v>0</v>
      </c>
      <c r="M116" s="407">
        <v>0.8</v>
      </c>
      <c r="N116" s="400"/>
      <c r="O116" s="400"/>
      <c r="P116" s="321"/>
      <c r="Q116" s="321">
        <f t="shared" si="9"/>
        <v>0</v>
      </c>
      <c r="R116" s="407">
        <v>0.66</v>
      </c>
      <c r="S116" s="400"/>
      <c r="T116" s="400"/>
      <c r="U116" s="321"/>
      <c r="V116" s="321">
        <f t="shared" si="10"/>
        <v>0</v>
      </c>
      <c r="W116" s="407">
        <v>0.34</v>
      </c>
      <c r="X116" s="400"/>
      <c r="Y116" s="400"/>
      <c r="Z116" s="321"/>
      <c r="AA116" s="321">
        <f t="shared" si="11"/>
        <v>0</v>
      </c>
      <c r="AB116" s="407">
        <v>0.43</v>
      </c>
      <c r="AC116" s="400"/>
      <c r="AD116" s="400"/>
      <c r="AE116" s="321"/>
      <c r="AF116" s="321">
        <f t="shared" si="12"/>
        <v>0</v>
      </c>
      <c r="AG116" s="407">
        <v>0.33</v>
      </c>
      <c r="AH116" s="400"/>
      <c r="AI116" s="400"/>
      <c r="AJ116" s="321"/>
      <c r="AK116" s="321">
        <f t="shared" si="13"/>
        <v>0</v>
      </c>
      <c r="AL116" s="407">
        <v>0.37</v>
      </c>
      <c r="AM116" s="400"/>
      <c r="AN116" s="400"/>
      <c r="AO116" s="321"/>
      <c r="AP116" s="321">
        <f t="shared" si="14"/>
        <v>0</v>
      </c>
    </row>
    <row r="117" spans="1:42" ht="31.5">
      <c r="A117" s="397"/>
      <c r="B117" s="398" t="s">
        <v>472</v>
      </c>
      <c r="C117" s="407">
        <v>1.37</v>
      </c>
      <c r="D117" s="400"/>
      <c r="E117" s="400"/>
      <c r="F117" s="321"/>
      <c r="G117" s="321">
        <f t="shared" si="0"/>
        <v>0</v>
      </c>
      <c r="H117" s="407">
        <v>0.59</v>
      </c>
      <c r="I117" s="400"/>
      <c r="J117" s="400"/>
      <c r="K117" s="321"/>
      <c r="L117" s="321">
        <f t="shared" si="8"/>
        <v>0</v>
      </c>
      <c r="M117" s="407">
        <v>0.59</v>
      </c>
      <c r="N117" s="400"/>
      <c r="O117" s="400"/>
      <c r="P117" s="321"/>
      <c r="Q117" s="321">
        <f t="shared" si="9"/>
        <v>0</v>
      </c>
      <c r="R117" s="407">
        <v>0.49</v>
      </c>
      <c r="S117" s="400"/>
      <c r="T117" s="400"/>
      <c r="U117" s="321"/>
      <c r="V117" s="321">
        <f t="shared" si="10"/>
        <v>0</v>
      </c>
      <c r="W117" s="407">
        <v>0.25</v>
      </c>
      <c r="X117" s="400"/>
      <c r="Y117" s="400"/>
      <c r="Z117" s="321"/>
      <c r="AA117" s="321">
        <f t="shared" si="11"/>
        <v>0</v>
      </c>
      <c r="AB117" s="407">
        <v>0.33</v>
      </c>
      <c r="AC117" s="400"/>
      <c r="AD117" s="400"/>
      <c r="AE117" s="321"/>
      <c r="AF117" s="321">
        <f t="shared" si="12"/>
        <v>0</v>
      </c>
      <c r="AG117" s="407">
        <v>0.26</v>
      </c>
      <c r="AH117" s="400"/>
      <c r="AI117" s="400"/>
      <c r="AJ117" s="321"/>
      <c r="AK117" s="321">
        <f t="shared" si="13"/>
        <v>0</v>
      </c>
      <c r="AL117" s="407">
        <v>0.27</v>
      </c>
      <c r="AM117" s="400"/>
      <c r="AN117" s="400"/>
      <c r="AO117" s="321"/>
      <c r="AP117" s="321">
        <f t="shared" si="14"/>
        <v>0</v>
      </c>
    </row>
    <row r="118" spans="1:42" ht="31.5">
      <c r="A118" s="397"/>
      <c r="B118" s="398" t="s">
        <v>473</v>
      </c>
      <c r="C118" s="407">
        <v>1.35</v>
      </c>
      <c r="D118" s="400"/>
      <c r="E118" s="400"/>
      <c r="F118" s="321"/>
      <c r="G118" s="321">
        <f t="shared" si="0"/>
        <v>0</v>
      </c>
      <c r="H118" s="407">
        <v>0.57999999999999996</v>
      </c>
      <c r="I118" s="400"/>
      <c r="J118" s="400"/>
      <c r="K118" s="321"/>
      <c r="L118" s="321">
        <f t="shared" si="8"/>
        <v>0</v>
      </c>
      <c r="M118" s="407">
        <v>0.57999999999999996</v>
      </c>
      <c r="N118" s="400"/>
      <c r="O118" s="400"/>
      <c r="P118" s="321"/>
      <c r="Q118" s="321">
        <f t="shared" si="9"/>
        <v>0</v>
      </c>
      <c r="R118" s="407">
        <v>0.48</v>
      </c>
      <c r="S118" s="400"/>
      <c r="T118" s="400"/>
      <c r="U118" s="321"/>
      <c r="V118" s="321">
        <f t="shared" si="10"/>
        <v>0</v>
      </c>
      <c r="W118" s="407">
        <v>0.25</v>
      </c>
      <c r="X118" s="400"/>
      <c r="Y118" s="400"/>
      <c r="Z118" s="321"/>
      <c r="AA118" s="321">
        <f t="shared" si="11"/>
        <v>0</v>
      </c>
      <c r="AB118" s="407">
        <v>0.33</v>
      </c>
      <c r="AC118" s="400"/>
      <c r="AD118" s="400"/>
      <c r="AE118" s="321"/>
      <c r="AF118" s="321">
        <f t="shared" si="12"/>
        <v>0</v>
      </c>
      <c r="AG118" s="407">
        <v>0.25</v>
      </c>
      <c r="AH118" s="400"/>
      <c r="AI118" s="400"/>
      <c r="AJ118" s="321"/>
      <c r="AK118" s="321">
        <f t="shared" si="13"/>
        <v>0</v>
      </c>
      <c r="AL118" s="407">
        <v>0.27</v>
      </c>
      <c r="AM118" s="400"/>
      <c r="AN118" s="400"/>
      <c r="AO118" s="321"/>
      <c r="AP118" s="321">
        <f t="shared" si="14"/>
        <v>0</v>
      </c>
    </row>
    <row r="119" spans="1:42" ht="31.5">
      <c r="A119" s="397"/>
      <c r="B119" s="398" t="s">
        <v>474</v>
      </c>
      <c r="C119" s="407">
        <v>0.43</v>
      </c>
      <c r="D119" s="400"/>
      <c r="E119" s="400"/>
      <c r="F119" s="321"/>
      <c r="G119" s="321">
        <f t="shared" si="0"/>
        <v>0</v>
      </c>
      <c r="H119" s="407">
        <v>0.19</v>
      </c>
      <c r="I119" s="400"/>
      <c r="J119" s="400"/>
      <c r="K119" s="321"/>
      <c r="L119" s="321">
        <f t="shared" si="8"/>
        <v>0</v>
      </c>
      <c r="M119" s="407">
        <v>0.19</v>
      </c>
      <c r="N119" s="400"/>
      <c r="O119" s="400"/>
      <c r="P119" s="321"/>
      <c r="Q119" s="321">
        <f t="shared" si="9"/>
        <v>0</v>
      </c>
      <c r="R119" s="407">
        <v>0.16</v>
      </c>
      <c r="S119" s="400"/>
      <c r="T119" s="400"/>
      <c r="U119" s="321"/>
      <c r="V119" s="321">
        <f t="shared" si="10"/>
        <v>0</v>
      </c>
      <c r="W119" s="407">
        <v>0.08</v>
      </c>
      <c r="X119" s="400"/>
      <c r="Y119" s="400"/>
      <c r="Z119" s="321"/>
      <c r="AA119" s="321">
        <f t="shared" si="11"/>
        <v>0</v>
      </c>
      <c r="AB119" s="407">
        <v>0.13</v>
      </c>
      <c r="AC119" s="400"/>
      <c r="AD119" s="400"/>
      <c r="AE119" s="321"/>
      <c r="AF119" s="321">
        <f t="shared" si="12"/>
        <v>0</v>
      </c>
      <c r="AG119" s="407">
        <v>0.11</v>
      </c>
      <c r="AH119" s="400"/>
      <c r="AI119" s="400"/>
      <c r="AJ119" s="321"/>
      <c r="AK119" s="321">
        <f t="shared" si="13"/>
        <v>0</v>
      </c>
      <c r="AL119" s="407">
        <v>0.09</v>
      </c>
      <c r="AM119" s="400"/>
      <c r="AN119" s="400"/>
      <c r="AO119" s="321"/>
      <c r="AP119" s="321">
        <f t="shared" si="14"/>
        <v>0</v>
      </c>
    </row>
    <row r="120" spans="1:42" ht="31.5">
      <c r="A120" s="397"/>
      <c r="B120" s="398" t="s">
        <v>475</v>
      </c>
      <c r="C120" s="407">
        <v>0.57999999999999996</v>
      </c>
      <c r="D120" s="400"/>
      <c r="E120" s="400"/>
      <c r="F120" s="321"/>
      <c r="G120" s="321">
        <f t="shared" si="0"/>
        <v>0</v>
      </c>
      <c r="H120" s="407">
        <v>0.25</v>
      </c>
      <c r="I120" s="400"/>
      <c r="J120" s="400"/>
      <c r="K120" s="321"/>
      <c r="L120" s="321">
        <f t="shared" si="8"/>
        <v>0</v>
      </c>
      <c r="M120" s="407">
        <v>0.25</v>
      </c>
      <c r="N120" s="400"/>
      <c r="O120" s="400"/>
      <c r="P120" s="321"/>
      <c r="Q120" s="321">
        <f t="shared" si="9"/>
        <v>0</v>
      </c>
      <c r="R120" s="407">
        <v>0.21</v>
      </c>
      <c r="S120" s="400"/>
      <c r="T120" s="400"/>
      <c r="U120" s="321"/>
      <c r="V120" s="321">
        <f t="shared" si="10"/>
        <v>0</v>
      </c>
      <c r="W120" s="407">
        <v>0.11</v>
      </c>
      <c r="X120" s="400"/>
      <c r="Y120" s="400"/>
      <c r="Z120" s="321"/>
      <c r="AA120" s="321">
        <f t="shared" si="11"/>
        <v>0</v>
      </c>
      <c r="AB120" s="407">
        <v>0.16</v>
      </c>
      <c r="AC120" s="400"/>
      <c r="AD120" s="400"/>
      <c r="AE120" s="321"/>
      <c r="AF120" s="321">
        <f t="shared" si="12"/>
        <v>0</v>
      </c>
      <c r="AG120" s="407">
        <v>0.13</v>
      </c>
      <c r="AH120" s="400"/>
      <c r="AI120" s="400"/>
      <c r="AJ120" s="321"/>
      <c r="AK120" s="321">
        <f t="shared" si="13"/>
        <v>0</v>
      </c>
      <c r="AL120" s="407">
        <v>0.12</v>
      </c>
      <c r="AM120" s="400"/>
      <c r="AN120" s="400"/>
      <c r="AO120" s="321"/>
      <c r="AP120" s="321">
        <f t="shared" si="14"/>
        <v>0</v>
      </c>
    </row>
    <row r="121" spans="1:42" ht="15.75">
      <c r="A121" s="397"/>
      <c r="B121" s="398" t="s">
        <v>476</v>
      </c>
      <c r="C121" s="407">
        <v>3.28</v>
      </c>
      <c r="D121" s="400"/>
      <c r="E121" s="400"/>
      <c r="F121" s="321"/>
      <c r="G121" s="321">
        <f t="shared" si="0"/>
        <v>0</v>
      </c>
      <c r="H121" s="407">
        <v>1.41</v>
      </c>
      <c r="I121" s="400"/>
      <c r="J121" s="400"/>
      <c r="K121" s="321"/>
      <c r="L121" s="321">
        <f t="shared" si="8"/>
        <v>0</v>
      </c>
      <c r="M121" s="407">
        <v>1.42</v>
      </c>
      <c r="N121" s="400"/>
      <c r="O121" s="400"/>
      <c r="P121" s="321"/>
      <c r="Q121" s="321">
        <f t="shared" si="9"/>
        <v>0</v>
      </c>
      <c r="R121" s="407">
        <v>1.18</v>
      </c>
      <c r="S121" s="400"/>
      <c r="T121" s="400"/>
      <c r="U121" s="321"/>
      <c r="V121" s="321">
        <f t="shared" si="10"/>
        <v>0</v>
      </c>
      <c r="W121" s="407">
        <v>0.61</v>
      </c>
      <c r="X121" s="400"/>
      <c r="Y121" s="400"/>
      <c r="Z121" s="321"/>
      <c r="AA121" s="321">
        <f t="shared" si="11"/>
        <v>0</v>
      </c>
      <c r="AB121" s="407">
        <v>0.74</v>
      </c>
      <c r="AC121" s="400"/>
      <c r="AD121" s="400"/>
      <c r="AE121" s="321"/>
      <c r="AF121" s="321">
        <f t="shared" si="12"/>
        <v>0</v>
      </c>
      <c r="AG121" s="407">
        <v>0.56000000000000005</v>
      </c>
      <c r="AH121" s="400"/>
      <c r="AI121" s="400"/>
      <c r="AJ121" s="321"/>
      <c r="AK121" s="321">
        <f t="shared" si="13"/>
        <v>0</v>
      </c>
      <c r="AL121" s="407">
        <v>0.65</v>
      </c>
      <c r="AM121" s="400"/>
      <c r="AN121" s="400"/>
      <c r="AO121" s="321"/>
      <c r="AP121" s="321">
        <f t="shared" si="14"/>
        <v>0</v>
      </c>
    </row>
    <row r="122" spans="1:42" ht="15.75">
      <c r="A122" s="397"/>
      <c r="B122" s="398" t="s">
        <v>477</v>
      </c>
      <c r="C122" s="407">
        <v>4.5199999999999996</v>
      </c>
      <c r="D122" s="400"/>
      <c r="E122" s="400"/>
      <c r="F122" s="321"/>
      <c r="G122" s="321">
        <f t="shared" si="0"/>
        <v>0</v>
      </c>
      <c r="H122" s="407">
        <v>1.94</v>
      </c>
      <c r="I122" s="400"/>
      <c r="J122" s="400"/>
      <c r="K122" s="321"/>
      <c r="L122" s="321">
        <f t="shared" si="8"/>
        <v>0</v>
      </c>
      <c r="M122" s="407">
        <v>1.96</v>
      </c>
      <c r="N122" s="400"/>
      <c r="O122" s="400"/>
      <c r="P122" s="321"/>
      <c r="Q122" s="321">
        <f t="shared" si="9"/>
        <v>0</v>
      </c>
      <c r="R122" s="407">
        <v>1.62</v>
      </c>
      <c r="S122" s="400"/>
      <c r="T122" s="400"/>
      <c r="U122" s="321"/>
      <c r="V122" s="321">
        <f t="shared" si="10"/>
        <v>0</v>
      </c>
      <c r="W122" s="407">
        <v>0.84</v>
      </c>
      <c r="X122" s="400"/>
      <c r="Y122" s="400"/>
      <c r="Z122" s="321"/>
      <c r="AA122" s="321">
        <f t="shared" si="11"/>
        <v>0</v>
      </c>
      <c r="AB122" s="407">
        <v>1</v>
      </c>
      <c r="AC122" s="400"/>
      <c r="AD122" s="400"/>
      <c r="AE122" s="321"/>
      <c r="AF122" s="321">
        <f t="shared" si="12"/>
        <v>0</v>
      </c>
      <c r="AG122" s="407">
        <v>0.76</v>
      </c>
      <c r="AH122" s="400"/>
      <c r="AI122" s="400"/>
      <c r="AJ122" s="321"/>
      <c r="AK122" s="321">
        <f t="shared" si="13"/>
        <v>0</v>
      </c>
      <c r="AL122" s="407">
        <v>0.9</v>
      </c>
      <c r="AM122" s="400"/>
      <c r="AN122" s="400"/>
      <c r="AO122" s="321"/>
      <c r="AP122" s="321">
        <f t="shared" si="14"/>
        <v>0</v>
      </c>
    </row>
    <row r="123" spans="1:42" ht="15.75">
      <c r="A123" s="397"/>
      <c r="B123" s="398" t="s">
        <v>478</v>
      </c>
      <c r="C123" s="407">
        <v>5.2</v>
      </c>
      <c r="D123" s="400"/>
      <c r="E123" s="400"/>
      <c r="F123" s="321"/>
      <c r="G123" s="321">
        <f t="shared" si="0"/>
        <v>0</v>
      </c>
      <c r="H123" s="407">
        <v>2.2400000000000002</v>
      </c>
      <c r="I123" s="400"/>
      <c r="J123" s="400"/>
      <c r="K123" s="321"/>
      <c r="L123" s="321">
        <f t="shared" si="8"/>
        <v>0</v>
      </c>
      <c r="M123" s="407">
        <v>2.25</v>
      </c>
      <c r="N123" s="400"/>
      <c r="O123" s="400"/>
      <c r="P123" s="321"/>
      <c r="Q123" s="321">
        <f t="shared" si="9"/>
        <v>0</v>
      </c>
      <c r="R123" s="407">
        <v>1.87</v>
      </c>
      <c r="S123" s="400"/>
      <c r="T123" s="400"/>
      <c r="U123" s="321"/>
      <c r="V123" s="321">
        <f t="shared" si="10"/>
        <v>0</v>
      </c>
      <c r="W123" s="407">
        <v>0.97</v>
      </c>
      <c r="X123" s="400"/>
      <c r="Y123" s="400"/>
      <c r="Z123" s="321"/>
      <c r="AA123" s="321">
        <f t="shared" si="11"/>
        <v>0</v>
      </c>
      <c r="AB123" s="407">
        <v>1.1399999999999999</v>
      </c>
      <c r="AC123" s="400"/>
      <c r="AD123" s="400"/>
      <c r="AE123" s="321"/>
      <c r="AF123" s="321">
        <f t="shared" si="12"/>
        <v>0</v>
      </c>
      <c r="AG123" s="407">
        <v>0.87</v>
      </c>
      <c r="AH123" s="400"/>
      <c r="AI123" s="400"/>
      <c r="AJ123" s="321"/>
      <c r="AK123" s="321">
        <f t="shared" si="13"/>
        <v>0</v>
      </c>
      <c r="AL123" s="407">
        <v>1.04</v>
      </c>
      <c r="AM123" s="400"/>
      <c r="AN123" s="400"/>
      <c r="AO123" s="321"/>
      <c r="AP123" s="321">
        <f t="shared" si="14"/>
        <v>0</v>
      </c>
    </row>
    <row r="124" spans="1:42" ht="15.75">
      <c r="A124" s="397"/>
      <c r="B124" s="398" t="s">
        <v>479</v>
      </c>
      <c r="C124" s="407">
        <v>4.87</v>
      </c>
      <c r="D124" s="400"/>
      <c r="E124" s="400"/>
      <c r="F124" s="321"/>
      <c r="G124" s="321">
        <f t="shared" si="0"/>
        <v>0</v>
      </c>
      <c r="H124" s="407">
        <v>2.09</v>
      </c>
      <c r="I124" s="400"/>
      <c r="J124" s="400"/>
      <c r="K124" s="321"/>
      <c r="L124" s="321">
        <f t="shared" si="8"/>
        <v>0</v>
      </c>
      <c r="M124" s="407">
        <v>2.11</v>
      </c>
      <c r="N124" s="400"/>
      <c r="O124" s="400"/>
      <c r="P124" s="321"/>
      <c r="Q124" s="321">
        <f t="shared" si="9"/>
        <v>0</v>
      </c>
      <c r="R124" s="407">
        <v>1.75</v>
      </c>
      <c r="S124" s="400"/>
      <c r="T124" s="400"/>
      <c r="U124" s="321"/>
      <c r="V124" s="321">
        <f t="shared" si="10"/>
        <v>0</v>
      </c>
      <c r="W124" s="407">
        <v>0.91</v>
      </c>
      <c r="X124" s="400"/>
      <c r="Y124" s="400"/>
      <c r="Z124" s="321"/>
      <c r="AA124" s="321">
        <f t="shared" si="11"/>
        <v>0</v>
      </c>
      <c r="AB124" s="407">
        <v>1.07</v>
      </c>
      <c r="AC124" s="400"/>
      <c r="AD124" s="400"/>
      <c r="AE124" s="321"/>
      <c r="AF124" s="321">
        <f t="shared" si="12"/>
        <v>0</v>
      </c>
      <c r="AG124" s="407">
        <v>0.82</v>
      </c>
      <c r="AH124" s="400"/>
      <c r="AI124" s="400"/>
      <c r="AJ124" s="321"/>
      <c r="AK124" s="321">
        <f t="shared" si="13"/>
        <v>0</v>
      </c>
      <c r="AL124" s="407">
        <v>0.97</v>
      </c>
      <c r="AM124" s="400"/>
      <c r="AN124" s="400"/>
      <c r="AO124" s="321"/>
      <c r="AP124" s="321">
        <f t="shared" si="14"/>
        <v>0</v>
      </c>
    </row>
    <row r="125" spans="1:42" s="88" customFormat="1" ht="15.75">
      <c r="A125" s="397"/>
      <c r="B125" s="398" t="s">
        <v>480</v>
      </c>
      <c r="C125" s="423">
        <v>0.95</v>
      </c>
      <c r="D125" s="400"/>
      <c r="E125" s="400"/>
      <c r="F125" s="424"/>
      <c r="G125" s="424">
        <f t="shared" si="0"/>
        <v>0</v>
      </c>
      <c r="H125" s="423">
        <v>0.39</v>
      </c>
      <c r="I125" s="400"/>
      <c r="J125" s="400"/>
      <c r="K125" s="424"/>
      <c r="L125" s="424">
        <f t="shared" si="8"/>
        <v>0</v>
      </c>
      <c r="M125" s="423">
        <v>0.4</v>
      </c>
      <c r="N125" s="400"/>
      <c r="O125" s="400"/>
      <c r="P125" s="424"/>
      <c r="Q125" s="424">
        <f t="shared" si="9"/>
        <v>0</v>
      </c>
      <c r="R125" s="423">
        <v>0.33</v>
      </c>
      <c r="S125" s="400"/>
      <c r="T125" s="400"/>
      <c r="U125" s="424"/>
      <c r="V125" s="424">
        <f t="shared" si="10"/>
        <v>0</v>
      </c>
      <c r="W125" s="423">
        <v>0.17</v>
      </c>
      <c r="X125" s="400"/>
      <c r="Y125" s="400"/>
      <c r="Z125" s="424"/>
      <c r="AA125" s="424">
        <f t="shared" si="11"/>
        <v>0</v>
      </c>
      <c r="AB125" s="423">
        <v>0.23</v>
      </c>
      <c r="AC125" s="400"/>
      <c r="AD125" s="400"/>
      <c r="AE125" s="424"/>
      <c r="AF125" s="424">
        <f t="shared" si="12"/>
        <v>0</v>
      </c>
      <c r="AG125" s="423">
        <v>0.18</v>
      </c>
      <c r="AH125" s="400"/>
      <c r="AI125" s="400"/>
      <c r="AJ125" s="424"/>
      <c r="AK125" s="424">
        <f t="shared" si="13"/>
        <v>0</v>
      </c>
      <c r="AL125" s="423">
        <v>0.18</v>
      </c>
      <c r="AM125" s="400"/>
      <c r="AN125" s="400"/>
      <c r="AO125" s="424"/>
      <c r="AP125" s="424">
        <f t="shared" si="14"/>
        <v>0</v>
      </c>
    </row>
    <row r="126" spans="1:42" s="88" customFormat="1" ht="15.75">
      <c r="A126" s="397"/>
      <c r="B126" s="398" t="s">
        <v>481</v>
      </c>
      <c r="C126" s="423">
        <v>0.95</v>
      </c>
      <c r="D126" s="400"/>
      <c r="E126" s="400"/>
      <c r="F126" s="424"/>
      <c r="G126" s="424">
        <f>$C126*F126/100</f>
        <v>0</v>
      </c>
      <c r="H126" s="423">
        <v>0.39</v>
      </c>
      <c r="I126" s="400"/>
      <c r="J126" s="400"/>
      <c r="K126" s="424"/>
      <c r="L126" s="424">
        <f t="shared" si="8"/>
        <v>0</v>
      </c>
      <c r="M126" s="423">
        <v>0.4</v>
      </c>
      <c r="N126" s="400"/>
      <c r="O126" s="400"/>
      <c r="P126" s="424"/>
      <c r="Q126" s="424">
        <f t="shared" si="9"/>
        <v>0</v>
      </c>
      <c r="R126" s="423">
        <v>0.33</v>
      </c>
      <c r="S126" s="400"/>
      <c r="T126" s="400"/>
      <c r="U126" s="424"/>
      <c r="V126" s="424">
        <f t="shared" si="10"/>
        <v>0</v>
      </c>
      <c r="W126" s="423">
        <v>0.17</v>
      </c>
      <c r="X126" s="400"/>
      <c r="Y126" s="400"/>
      <c r="Z126" s="424"/>
      <c r="AA126" s="424">
        <f t="shared" si="11"/>
        <v>0</v>
      </c>
      <c r="AB126" s="423">
        <v>0.23</v>
      </c>
      <c r="AC126" s="400"/>
      <c r="AD126" s="400"/>
      <c r="AE126" s="424"/>
      <c r="AF126" s="424">
        <f t="shared" si="12"/>
        <v>0</v>
      </c>
      <c r="AG126" s="423">
        <v>0.18</v>
      </c>
      <c r="AH126" s="400"/>
      <c r="AI126" s="400"/>
      <c r="AJ126" s="424"/>
      <c r="AK126" s="424">
        <f t="shared" si="13"/>
        <v>0</v>
      </c>
      <c r="AL126" s="423">
        <v>0.18</v>
      </c>
      <c r="AM126" s="400"/>
      <c r="AN126" s="400"/>
      <c r="AO126" s="424"/>
      <c r="AP126" s="424">
        <f t="shared" si="14"/>
        <v>0</v>
      </c>
    </row>
    <row r="127" spans="1:42" ht="15.75">
      <c r="A127" s="397"/>
      <c r="B127" s="398" t="s">
        <v>482</v>
      </c>
      <c r="C127" s="407">
        <v>1.36</v>
      </c>
      <c r="D127" s="400"/>
      <c r="E127" s="400"/>
      <c r="F127" s="321"/>
      <c r="G127" s="321">
        <f t="shared" si="0"/>
        <v>0</v>
      </c>
      <c r="H127" s="407">
        <v>0.59</v>
      </c>
      <c r="I127" s="400"/>
      <c r="J127" s="400"/>
      <c r="K127" s="321"/>
      <c r="L127" s="321">
        <f t="shared" ref="L127:L163" si="15">$H127*K127/100</f>
        <v>0</v>
      </c>
      <c r="M127" s="407">
        <v>0.59</v>
      </c>
      <c r="N127" s="400"/>
      <c r="O127" s="400"/>
      <c r="P127" s="321"/>
      <c r="Q127" s="321">
        <f t="shared" ref="Q127:Q163" si="16">$M127*P127/100</f>
        <v>0</v>
      </c>
      <c r="R127" s="407">
        <v>0.49</v>
      </c>
      <c r="S127" s="400"/>
      <c r="T127" s="400"/>
      <c r="U127" s="321"/>
      <c r="V127" s="321">
        <f t="shared" ref="V127:V163" si="17">$R127*U127/100</f>
        <v>0</v>
      </c>
      <c r="W127" s="407">
        <v>0.25</v>
      </c>
      <c r="X127" s="400"/>
      <c r="Y127" s="400"/>
      <c r="Z127" s="321"/>
      <c r="AA127" s="321">
        <f t="shared" ref="AA127:AA163" si="18">$W127*Z127/100</f>
        <v>0</v>
      </c>
      <c r="AB127" s="407">
        <v>0.33</v>
      </c>
      <c r="AC127" s="400"/>
      <c r="AD127" s="400"/>
      <c r="AE127" s="321"/>
      <c r="AF127" s="321">
        <f t="shared" ref="AF127:AF163" si="19">$AB127*AE127/100</f>
        <v>0</v>
      </c>
      <c r="AG127" s="407">
        <v>0.26</v>
      </c>
      <c r="AH127" s="400"/>
      <c r="AI127" s="400"/>
      <c r="AJ127" s="321"/>
      <c r="AK127" s="321">
        <f t="shared" ref="AK127:AK163" si="20">$AG127*AJ127/100</f>
        <v>0</v>
      </c>
      <c r="AL127" s="407">
        <v>0.27</v>
      </c>
      <c r="AM127" s="400"/>
      <c r="AN127" s="400"/>
      <c r="AO127" s="321"/>
      <c r="AP127" s="321">
        <f t="shared" ref="AP127:AP163" si="21">$AL127*AO127/100</f>
        <v>0</v>
      </c>
    </row>
    <row r="128" spans="1:42" ht="15.75">
      <c r="A128" s="321">
        <v>9</v>
      </c>
      <c r="B128" s="408" t="s">
        <v>242</v>
      </c>
      <c r="C128" s="407"/>
      <c r="D128" s="400"/>
      <c r="E128" s="400"/>
      <c r="F128" s="321"/>
      <c r="G128" s="321">
        <f t="shared" si="0"/>
        <v>0</v>
      </c>
      <c r="H128" s="407"/>
      <c r="I128" s="400"/>
      <c r="J128" s="400"/>
      <c r="K128" s="321"/>
      <c r="L128" s="321">
        <f t="shared" si="15"/>
        <v>0</v>
      </c>
      <c r="M128" s="407"/>
      <c r="N128" s="400"/>
      <c r="O128" s="400"/>
      <c r="P128" s="321"/>
      <c r="Q128" s="321">
        <f t="shared" si="16"/>
        <v>0</v>
      </c>
      <c r="R128" s="407"/>
      <c r="S128" s="400"/>
      <c r="T128" s="400"/>
      <c r="U128" s="321"/>
      <c r="V128" s="321">
        <f t="shared" si="17"/>
        <v>0</v>
      </c>
      <c r="W128" s="407"/>
      <c r="X128" s="400"/>
      <c r="Y128" s="400"/>
      <c r="Z128" s="321"/>
      <c r="AA128" s="321">
        <f t="shared" si="18"/>
        <v>0</v>
      </c>
      <c r="AB128" s="407"/>
      <c r="AC128" s="400"/>
      <c r="AD128" s="400"/>
      <c r="AE128" s="321"/>
      <c r="AF128" s="321">
        <f t="shared" si="19"/>
        <v>0</v>
      </c>
      <c r="AG128" s="407"/>
      <c r="AH128" s="400"/>
      <c r="AI128" s="400"/>
      <c r="AJ128" s="321"/>
      <c r="AK128" s="321">
        <f t="shared" si="20"/>
        <v>0</v>
      </c>
      <c r="AL128" s="407"/>
      <c r="AM128" s="400"/>
      <c r="AN128" s="400"/>
      <c r="AO128" s="321"/>
      <c r="AP128" s="321">
        <f t="shared" si="21"/>
        <v>0</v>
      </c>
    </row>
    <row r="129" spans="1:42" ht="35.25" customHeight="1">
      <c r="A129" s="397"/>
      <c r="B129" s="398" t="s">
        <v>395</v>
      </c>
      <c r="C129" s="407">
        <v>0.83</v>
      </c>
      <c r="D129" s="399">
        <f>MAX(C129:C148)</f>
        <v>5.89</v>
      </c>
      <c r="E129" s="400">
        <f>MIN(C129:C148)</f>
        <v>0.64</v>
      </c>
      <c r="F129" s="321"/>
      <c r="G129" s="321">
        <f t="shared" si="0"/>
        <v>0</v>
      </c>
      <c r="H129" s="407">
        <v>0.36</v>
      </c>
      <c r="I129" s="399">
        <f>MAX(H129:H148)</f>
        <v>4.37</v>
      </c>
      <c r="J129" s="400">
        <f>MIN(H129:H148)</f>
        <v>0.22</v>
      </c>
      <c r="K129" s="321"/>
      <c r="L129" s="321">
        <f t="shared" si="15"/>
        <v>0</v>
      </c>
      <c r="M129" s="407">
        <v>1.23</v>
      </c>
      <c r="N129" s="399">
        <f>MAX(M129:M148)</f>
        <v>6.44</v>
      </c>
      <c r="O129" s="400">
        <f>MIN(M129:M148)</f>
        <v>1.03</v>
      </c>
      <c r="P129" s="321"/>
      <c r="Q129" s="321">
        <f t="shared" si="16"/>
        <v>0</v>
      </c>
      <c r="R129" s="407">
        <v>0.66</v>
      </c>
      <c r="S129" s="399">
        <f>MAX(R129:R148)</f>
        <v>4.47</v>
      </c>
      <c r="T129" s="400">
        <f>MIN(R129:R148)</f>
        <v>0.54</v>
      </c>
      <c r="U129" s="321"/>
      <c r="V129" s="321">
        <f t="shared" si="17"/>
        <v>0</v>
      </c>
      <c r="W129" s="407">
        <v>0.96</v>
      </c>
      <c r="X129" s="399">
        <f>MAX(W129:W148)</f>
        <v>4.29</v>
      </c>
      <c r="Y129" s="400">
        <f>MIN(W129:W148)</f>
        <v>0.84</v>
      </c>
      <c r="Z129" s="321"/>
      <c r="AA129" s="321">
        <f t="shared" si="18"/>
        <v>0</v>
      </c>
      <c r="AB129" s="407">
        <v>0.62</v>
      </c>
      <c r="AC129" s="399">
        <f>MAX(AB129:AB148)</f>
        <v>3.1</v>
      </c>
      <c r="AD129" s="400">
        <f>MIN(AB129:AB148)</f>
        <v>0.53</v>
      </c>
      <c r="AE129" s="321"/>
      <c r="AF129" s="321">
        <f t="shared" si="19"/>
        <v>0</v>
      </c>
      <c r="AG129" s="407">
        <v>0.56000000000000005</v>
      </c>
      <c r="AH129" s="399">
        <f>MAX(AG129:AG148)</f>
        <v>4.76</v>
      </c>
      <c r="AI129" s="400">
        <f>MIN(AG129:AG148)</f>
        <v>0.4</v>
      </c>
      <c r="AJ129" s="321"/>
      <c r="AK129" s="321">
        <f t="shared" si="20"/>
        <v>0</v>
      </c>
      <c r="AL129" s="407">
        <v>0.64</v>
      </c>
      <c r="AM129" s="399">
        <f>MAX(AL129:AL148)</f>
        <v>3.91</v>
      </c>
      <c r="AN129" s="400">
        <f>MIN(AL129:AL148)</f>
        <v>0.52</v>
      </c>
      <c r="AO129" s="321"/>
      <c r="AP129" s="321">
        <f t="shared" si="21"/>
        <v>0</v>
      </c>
    </row>
    <row r="130" spans="1:42" ht="35.25" customHeight="1">
      <c r="A130" s="397"/>
      <c r="B130" s="398" t="s">
        <v>396</v>
      </c>
      <c r="C130" s="407">
        <v>1.2</v>
      </c>
      <c r="D130" s="400"/>
      <c r="E130" s="400"/>
      <c r="F130" s="321"/>
      <c r="G130" s="321">
        <f t="shared" si="0"/>
        <v>0</v>
      </c>
      <c r="H130" s="407">
        <v>0.66</v>
      </c>
      <c r="I130" s="400"/>
      <c r="J130" s="400"/>
      <c r="K130" s="321"/>
      <c r="L130" s="321">
        <f t="shared" si="15"/>
        <v>0</v>
      </c>
      <c r="M130" s="407">
        <v>1.61</v>
      </c>
      <c r="N130" s="400"/>
      <c r="O130" s="400"/>
      <c r="P130" s="321"/>
      <c r="Q130" s="321">
        <f t="shared" si="16"/>
        <v>0</v>
      </c>
      <c r="R130" s="407">
        <v>0.91</v>
      </c>
      <c r="S130" s="400"/>
      <c r="T130" s="400"/>
      <c r="U130" s="321"/>
      <c r="V130" s="321">
        <f t="shared" si="17"/>
        <v>0</v>
      </c>
      <c r="W130" s="407">
        <v>1.21</v>
      </c>
      <c r="X130" s="400"/>
      <c r="Y130" s="400"/>
      <c r="Z130" s="321"/>
      <c r="AA130" s="321">
        <f t="shared" si="18"/>
        <v>0</v>
      </c>
      <c r="AB130" s="407">
        <v>0.8</v>
      </c>
      <c r="AC130" s="400"/>
      <c r="AD130" s="400"/>
      <c r="AE130" s="321"/>
      <c r="AF130" s="321">
        <f t="shared" si="19"/>
        <v>0</v>
      </c>
      <c r="AG130" s="407">
        <v>0.87</v>
      </c>
      <c r="AH130" s="400"/>
      <c r="AI130" s="400"/>
      <c r="AJ130" s="321"/>
      <c r="AK130" s="321">
        <f t="shared" si="20"/>
        <v>0</v>
      </c>
      <c r="AL130" s="407">
        <v>0.88</v>
      </c>
      <c r="AM130" s="400"/>
      <c r="AN130" s="400"/>
      <c r="AO130" s="321"/>
      <c r="AP130" s="321">
        <f t="shared" si="21"/>
        <v>0</v>
      </c>
    </row>
    <row r="131" spans="1:42" ht="35.25" customHeight="1">
      <c r="A131" s="397"/>
      <c r="B131" s="398" t="s">
        <v>397</v>
      </c>
      <c r="C131" s="407">
        <v>0.66</v>
      </c>
      <c r="D131" s="400"/>
      <c r="E131" s="400"/>
      <c r="F131" s="321"/>
      <c r="G131" s="321">
        <f t="shared" si="0"/>
        <v>0</v>
      </c>
      <c r="H131" s="407">
        <v>0.23</v>
      </c>
      <c r="I131" s="400"/>
      <c r="J131" s="400"/>
      <c r="K131" s="321"/>
      <c r="L131" s="321">
        <f t="shared" si="15"/>
        <v>0</v>
      </c>
      <c r="M131" s="407">
        <v>1.05</v>
      </c>
      <c r="N131" s="400"/>
      <c r="O131" s="400"/>
      <c r="P131" s="321"/>
      <c r="Q131" s="321">
        <f t="shared" si="16"/>
        <v>0</v>
      </c>
      <c r="R131" s="407">
        <v>0.55000000000000004</v>
      </c>
      <c r="S131" s="400"/>
      <c r="T131" s="400"/>
      <c r="U131" s="321"/>
      <c r="V131" s="321">
        <f t="shared" si="17"/>
        <v>0</v>
      </c>
      <c r="W131" s="407">
        <v>0.85</v>
      </c>
      <c r="X131" s="400"/>
      <c r="Y131" s="400"/>
      <c r="Z131" s="321"/>
      <c r="AA131" s="321">
        <f t="shared" si="18"/>
        <v>0</v>
      </c>
      <c r="AB131" s="407">
        <v>0.54</v>
      </c>
      <c r="AC131" s="400"/>
      <c r="AD131" s="400"/>
      <c r="AE131" s="321"/>
      <c r="AF131" s="321">
        <f t="shared" si="19"/>
        <v>0</v>
      </c>
      <c r="AG131" s="407">
        <v>0.42</v>
      </c>
      <c r="AH131" s="400"/>
      <c r="AI131" s="400"/>
      <c r="AJ131" s="321"/>
      <c r="AK131" s="321">
        <f t="shared" si="20"/>
        <v>0</v>
      </c>
      <c r="AL131" s="407">
        <v>0.53</v>
      </c>
      <c r="AM131" s="400"/>
      <c r="AN131" s="400"/>
      <c r="AO131" s="321"/>
      <c r="AP131" s="321">
        <f t="shared" si="21"/>
        <v>0</v>
      </c>
    </row>
    <row r="132" spans="1:42" ht="35.25" customHeight="1">
      <c r="A132" s="397"/>
      <c r="B132" s="398" t="s">
        <v>398</v>
      </c>
      <c r="C132" s="407">
        <v>1.04</v>
      </c>
      <c r="D132" s="400"/>
      <c r="E132" s="400"/>
      <c r="F132" s="321"/>
      <c r="G132" s="321">
        <f t="shared" si="0"/>
        <v>0</v>
      </c>
      <c r="H132" s="407">
        <v>0.53</v>
      </c>
      <c r="I132" s="400"/>
      <c r="J132" s="400"/>
      <c r="K132" s="321"/>
      <c r="L132" s="321">
        <f t="shared" si="15"/>
        <v>0</v>
      </c>
      <c r="M132" s="407">
        <v>1.44</v>
      </c>
      <c r="N132" s="400"/>
      <c r="O132" s="400"/>
      <c r="P132" s="321"/>
      <c r="Q132" s="321">
        <f t="shared" si="16"/>
        <v>0</v>
      </c>
      <c r="R132" s="407">
        <v>0.8</v>
      </c>
      <c r="S132" s="400"/>
      <c r="T132" s="400"/>
      <c r="U132" s="321"/>
      <c r="V132" s="321">
        <f t="shared" si="17"/>
        <v>0</v>
      </c>
      <c r="W132" s="407">
        <v>1.1000000000000001</v>
      </c>
      <c r="X132" s="400"/>
      <c r="Y132" s="400"/>
      <c r="Z132" s="321"/>
      <c r="AA132" s="321">
        <f t="shared" si="18"/>
        <v>0</v>
      </c>
      <c r="AB132" s="407">
        <v>0.72</v>
      </c>
      <c r="AC132" s="400"/>
      <c r="AD132" s="400"/>
      <c r="AE132" s="321"/>
      <c r="AF132" s="321">
        <f t="shared" si="19"/>
        <v>0</v>
      </c>
      <c r="AG132" s="407">
        <v>0.73</v>
      </c>
      <c r="AH132" s="400"/>
      <c r="AI132" s="400"/>
      <c r="AJ132" s="321"/>
      <c r="AK132" s="321">
        <f t="shared" si="20"/>
        <v>0</v>
      </c>
      <c r="AL132" s="407">
        <v>0.77</v>
      </c>
      <c r="AM132" s="400"/>
      <c r="AN132" s="400"/>
      <c r="AO132" s="321"/>
      <c r="AP132" s="321">
        <f t="shared" si="21"/>
        <v>0</v>
      </c>
    </row>
    <row r="133" spans="1:42" ht="35.25" customHeight="1">
      <c r="A133" s="397"/>
      <c r="B133" s="398" t="s">
        <v>399</v>
      </c>
      <c r="C133" s="407">
        <v>1.01</v>
      </c>
      <c r="D133" s="400"/>
      <c r="E133" s="400"/>
      <c r="F133" s="321"/>
      <c r="G133" s="321">
        <f t="shared" si="0"/>
        <v>0</v>
      </c>
      <c r="H133" s="407">
        <v>0.51</v>
      </c>
      <c r="I133" s="400"/>
      <c r="J133" s="400"/>
      <c r="K133" s="321"/>
      <c r="L133" s="321">
        <f t="shared" si="15"/>
        <v>0</v>
      </c>
      <c r="M133" s="407">
        <v>1.41</v>
      </c>
      <c r="N133" s="400"/>
      <c r="O133" s="400"/>
      <c r="P133" s="321"/>
      <c r="Q133" s="321">
        <f t="shared" si="16"/>
        <v>0</v>
      </c>
      <c r="R133" s="407">
        <v>0.78</v>
      </c>
      <c r="S133" s="400"/>
      <c r="T133" s="400"/>
      <c r="U133" s="321"/>
      <c r="V133" s="321">
        <f t="shared" si="17"/>
        <v>0</v>
      </c>
      <c r="W133" s="407">
        <v>1.08</v>
      </c>
      <c r="X133" s="400"/>
      <c r="Y133" s="400"/>
      <c r="Z133" s="321"/>
      <c r="AA133" s="321">
        <f t="shared" si="18"/>
        <v>0</v>
      </c>
      <c r="AB133" s="407">
        <v>0.71</v>
      </c>
      <c r="AC133" s="400"/>
      <c r="AD133" s="400"/>
      <c r="AE133" s="321"/>
      <c r="AF133" s="321">
        <f t="shared" si="19"/>
        <v>0</v>
      </c>
      <c r="AG133" s="407">
        <v>0.71</v>
      </c>
      <c r="AH133" s="400"/>
      <c r="AI133" s="400"/>
      <c r="AJ133" s="321"/>
      <c r="AK133" s="321">
        <f t="shared" si="20"/>
        <v>0</v>
      </c>
      <c r="AL133" s="407">
        <v>0.76</v>
      </c>
      <c r="AM133" s="400"/>
      <c r="AN133" s="400"/>
      <c r="AO133" s="321"/>
      <c r="AP133" s="321">
        <f t="shared" si="21"/>
        <v>0</v>
      </c>
    </row>
    <row r="134" spans="1:42" ht="35.25" customHeight="1">
      <c r="A134" s="397"/>
      <c r="B134" s="398" t="s">
        <v>400</v>
      </c>
      <c r="C134" s="407">
        <v>1.18</v>
      </c>
      <c r="D134" s="400"/>
      <c r="E134" s="400"/>
      <c r="F134" s="321"/>
      <c r="G134" s="321">
        <f t="shared" si="0"/>
        <v>0</v>
      </c>
      <c r="H134" s="407">
        <v>0.64</v>
      </c>
      <c r="I134" s="400"/>
      <c r="J134" s="400"/>
      <c r="K134" s="321"/>
      <c r="L134" s="321">
        <f t="shared" si="15"/>
        <v>0</v>
      </c>
      <c r="M134" s="407">
        <v>1.59</v>
      </c>
      <c r="N134" s="400"/>
      <c r="O134" s="400"/>
      <c r="P134" s="321"/>
      <c r="Q134" s="321">
        <f t="shared" si="16"/>
        <v>0</v>
      </c>
      <c r="R134" s="407">
        <v>0.89</v>
      </c>
      <c r="S134" s="400"/>
      <c r="T134" s="400"/>
      <c r="U134" s="321"/>
      <c r="V134" s="321">
        <f t="shared" si="17"/>
        <v>0</v>
      </c>
      <c r="W134" s="407">
        <v>1.19</v>
      </c>
      <c r="X134" s="400"/>
      <c r="Y134" s="400"/>
      <c r="Z134" s="321"/>
      <c r="AA134" s="321">
        <f t="shared" si="18"/>
        <v>0</v>
      </c>
      <c r="AB134" s="407">
        <v>0.79</v>
      </c>
      <c r="AC134" s="400"/>
      <c r="AD134" s="400"/>
      <c r="AE134" s="321"/>
      <c r="AF134" s="321">
        <f t="shared" si="19"/>
        <v>0</v>
      </c>
      <c r="AG134" s="407">
        <v>0.85</v>
      </c>
      <c r="AH134" s="400"/>
      <c r="AI134" s="400"/>
      <c r="AJ134" s="321"/>
      <c r="AK134" s="321">
        <f t="shared" si="20"/>
        <v>0</v>
      </c>
      <c r="AL134" s="407">
        <v>0.87</v>
      </c>
      <c r="AM134" s="400"/>
      <c r="AN134" s="400"/>
      <c r="AO134" s="321"/>
      <c r="AP134" s="321">
        <f t="shared" si="21"/>
        <v>0</v>
      </c>
    </row>
    <row r="135" spans="1:42" ht="35.25" customHeight="1">
      <c r="A135" s="397"/>
      <c r="B135" s="398" t="s">
        <v>401</v>
      </c>
      <c r="C135" s="407">
        <v>2.2400000000000002</v>
      </c>
      <c r="D135" s="400"/>
      <c r="E135" s="400"/>
      <c r="F135" s="321"/>
      <c r="G135" s="321">
        <f t="shared" si="0"/>
        <v>0</v>
      </c>
      <c r="H135" s="407">
        <v>1.48</v>
      </c>
      <c r="I135" s="400"/>
      <c r="J135" s="400"/>
      <c r="K135" s="321"/>
      <c r="L135" s="321">
        <f t="shared" si="15"/>
        <v>0</v>
      </c>
      <c r="M135" s="407">
        <v>2.68</v>
      </c>
      <c r="N135" s="400"/>
      <c r="O135" s="400"/>
      <c r="P135" s="321"/>
      <c r="Q135" s="321">
        <f t="shared" si="16"/>
        <v>0</v>
      </c>
      <c r="R135" s="407">
        <v>1.6</v>
      </c>
      <c r="S135" s="400"/>
      <c r="T135" s="400"/>
      <c r="U135" s="321"/>
      <c r="V135" s="321">
        <f t="shared" si="17"/>
        <v>0</v>
      </c>
      <c r="W135" s="407">
        <v>1.89</v>
      </c>
      <c r="X135" s="400"/>
      <c r="Y135" s="400"/>
      <c r="Z135" s="321"/>
      <c r="AA135" s="321">
        <f t="shared" si="18"/>
        <v>0</v>
      </c>
      <c r="AB135" s="407">
        <v>1.31</v>
      </c>
      <c r="AC135" s="400"/>
      <c r="AD135" s="400"/>
      <c r="AE135" s="321"/>
      <c r="AF135" s="321">
        <f t="shared" si="19"/>
        <v>0</v>
      </c>
      <c r="AG135" s="407">
        <v>1.73</v>
      </c>
      <c r="AH135" s="400"/>
      <c r="AI135" s="400"/>
      <c r="AJ135" s="321"/>
      <c r="AK135" s="321">
        <f t="shared" si="20"/>
        <v>0</v>
      </c>
      <c r="AL135" s="423">
        <v>0.55000000000000004</v>
      </c>
      <c r="AM135" s="400"/>
      <c r="AN135" s="400"/>
      <c r="AO135" s="321"/>
      <c r="AP135" s="321">
        <f t="shared" si="21"/>
        <v>0</v>
      </c>
    </row>
    <row r="136" spans="1:42" ht="35.25" customHeight="1">
      <c r="A136" s="397"/>
      <c r="B136" s="398" t="s">
        <v>483</v>
      </c>
      <c r="C136" s="407">
        <v>1.59</v>
      </c>
      <c r="D136" s="400"/>
      <c r="E136" s="400"/>
      <c r="F136" s="321"/>
      <c r="G136" s="321">
        <f t="shared" si="0"/>
        <v>0</v>
      </c>
      <c r="H136" s="407">
        <v>0.92</v>
      </c>
      <c r="I136" s="400"/>
      <c r="J136" s="400"/>
      <c r="K136" s="321"/>
      <c r="L136" s="321">
        <f t="shared" si="15"/>
        <v>0</v>
      </c>
      <c r="M136" s="407">
        <v>1.95</v>
      </c>
      <c r="N136" s="400"/>
      <c r="O136" s="400"/>
      <c r="P136" s="321"/>
      <c r="Q136" s="321">
        <f t="shared" si="16"/>
        <v>0</v>
      </c>
      <c r="R136" s="407">
        <v>1.1299999999999999</v>
      </c>
      <c r="S136" s="400"/>
      <c r="T136" s="400"/>
      <c r="U136" s="321"/>
      <c r="V136" s="321">
        <f t="shared" si="17"/>
        <v>0</v>
      </c>
      <c r="W136" s="407">
        <v>1.42</v>
      </c>
      <c r="X136" s="400"/>
      <c r="Y136" s="400"/>
      <c r="Z136" s="321"/>
      <c r="AA136" s="321">
        <f t="shared" si="18"/>
        <v>0</v>
      </c>
      <c r="AB136" s="407">
        <v>0.96</v>
      </c>
      <c r="AC136" s="400"/>
      <c r="AD136" s="400"/>
      <c r="AE136" s="321"/>
      <c r="AF136" s="321">
        <f t="shared" si="19"/>
        <v>0</v>
      </c>
      <c r="AG136" s="407">
        <v>1.1399999999999999</v>
      </c>
      <c r="AH136" s="400"/>
      <c r="AI136" s="400"/>
      <c r="AJ136" s="321"/>
      <c r="AK136" s="321">
        <f t="shared" si="20"/>
        <v>0</v>
      </c>
      <c r="AL136" s="407">
        <v>1.0900000000000001</v>
      </c>
      <c r="AM136" s="400"/>
      <c r="AN136" s="400"/>
      <c r="AO136" s="321"/>
      <c r="AP136" s="321">
        <f t="shared" si="21"/>
        <v>0</v>
      </c>
    </row>
    <row r="137" spans="1:42" ht="35.25" customHeight="1">
      <c r="A137" s="397"/>
      <c r="B137" s="398" t="s">
        <v>403</v>
      </c>
      <c r="C137" s="407">
        <v>1.98</v>
      </c>
      <c r="D137" s="400"/>
      <c r="E137" s="400"/>
      <c r="F137" s="321"/>
      <c r="G137" s="321">
        <f t="shared" si="0"/>
        <v>0</v>
      </c>
      <c r="H137" s="407">
        <v>1.27</v>
      </c>
      <c r="I137" s="400"/>
      <c r="J137" s="400"/>
      <c r="K137" s="321"/>
      <c r="L137" s="321">
        <f t="shared" si="15"/>
        <v>0</v>
      </c>
      <c r="M137" s="407">
        <v>2.41</v>
      </c>
      <c r="N137" s="400"/>
      <c r="O137" s="400"/>
      <c r="P137" s="321"/>
      <c r="Q137" s="321">
        <f t="shared" si="16"/>
        <v>0</v>
      </c>
      <c r="R137" s="407">
        <v>1.43</v>
      </c>
      <c r="S137" s="400"/>
      <c r="T137" s="400"/>
      <c r="U137" s="321"/>
      <c r="V137" s="321">
        <f t="shared" si="17"/>
        <v>0</v>
      </c>
      <c r="W137" s="407">
        <v>1.72</v>
      </c>
      <c r="X137" s="400"/>
      <c r="Y137" s="400"/>
      <c r="Z137" s="321"/>
      <c r="AA137" s="321">
        <f t="shared" si="18"/>
        <v>0</v>
      </c>
      <c r="AB137" s="407">
        <v>1.18</v>
      </c>
      <c r="AC137" s="400"/>
      <c r="AD137" s="400"/>
      <c r="AE137" s="321"/>
      <c r="AF137" s="321">
        <f t="shared" si="19"/>
        <v>0</v>
      </c>
      <c r="AG137" s="407">
        <v>1.51</v>
      </c>
      <c r="AH137" s="400"/>
      <c r="AI137" s="400"/>
      <c r="AJ137" s="321"/>
      <c r="AK137" s="321">
        <f t="shared" si="20"/>
        <v>0</v>
      </c>
      <c r="AL137" s="407">
        <v>1.38</v>
      </c>
      <c r="AM137" s="400"/>
      <c r="AN137" s="400"/>
      <c r="AO137" s="321"/>
      <c r="AP137" s="321">
        <f t="shared" si="21"/>
        <v>0</v>
      </c>
    </row>
    <row r="138" spans="1:42" ht="35.25" customHeight="1">
      <c r="A138" s="397"/>
      <c r="B138" s="398" t="s">
        <v>404</v>
      </c>
      <c r="C138" s="407">
        <v>2.0499999999999998</v>
      </c>
      <c r="D138" s="400"/>
      <c r="E138" s="400"/>
      <c r="F138" s="321"/>
      <c r="G138" s="321">
        <f t="shared" si="0"/>
        <v>0</v>
      </c>
      <c r="H138" s="407">
        <v>1.33</v>
      </c>
      <c r="I138" s="400"/>
      <c r="J138" s="400"/>
      <c r="K138" s="321"/>
      <c r="L138" s="321">
        <f t="shared" si="15"/>
        <v>0</v>
      </c>
      <c r="M138" s="407">
        <v>2.4900000000000002</v>
      </c>
      <c r="N138" s="400"/>
      <c r="O138" s="400"/>
      <c r="P138" s="321"/>
      <c r="Q138" s="321">
        <f t="shared" si="16"/>
        <v>0</v>
      </c>
      <c r="R138" s="407">
        <v>4.47</v>
      </c>
      <c r="S138" s="400"/>
      <c r="T138" s="400"/>
      <c r="U138" s="321"/>
      <c r="V138" s="321">
        <f t="shared" si="17"/>
        <v>0</v>
      </c>
      <c r="W138" s="407">
        <v>1.77</v>
      </c>
      <c r="X138" s="400"/>
      <c r="Y138" s="400"/>
      <c r="Z138" s="321"/>
      <c r="AA138" s="321">
        <f t="shared" si="18"/>
        <v>0</v>
      </c>
      <c r="AB138" s="407">
        <v>1.22</v>
      </c>
      <c r="AC138" s="400"/>
      <c r="AD138" s="400"/>
      <c r="AE138" s="321"/>
      <c r="AF138" s="321">
        <f t="shared" si="19"/>
        <v>0</v>
      </c>
      <c r="AG138" s="407">
        <v>1.57</v>
      </c>
      <c r="AH138" s="400"/>
      <c r="AI138" s="400"/>
      <c r="AJ138" s="321"/>
      <c r="AK138" s="321">
        <f t="shared" si="20"/>
        <v>0</v>
      </c>
      <c r="AL138" s="407">
        <v>1.43</v>
      </c>
      <c r="AM138" s="400"/>
      <c r="AN138" s="400"/>
      <c r="AO138" s="321"/>
      <c r="AP138" s="321">
        <f t="shared" si="21"/>
        <v>0</v>
      </c>
    </row>
    <row r="139" spans="1:42" ht="35.25" customHeight="1">
      <c r="A139" s="397"/>
      <c r="B139" s="398" t="s">
        <v>484</v>
      </c>
      <c r="C139" s="407">
        <v>2.1</v>
      </c>
      <c r="D139" s="400"/>
      <c r="E139" s="400"/>
      <c r="F139" s="321"/>
      <c r="G139" s="321">
        <f t="shared" si="0"/>
        <v>0</v>
      </c>
      <c r="H139" s="407">
        <v>1.37</v>
      </c>
      <c r="I139" s="400"/>
      <c r="J139" s="400"/>
      <c r="K139" s="321"/>
      <c r="L139" s="321">
        <f t="shared" si="15"/>
        <v>0</v>
      </c>
      <c r="M139" s="407">
        <v>2.54</v>
      </c>
      <c r="N139" s="400"/>
      <c r="O139" s="400"/>
      <c r="P139" s="321"/>
      <c r="Q139" s="321">
        <f t="shared" si="16"/>
        <v>0</v>
      </c>
      <c r="R139" s="407">
        <v>1.51</v>
      </c>
      <c r="S139" s="400"/>
      <c r="T139" s="400"/>
      <c r="U139" s="321"/>
      <c r="V139" s="321">
        <f t="shared" si="17"/>
        <v>0</v>
      </c>
      <c r="W139" s="407">
        <v>1.8</v>
      </c>
      <c r="X139" s="400"/>
      <c r="Y139" s="400"/>
      <c r="Z139" s="321"/>
      <c r="AA139" s="321">
        <f t="shared" si="18"/>
        <v>0</v>
      </c>
      <c r="AB139" s="407">
        <v>1.24</v>
      </c>
      <c r="AC139" s="400"/>
      <c r="AD139" s="400"/>
      <c r="AE139" s="321"/>
      <c r="AF139" s="321">
        <f t="shared" si="19"/>
        <v>0</v>
      </c>
      <c r="AG139" s="407">
        <v>1.61</v>
      </c>
      <c r="AH139" s="400"/>
      <c r="AI139" s="400"/>
      <c r="AJ139" s="321"/>
      <c r="AK139" s="321">
        <f t="shared" si="20"/>
        <v>0</v>
      </c>
      <c r="AL139" s="407">
        <v>1.46</v>
      </c>
      <c r="AM139" s="400"/>
      <c r="AN139" s="400"/>
      <c r="AO139" s="321"/>
      <c r="AP139" s="321">
        <f t="shared" si="21"/>
        <v>0</v>
      </c>
    </row>
    <row r="140" spans="1:42" ht="35.25" customHeight="1">
      <c r="A140" s="397"/>
      <c r="B140" s="398" t="s">
        <v>406</v>
      </c>
      <c r="C140" s="407">
        <v>5.89</v>
      </c>
      <c r="D140" s="400"/>
      <c r="E140" s="400"/>
      <c r="F140" s="321"/>
      <c r="G140" s="321">
        <f t="shared" si="0"/>
        <v>0</v>
      </c>
      <c r="H140" s="407">
        <v>4.37</v>
      </c>
      <c r="I140" s="400"/>
      <c r="J140" s="400"/>
      <c r="K140" s="321"/>
      <c r="L140" s="321">
        <f t="shared" si="15"/>
        <v>0</v>
      </c>
      <c r="M140" s="407">
        <v>6.44</v>
      </c>
      <c r="N140" s="400"/>
      <c r="O140" s="400"/>
      <c r="P140" s="321"/>
      <c r="Q140" s="321">
        <f t="shared" si="16"/>
        <v>0</v>
      </c>
      <c r="R140" s="407">
        <v>4.03</v>
      </c>
      <c r="S140" s="400"/>
      <c r="T140" s="400"/>
      <c r="U140" s="321"/>
      <c r="V140" s="321">
        <f t="shared" si="17"/>
        <v>0</v>
      </c>
      <c r="W140" s="407">
        <v>4.29</v>
      </c>
      <c r="X140" s="400"/>
      <c r="Y140" s="400"/>
      <c r="Z140" s="321"/>
      <c r="AA140" s="321">
        <f t="shared" si="18"/>
        <v>0</v>
      </c>
      <c r="AB140" s="407">
        <v>3.1</v>
      </c>
      <c r="AC140" s="400"/>
      <c r="AD140" s="400"/>
      <c r="AE140" s="321"/>
      <c r="AF140" s="321">
        <f t="shared" si="19"/>
        <v>0</v>
      </c>
      <c r="AG140" s="407">
        <v>4.76</v>
      </c>
      <c r="AH140" s="400"/>
      <c r="AI140" s="400"/>
      <c r="AJ140" s="321"/>
      <c r="AK140" s="321">
        <f t="shared" si="20"/>
        <v>0</v>
      </c>
      <c r="AL140" s="407">
        <v>3.91</v>
      </c>
      <c r="AM140" s="400"/>
      <c r="AN140" s="400"/>
      <c r="AO140" s="321"/>
      <c r="AP140" s="321">
        <f t="shared" si="21"/>
        <v>0</v>
      </c>
    </row>
    <row r="141" spans="1:42" ht="35.25" customHeight="1">
      <c r="A141" s="397"/>
      <c r="B141" s="398" t="s">
        <v>407</v>
      </c>
      <c r="C141" s="407">
        <v>2.2200000000000002</v>
      </c>
      <c r="D141" s="400"/>
      <c r="E141" s="400"/>
      <c r="F141" s="321"/>
      <c r="G141" s="321">
        <f t="shared" si="0"/>
        <v>0</v>
      </c>
      <c r="H141" s="407">
        <v>1.46</v>
      </c>
      <c r="I141" s="400"/>
      <c r="J141" s="400"/>
      <c r="K141" s="321"/>
      <c r="L141" s="321">
        <f t="shared" si="15"/>
        <v>0</v>
      </c>
      <c r="M141" s="407">
        <v>2.66</v>
      </c>
      <c r="N141" s="400"/>
      <c r="O141" s="400"/>
      <c r="P141" s="321"/>
      <c r="Q141" s="321">
        <f t="shared" si="16"/>
        <v>0</v>
      </c>
      <c r="R141" s="407">
        <v>1.59</v>
      </c>
      <c r="S141" s="400"/>
      <c r="T141" s="400"/>
      <c r="U141" s="321"/>
      <c r="V141" s="321">
        <f t="shared" si="17"/>
        <v>0</v>
      </c>
      <c r="W141" s="407">
        <v>1.88</v>
      </c>
      <c r="X141" s="400"/>
      <c r="Y141" s="400"/>
      <c r="Z141" s="321"/>
      <c r="AA141" s="321">
        <f t="shared" si="18"/>
        <v>0</v>
      </c>
      <c r="AB141" s="407">
        <v>1.3</v>
      </c>
      <c r="AC141" s="400"/>
      <c r="AD141" s="400"/>
      <c r="AE141" s="321"/>
      <c r="AF141" s="321">
        <f t="shared" si="19"/>
        <v>0</v>
      </c>
      <c r="AG141" s="407">
        <v>1.71</v>
      </c>
      <c r="AH141" s="400"/>
      <c r="AI141" s="400"/>
      <c r="AJ141" s="321"/>
      <c r="AK141" s="321">
        <f t="shared" si="20"/>
        <v>0</v>
      </c>
      <c r="AL141" s="407">
        <v>1.54</v>
      </c>
      <c r="AM141" s="400"/>
      <c r="AN141" s="400"/>
      <c r="AO141" s="321"/>
      <c r="AP141" s="321">
        <f t="shared" si="21"/>
        <v>0</v>
      </c>
    </row>
    <row r="142" spans="1:42" ht="35.25" customHeight="1">
      <c r="A142" s="397"/>
      <c r="B142" s="398" t="s">
        <v>408</v>
      </c>
      <c r="C142" s="407">
        <v>1.95</v>
      </c>
      <c r="D142" s="400"/>
      <c r="E142" s="400"/>
      <c r="F142" s="321">
        <v>100</v>
      </c>
      <c r="G142" s="321">
        <f t="shared" si="0"/>
        <v>1.95</v>
      </c>
      <c r="H142" s="407">
        <v>1.23</v>
      </c>
      <c r="I142" s="400"/>
      <c r="J142" s="400"/>
      <c r="K142" s="321"/>
      <c r="L142" s="321">
        <f t="shared" si="15"/>
        <v>0</v>
      </c>
      <c r="M142" s="407">
        <v>2.2999999999999998</v>
      </c>
      <c r="N142" s="400"/>
      <c r="O142" s="400"/>
      <c r="P142" s="321"/>
      <c r="Q142" s="321">
        <f t="shared" si="16"/>
        <v>0</v>
      </c>
      <c r="R142" s="407">
        <v>1.35</v>
      </c>
      <c r="S142" s="400"/>
      <c r="T142" s="400"/>
      <c r="U142" s="321"/>
      <c r="V142" s="321">
        <f t="shared" si="17"/>
        <v>0</v>
      </c>
      <c r="W142" s="407">
        <v>1.65</v>
      </c>
      <c r="X142" s="400"/>
      <c r="Y142" s="400"/>
      <c r="Z142" s="321"/>
      <c r="AA142" s="321">
        <f t="shared" si="18"/>
        <v>0</v>
      </c>
      <c r="AB142" s="407">
        <v>1.1299999999999999</v>
      </c>
      <c r="AC142" s="400"/>
      <c r="AD142" s="400"/>
      <c r="AE142" s="321"/>
      <c r="AF142" s="321">
        <f t="shared" si="19"/>
        <v>0</v>
      </c>
      <c r="AG142" s="407">
        <v>1.42</v>
      </c>
      <c r="AH142" s="400"/>
      <c r="AI142" s="400"/>
      <c r="AJ142" s="321"/>
      <c r="AK142" s="321">
        <f t="shared" si="20"/>
        <v>0</v>
      </c>
      <c r="AL142" s="407">
        <v>1.31</v>
      </c>
      <c r="AM142" s="400"/>
      <c r="AN142" s="400"/>
      <c r="AO142" s="321"/>
      <c r="AP142" s="321">
        <f t="shared" si="21"/>
        <v>0</v>
      </c>
    </row>
    <row r="143" spans="1:42" ht="35.25" customHeight="1">
      <c r="A143" s="397"/>
      <c r="B143" s="398" t="s">
        <v>409</v>
      </c>
      <c r="C143" s="407">
        <v>0.86</v>
      </c>
      <c r="D143" s="400"/>
      <c r="E143" s="400"/>
      <c r="F143" s="321"/>
      <c r="G143" s="321">
        <f t="shared" si="0"/>
        <v>0</v>
      </c>
      <c r="H143" s="407">
        <v>0.38</v>
      </c>
      <c r="I143" s="400"/>
      <c r="J143" s="400"/>
      <c r="K143" s="321"/>
      <c r="L143" s="321">
        <f t="shared" si="15"/>
        <v>0</v>
      </c>
      <c r="M143" s="407">
        <v>1.25</v>
      </c>
      <c r="N143" s="400"/>
      <c r="O143" s="400"/>
      <c r="P143" s="321"/>
      <c r="Q143" s="321">
        <f t="shared" si="16"/>
        <v>0</v>
      </c>
      <c r="R143" s="407">
        <v>0.68</v>
      </c>
      <c r="S143" s="400"/>
      <c r="T143" s="400"/>
      <c r="U143" s="321"/>
      <c r="V143" s="321">
        <f t="shared" si="17"/>
        <v>0</v>
      </c>
      <c r="W143" s="407">
        <v>0.98</v>
      </c>
      <c r="X143" s="400"/>
      <c r="Y143" s="400"/>
      <c r="Z143" s="321"/>
      <c r="AA143" s="321">
        <f t="shared" si="18"/>
        <v>0</v>
      </c>
      <c r="AB143" s="407">
        <v>0.63</v>
      </c>
      <c r="AC143" s="400"/>
      <c r="AD143" s="400"/>
      <c r="AE143" s="321"/>
      <c r="AF143" s="321">
        <f t="shared" si="19"/>
        <v>0</v>
      </c>
      <c r="AG143" s="407">
        <v>0.57999999999999996</v>
      </c>
      <c r="AH143" s="400"/>
      <c r="AI143" s="400"/>
      <c r="AJ143" s="321"/>
      <c r="AK143" s="321">
        <f t="shared" si="20"/>
        <v>0</v>
      </c>
      <c r="AL143" s="407">
        <v>0.66</v>
      </c>
      <c r="AM143" s="400"/>
      <c r="AN143" s="400"/>
      <c r="AO143" s="321"/>
      <c r="AP143" s="321">
        <f t="shared" si="21"/>
        <v>0</v>
      </c>
    </row>
    <row r="144" spans="1:42" ht="35.25" customHeight="1">
      <c r="A144" s="397"/>
      <c r="B144" s="398" t="s">
        <v>410</v>
      </c>
      <c r="C144" s="407">
        <v>2.0499999999999998</v>
      </c>
      <c r="D144" s="400"/>
      <c r="E144" s="400"/>
      <c r="F144" s="321"/>
      <c r="G144" s="321">
        <f t="shared" si="0"/>
        <v>0</v>
      </c>
      <c r="H144" s="407">
        <v>1.33</v>
      </c>
      <c r="I144" s="400"/>
      <c r="J144" s="400"/>
      <c r="K144" s="321"/>
      <c r="L144" s="321">
        <f t="shared" si="15"/>
        <v>0</v>
      </c>
      <c r="M144" s="407">
        <v>2.48</v>
      </c>
      <c r="N144" s="400"/>
      <c r="O144" s="400"/>
      <c r="P144" s="321"/>
      <c r="Q144" s="321">
        <f t="shared" si="16"/>
        <v>0</v>
      </c>
      <c r="R144" s="407">
        <v>1.47</v>
      </c>
      <c r="S144" s="400"/>
      <c r="T144" s="400"/>
      <c r="U144" s="321"/>
      <c r="V144" s="321">
        <f t="shared" si="17"/>
        <v>0</v>
      </c>
      <c r="W144" s="407">
        <v>1.76</v>
      </c>
      <c r="X144" s="400"/>
      <c r="Y144" s="400"/>
      <c r="Z144" s="321"/>
      <c r="AA144" s="321">
        <f t="shared" si="18"/>
        <v>0</v>
      </c>
      <c r="AB144" s="407">
        <v>1.22</v>
      </c>
      <c r="AC144" s="400"/>
      <c r="AD144" s="400"/>
      <c r="AE144" s="321"/>
      <c r="AF144" s="321">
        <f t="shared" si="19"/>
        <v>0</v>
      </c>
      <c r="AG144" s="407">
        <v>1.57</v>
      </c>
      <c r="AH144" s="400"/>
      <c r="AI144" s="400"/>
      <c r="AJ144" s="321"/>
      <c r="AK144" s="321">
        <f t="shared" si="20"/>
        <v>0</v>
      </c>
      <c r="AL144" s="407">
        <v>1.43</v>
      </c>
      <c r="AM144" s="400"/>
      <c r="AN144" s="400"/>
      <c r="AO144" s="321"/>
      <c r="AP144" s="321">
        <f t="shared" si="21"/>
        <v>0</v>
      </c>
    </row>
    <row r="145" spans="1:42" ht="35.25" customHeight="1">
      <c r="A145" s="397"/>
      <c r="B145" s="398" t="s">
        <v>411</v>
      </c>
      <c r="C145" s="407">
        <v>1.02</v>
      </c>
      <c r="D145" s="400"/>
      <c r="E145" s="400"/>
      <c r="F145" s="321"/>
      <c r="G145" s="321">
        <f t="shared" si="0"/>
        <v>0</v>
      </c>
      <c r="H145" s="407">
        <v>0.52</v>
      </c>
      <c r="I145" s="400"/>
      <c r="J145" s="400"/>
      <c r="K145" s="321"/>
      <c r="L145" s="321">
        <f t="shared" si="15"/>
        <v>0</v>
      </c>
      <c r="M145" s="407">
        <v>1.43</v>
      </c>
      <c r="N145" s="400"/>
      <c r="O145" s="400"/>
      <c r="P145" s="321"/>
      <c r="Q145" s="321">
        <f t="shared" si="16"/>
        <v>0</v>
      </c>
      <c r="R145" s="407">
        <v>0.79</v>
      </c>
      <c r="S145" s="400"/>
      <c r="T145" s="400"/>
      <c r="U145" s="321"/>
      <c r="V145" s="321">
        <f t="shared" si="17"/>
        <v>0</v>
      </c>
      <c r="W145" s="407">
        <v>1.0900000000000001</v>
      </c>
      <c r="X145" s="400"/>
      <c r="Y145" s="400"/>
      <c r="Z145" s="321"/>
      <c r="AA145" s="321">
        <f t="shared" si="18"/>
        <v>0</v>
      </c>
      <c r="AB145" s="407">
        <v>0.71</v>
      </c>
      <c r="AC145" s="400"/>
      <c r="AD145" s="400"/>
      <c r="AE145" s="321"/>
      <c r="AF145" s="321">
        <f t="shared" si="19"/>
        <v>0</v>
      </c>
      <c r="AG145" s="407">
        <v>0.72</v>
      </c>
      <c r="AH145" s="400"/>
      <c r="AI145" s="400"/>
      <c r="AJ145" s="321"/>
      <c r="AK145" s="321">
        <f t="shared" si="20"/>
        <v>0</v>
      </c>
      <c r="AL145" s="407">
        <v>0.76</v>
      </c>
      <c r="AM145" s="400"/>
      <c r="AN145" s="400"/>
      <c r="AO145" s="321"/>
      <c r="AP145" s="321">
        <f t="shared" si="21"/>
        <v>0</v>
      </c>
    </row>
    <row r="146" spans="1:42" ht="35.25" customHeight="1">
      <c r="A146" s="397"/>
      <c r="B146" s="398" t="s">
        <v>412</v>
      </c>
      <c r="C146" s="407">
        <v>1.1000000000000001</v>
      </c>
      <c r="D146" s="400"/>
      <c r="E146" s="400"/>
      <c r="F146" s="321"/>
      <c r="G146" s="321">
        <f t="shared" si="0"/>
        <v>0</v>
      </c>
      <c r="H146" s="407">
        <v>0.57999999999999996</v>
      </c>
      <c r="I146" s="400"/>
      <c r="J146" s="400"/>
      <c r="K146" s="321"/>
      <c r="L146" s="321">
        <f t="shared" si="15"/>
        <v>0</v>
      </c>
      <c r="M146" s="407">
        <v>1.51</v>
      </c>
      <c r="N146" s="400"/>
      <c r="O146" s="400"/>
      <c r="P146" s="321"/>
      <c r="Q146" s="321">
        <f t="shared" si="16"/>
        <v>0</v>
      </c>
      <c r="R146" s="407">
        <v>0.84</v>
      </c>
      <c r="S146" s="400"/>
      <c r="T146" s="400"/>
      <c r="U146" s="321"/>
      <c r="V146" s="321">
        <f t="shared" si="17"/>
        <v>0</v>
      </c>
      <c r="W146" s="407">
        <v>1.1399999999999999</v>
      </c>
      <c r="X146" s="400"/>
      <c r="Y146" s="400"/>
      <c r="Z146" s="321"/>
      <c r="AA146" s="321">
        <f t="shared" si="18"/>
        <v>0</v>
      </c>
      <c r="AB146" s="407">
        <v>0.75</v>
      </c>
      <c r="AC146" s="400"/>
      <c r="AD146" s="400"/>
      <c r="AE146" s="321"/>
      <c r="AF146" s="321">
        <f t="shared" si="19"/>
        <v>0</v>
      </c>
      <c r="AG146" s="407">
        <v>0.78</v>
      </c>
      <c r="AH146" s="400"/>
      <c r="AI146" s="400"/>
      <c r="AJ146" s="321"/>
      <c r="AK146" s="321">
        <f t="shared" si="20"/>
        <v>0</v>
      </c>
      <c r="AL146" s="407">
        <v>0.81</v>
      </c>
      <c r="AM146" s="400"/>
      <c r="AN146" s="400"/>
      <c r="AO146" s="321"/>
      <c r="AP146" s="321">
        <f t="shared" si="21"/>
        <v>0</v>
      </c>
    </row>
    <row r="147" spans="1:42" ht="35.25" customHeight="1">
      <c r="A147" s="397"/>
      <c r="B147" s="398" t="s">
        <v>413</v>
      </c>
      <c r="C147" s="407">
        <v>1.27</v>
      </c>
      <c r="D147" s="400"/>
      <c r="E147" s="400"/>
      <c r="F147" s="321"/>
      <c r="G147" s="321">
        <f t="shared" si="0"/>
        <v>0</v>
      </c>
      <c r="H147" s="407">
        <v>0.71</v>
      </c>
      <c r="I147" s="400"/>
      <c r="J147" s="400"/>
      <c r="K147" s="321"/>
      <c r="L147" s="321">
        <f t="shared" si="15"/>
        <v>0</v>
      </c>
      <c r="M147" s="407">
        <v>1.68</v>
      </c>
      <c r="N147" s="400"/>
      <c r="O147" s="400"/>
      <c r="P147" s="321"/>
      <c r="Q147" s="321">
        <f t="shared" si="16"/>
        <v>0</v>
      </c>
      <c r="R147" s="407">
        <v>0.95</v>
      </c>
      <c r="S147" s="400"/>
      <c r="T147" s="400"/>
      <c r="U147" s="321"/>
      <c r="V147" s="321">
        <f t="shared" si="17"/>
        <v>0</v>
      </c>
      <c r="W147" s="407">
        <v>1.25</v>
      </c>
      <c r="X147" s="400"/>
      <c r="Y147" s="400"/>
      <c r="Z147" s="321"/>
      <c r="AA147" s="321">
        <f t="shared" si="18"/>
        <v>0</v>
      </c>
      <c r="AB147" s="407">
        <v>0.84</v>
      </c>
      <c r="AC147" s="400"/>
      <c r="AD147" s="400"/>
      <c r="AE147" s="321"/>
      <c r="AF147" s="321">
        <f t="shared" si="19"/>
        <v>0</v>
      </c>
      <c r="AG147" s="407">
        <v>0.92</v>
      </c>
      <c r="AH147" s="400"/>
      <c r="AI147" s="400"/>
      <c r="AJ147" s="321"/>
      <c r="AK147" s="321">
        <f t="shared" si="20"/>
        <v>0</v>
      </c>
      <c r="AL147" s="407">
        <v>0.92</v>
      </c>
      <c r="AM147" s="400"/>
      <c r="AN147" s="400"/>
      <c r="AO147" s="321"/>
      <c r="AP147" s="321">
        <f t="shared" si="21"/>
        <v>0</v>
      </c>
    </row>
    <row r="148" spans="1:42" ht="35.25" customHeight="1">
      <c r="A148" s="397"/>
      <c r="B148" s="398" t="s">
        <v>414</v>
      </c>
      <c r="C148" s="407">
        <v>0.64</v>
      </c>
      <c r="D148" s="400"/>
      <c r="E148" s="400"/>
      <c r="F148" s="321"/>
      <c r="G148" s="321">
        <f t="shared" si="0"/>
        <v>0</v>
      </c>
      <c r="H148" s="407">
        <v>0.22</v>
      </c>
      <c r="I148" s="400"/>
      <c r="J148" s="400"/>
      <c r="K148" s="321"/>
      <c r="L148" s="321">
        <f t="shared" si="15"/>
        <v>0</v>
      </c>
      <c r="M148" s="407">
        <v>1.03</v>
      </c>
      <c r="N148" s="400"/>
      <c r="O148" s="400"/>
      <c r="P148" s="321"/>
      <c r="Q148" s="321">
        <f t="shared" si="16"/>
        <v>0</v>
      </c>
      <c r="R148" s="407">
        <v>0.54</v>
      </c>
      <c r="S148" s="400"/>
      <c r="T148" s="400"/>
      <c r="U148" s="321"/>
      <c r="V148" s="321">
        <f t="shared" si="17"/>
        <v>0</v>
      </c>
      <c r="W148" s="407">
        <v>0.84</v>
      </c>
      <c r="X148" s="400"/>
      <c r="Y148" s="400"/>
      <c r="Z148" s="321"/>
      <c r="AA148" s="321">
        <f t="shared" si="18"/>
        <v>0</v>
      </c>
      <c r="AB148" s="407">
        <v>0.53</v>
      </c>
      <c r="AC148" s="400"/>
      <c r="AD148" s="400"/>
      <c r="AE148" s="321"/>
      <c r="AF148" s="321">
        <f t="shared" si="19"/>
        <v>0</v>
      </c>
      <c r="AG148" s="407">
        <v>0.4</v>
      </c>
      <c r="AH148" s="400"/>
      <c r="AI148" s="400"/>
      <c r="AJ148" s="321"/>
      <c r="AK148" s="321">
        <f t="shared" si="20"/>
        <v>0</v>
      </c>
      <c r="AL148" s="407">
        <v>0.52</v>
      </c>
      <c r="AM148" s="400"/>
      <c r="AN148" s="400"/>
      <c r="AO148" s="321"/>
      <c r="AP148" s="321">
        <f t="shared" si="21"/>
        <v>0</v>
      </c>
    </row>
    <row r="149" spans="1:42" ht="15.75">
      <c r="A149" s="321">
        <v>10</v>
      </c>
      <c r="B149" s="408" t="s">
        <v>485</v>
      </c>
      <c r="C149" s="407"/>
      <c r="D149" s="400"/>
      <c r="E149" s="400"/>
      <c r="F149" s="321"/>
      <c r="G149" s="321"/>
      <c r="H149" s="407"/>
      <c r="I149" s="400"/>
      <c r="J149" s="400"/>
      <c r="K149" s="321"/>
      <c r="L149" s="321">
        <f t="shared" si="15"/>
        <v>0</v>
      </c>
      <c r="M149" s="407"/>
      <c r="N149" s="400"/>
      <c r="O149" s="400"/>
      <c r="P149" s="321"/>
      <c r="Q149" s="321">
        <f t="shared" si="16"/>
        <v>0</v>
      </c>
      <c r="R149" s="407"/>
      <c r="S149" s="400"/>
      <c r="T149" s="400"/>
      <c r="U149" s="321"/>
      <c r="V149" s="321">
        <f t="shared" si="17"/>
        <v>0</v>
      </c>
      <c r="W149" s="407"/>
      <c r="X149" s="400"/>
      <c r="Y149" s="400"/>
      <c r="Z149" s="321"/>
      <c r="AA149" s="321">
        <f t="shared" si="18"/>
        <v>0</v>
      </c>
      <c r="AB149" s="407"/>
      <c r="AC149" s="400"/>
      <c r="AD149" s="400"/>
      <c r="AE149" s="321"/>
      <c r="AF149" s="321">
        <f t="shared" si="19"/>
        <v>0</v>
      </c>
      <c r="AG149" s="407"/>
      <c r="AH149" s="400"/>
      <c r="AI149" s="400"/>
      <c r="AJ149" s="321"/>
      <c r="AK149" s="321">
        <f t="shared" si="20"/>
        <v>0</v>
      </c>
      <c r="AL149" s="407"/>
      <c r="AM149" s="400"/>
      <c r="AN149" s="400"/>
      <c r="AO149" s="321"/>
      <c r="AP149" s="321"/>
    </row>
    <row r="150" spans="1:42" ht="35.25" customHeight="1">
      <c r="A150" s="397"/>
      <c r="B150" s="398" t="s">
        <v>486</v>
      </c>
      <c r="C150" s="321">
        <v>0.72</v>
      </c>
      <c r="D150" s="399">
        <f>MAX(C150:C153)</f>
        <v>1.78</v>
      </c>
      <c r="E150" s="400">
        <f>MIN(C150:C153)</f>
        <v>0.65</v>
      </c>
      <c r="F150" s="321"/>
      <c r="G150" s="321">
        <f t="shared" si="0"/>
        <v>0</v>
      </c>
      <c r="H150" s="407">
        <v>7.0000000000000007E-2</v>
      </c>
      <c r="I150" s="399">
        <f>MAX(H150:H153)</f>
        <v>0.17</v>
      </c>
      <c r="J150" s="400">
        <f>MIN(H150:H153)</f>
        <v>0.06</v>
      </c>
      <c r="K150" s="321"/>
      <c r="L150" s="321">
        <f t="shared" si="15"/>
        <v>0</v>
      </c>
      <c r="M150" s="407">
        <v>0.17</v>
      </c>
      <c r="N150" s="399">
        <f>MAX(M150:M153)</f>
        <v>0.41</v>
      </c>
      <c r="O150" s="400">
        <f>MIN(M150:M153)</f>
        <v>0.15</v>
      </c>
      <c r="P150" s="321"/>
      <c r="Q150" s="321">
        <f t="shared" si="16"/>
        <v>0</v>
      </c>
      <c r="R150" s="407">
        <v>7.0000000000000007E-2</v>
      </c>
      <c r="S150" s="399">
        <f>MAX(R150:R153)</f>
        <v>0.16</v>
      </c>
      <c r="T150" s="400">
        <f>MIN(R150:R153)</f>
        <v>0.06</v>
      </c>
      <c r="U150" s="321"/>
      <c r="V150" s="321">
        <f t="shared" si="17"/>
        <v>0</v>
      </c>
      <c r="W150" s="407">
        <v>0.08</v>
      </c>
      <c r="X150" s="399">
        <f>MAX(W150:W153)</f>
        <v>0.2</v>
      </c>
      <c r="Y150" s="400">
        <f>MIN(W150:W153)</f>
        <v>7.0000000000000007E-2</v>
      </c>
      <c r="Z150" s="321"/>
      <c r="AA150" s="321">
        <f t="shared" si="18"/>
        <v>0</v>
      </c>
      <c r="AB150" s="407">
        <v>0.24</v>
      </c>
      <c r="AC150" s="399">
        <f>MAX(AB150:AB153)</f>
        <v>0.42</v>
      </c>
      <c r="AD150" s="400">
        <f>MIN(AB150:AB153)</f>
        <v>0.23</v>
      </c>
      <c r="AE150" s="321"/>
      <c r="AF150" s="321">
        <f t="shared" si="19"/>
        <v>0</v>
      </c>
      <c r="AG150" s="407">
        <v>0.22</v>
      </c>
      <c r="AH150" s="399">
        <f>MAX(AG150:AG153)</f>
        <v>0.42</v>
      </c>
      <c r="AI150" s="400">
        <f>MIN(AG150:AG153)</f>
        <v>0.21</v>
      </c>
      <c r="AJ150" s="321"/>
      <c r="AK150" s="321">
        <f t="shared" si="20"/>
        <v>0</v>
      </c>
      <c r="AL150" s="407">
        <v>0.03</v>
      </c>
      <c r="AM150" s="399">
        <f>MAX(AL150:AL153)</f>
        <v>0.08</v>
      </c>
      <c r="AN150" s="400">
        <f>MIN(AL150:AL153)</f>
        <v>0.03</v>
      </c>
      <c r="AO150" s="321"/>
      <c r="AP150" s="321">
        <f t="shared" si="21"/>
        <v>0</v>
      </c>
    </row>
    <row r="151" spans="1:42" ht="35.25" customHeight="1">
      <c r="A151" s="397"/>
      <c r="B151" s="398" t="s">
        <v>487</v>
      </c>
      <c r="C151" s="321">
        <v>0.65</v>
      </c>
      <c r="D151" s="394"/>
      <c r="E151" s="394"/>
      <c r="F151" s="321"/>
      <c r="G151" s="321">
        <f t="shared" si="0"/>
        <v>0</v>
      </c>
      <c r="H151" s="407">
        <v>0.06</v>
      </c>
      <c r="I151" s="394"/>
      <c r="J151" s="394"/>
      <c r="K151" s="321"/>
      <c r="L151" s="321">
        <f t="shared" si="15"/>
        <v>0</v>
      </c>
      <c r="M151" s="407">
        <v>0.15</v>
      </c>
      <c r="N151" s="394"/>
      <c r="O151" s="394"/>
      <c r="P151" s="321"/>
      <c r="Q151" s="321">
        <f t="shared" si="16"/>
        <v>0</v>
      </c>
      <c r="R151" s="407">
        <v>0.06</v>
      </c>
      <c r="S151" s="394"/>
      <c r="T151" s="394"/>
      <c r="U151" s="321"/>
      <c r="V151" s="321">
        <f t="shared" si="17"/>
        <v>0</v>
      </c>
      <c r="W151" s="407">
        <v>7.0000000000000007E-2</v>
      </c>
      <c r="X151" s="394"/>
      <c r="Y151" s="394"/>
      <c r="Z151" s="321"/>
      <c r="AA151" s="321">
        <f t="shared" si="18"/>
        <v>0</v>
      </c>
      <c r="AB151" s="407">
        <v>0.23</v>
      </c>
      <c r="AC151" s="394"/>
      <c r="AD151" s="394"/>
      <c r="AE151" s="321"/>
      <c r="AF151" s="321">
        <f t="shared" si="19"/>
        <v>0</v>
      </c>
      <c r="AG151" s="407">
        <v>0.21</v>
      </c>
      <c r="AH151" s="394"/>
      <c r="AI151" s="394"/>
      <c r="AJ151" s="321"/>
      <c r="AK151" s="321">
        <f t="shared" si="20"/>
        <v>0</v>
      </c>
      <c r="AL151" s="407">
        <v>0.03</v>
      </c>
      <c r="AM151" s="394"/>
      <c r="AN151" s="394"/>
      <c r="AO151" s="321"/>
      <c r="AP151" s="321">
        <f t="shared" si="21"/>
        <v>0</v>
      </c>
    </row>
    <row r="152" spans="1:42" ht="35.25" customHeight="1">
      <c r="A152" s="397"/>
      <c r="B152" s="398" t="s">
        <v>488</v>
      </c>
      <c r="C152" s="321">
        <v>1.1299999999999999</v>
      </c>
      <c r="D152" s="394"/>
      <c r="E152" s="394"/>
      <c r="F152" s="321">
        <v>100</v>
      </c>
      <c r="G152" s="321">
        <f t="shared" si="0"/>
        <v>1.1299999999999999</v>
      </c>
      <c r="H152" s="407">
        <v>0.11</v>
      </c>
      <c r="I152" s="394"/>
      <c r="J152" s="394"/>
      <c r="K152" s="321"/>
      <c r="L152" s="321">
        <f t="shared" si="15"/>
        <v>0</v>
      </c>
      <c r="M152" s="407">
        <v>0.26</v>
      </c>
      <c r="N152" s="394"/>
      <c r="O152" s="394"/>
      <c r="P152" s="321"/>
      <c r="Q152" s="321">
        <f t="shared" si="16"/>
        <v>0</v>
      </c>
      <c r="R152" s="407">
        <v>0.1</v>
      </c>
      <c r="S152" s="394"/>
      <c r="T152" s="394"/>
      <c r="U152" s="321"/>
      <c r="V152" s="321">
        <f t="shared" si="17"/>
        <v>0</v>
      </c>
      <c r="W152" s="407">
        <v>0.13</v>
      </c>
      <c r="X152" s="394"/>
      <c r="Y152" s="394"/>
      <c r="Z152" s="321"/>
      <c r="AA152" s="321">
        <f t="shared" si="18"/>
        <v>0</v>
      </c>
      <c r="AB152" s="407">
        <v>0.31</v>
      </c>
      <c r="AC152" s="394"/>
      <c r="AD152" s="394"/>
      <c r="AE152" s="321"/>
      <c r="AF152" s="321">
        <f t="shared" si="19"/>
        <v>0</v>
      </c>
      <c r="AG152" s="407">
        <v>0.3</v>
      </c>
      <c r="AH152" s="394"/>
      <c r="AI152" s="394"/>
      <c r="AJ152" s="321"/>
      <c r="AK152" s="321">
        <f t="shared" si="20"/>
        <v>0</v>
      </c>
      <c r="AL152" s="407">
        <v>0.05</v>
      </c>
      <c r="AM152" s="394"/>
      <c r="AN152" s="394"/>
      <c r="AO152" s="321"/>
      <c r="AP152" s="321">
        <f t="shared" si="21"/>
        <v>0</v>
      </c>
    </row>
    <row r="153" spans="1:42" ht="35.25" customHeight="1">
      <c r="A153" s="397"/>
      <c r="B153" s="398" t="s">
        <v>489</v>
      </c>
      <c r="C153" s="321">
        <v>1.78</v>
      </c>
      <c r="D153" s="394"/>
      <c r="E153" s="394"/>
      <c r="F153" s="321"/>
      <c r="G153" s="321">
        <f t="shared" si="0"/>
        <v>0</v>
      </c>
      <c r="H153" s="407">
        <v>0.17</v>
      </c>
      <c r="I153" s="394"/>
      <c r="J153" s="394"/>
      <c r="K153" s="321"/>
      <c r="L153" s="321">
        <f t="shared" si="15"/>
        <v>0</v>
      </c>
      <c r="M153" s="407">
        <v>0.41</v>
      </c>
      <c r="N153" s="394"/>
      <c r="O153" s="394"/>
      <c r="P153" s="321"/>
      <c r="Q153" s="321">
        <f t="shared" si="16"/>
        <v>0</v>
      </c>
      <c r="R153" s="407">
        <v>0.16</v>
      </c>
      <c r="S153" s="394"/>
      <c r="T153" s="394"/>
      <c r="U153" s="321"/>
      <c r="V153" s="321">
        <f t="shared" si="17"/>
        <v>0</v>
      </c>
      <c r="W153" s="407">
        <v>0.2</v>
      </c>
      <c r="X153" s="394"/>
      <c r="Y153" s="394"/>
      <c r="Z153" s="321"/>
      <c r="AA153" s="321">
        <f t="shared" si="18"/>
        <v>0</v>
      </c>
      <c r="AB153" s="407">
        <v>0.42</v>
      </c>
      <c r="AC153" s="394"/>
      <c r="AD153" s="394"/>
      <c r="AE153" s="321"/>
      <c r="AF153" s="321">
        <f t="shared" si="19"/>
        <v>0</v>
      </c>
      <c r="AG153" s="407">
        <v>0.42</v>
      </c>
      <c r="AH153" s="394"/>
      <c r="AI153" s="394"/>
      <c r="AJ153" s="321"/>
      <c r="AK153" s="321">
        <f t="shared" si="20"/>
        <v>0</v>
      </c>
      <c r="AL153" s="407">
        <v>0.08</v>
      </c>
      <c r="AM153" s="394"/>
      <c r="AN153" s="394"/>
      <c r="AO153" s="321"/>
      <c r="AP153" s="321">
        <f t="shared" si="21"/>
        <v>0</v>
      </c>
    </row>
    <row r="154" spans="1:42" ht="15.75">
      <c r="A154" s="321">
        <v>10</v>
      </c>
      <c r="B154" s="408" t="s">
        <v>248</v>
      </c>
      <c r="C154" s="407"/>
      <c r="D154" s="400"/>
      <c r="E154" s="400"/>
      <c r="F154" s="321"/>
      <c r="G154" s="321">
        <f t="shared" si="0"/>
        <v>0</v>
      </c>
      <c r="H154" s="407"/>
      <c r="I154" s="400"/>
      <c r="J154" s="400"/>
      <c r="K154" s="321"/>
      <c r="L154" s="321">
        <f t="shared" si="15"/>
        <v>0</v>
      </c>
      <c r="M154" s="407"/>
      <c r="N154" s="400"/>
      <c r="O154" s="400"/>
      <c r="P154" s="321"/>
      <c r="Q154" s="321">
        <f t="shared" si="16"/>
        <v>0</v>
      </c>
      <c r="R154" s="407"/>
      <c r="S154" s="400"/>
      <c r="T154" s="400"/>
      <c r="U154" s="321"/>
      <c r="V154" s="321">
        <f t="shared" si="17"/>
        <v>0</v>
      </c>
      <c r="W154" s="407"/>
      <c r="X154" s="400"/>
      <c r="Y154" s="400"/>
      <c r="Z154" s="321"/>
      <c r="AA154" s="321">
        <f t="shared" si="18"/>
        <v>0</v>
      </c>
      <c r="AB154" s="407"/>
      <c r="AC154" s="400"/>
      <c r="AD154" s="400"/>
      <c r="AE154" s="321"/>
      <c r="AF154" s="321">
        <f t="shared" si="19"/>
        <v>0</v>
      </c>
      <c r="AG154" s="407"/>
      <c r="AH154" s="400"/>
      <c r="AI154" s="400"/>
      <c r="AJ154" s="321"/>
      <c r="AK154" s="321">
        <f t="shared" si="20"/>
        <v>0</v>
      </c>
      <c r="AL154" s="407"/>
      <c r="AM154" s="400"/>
      <c r="AN154" s="400"/>
      <c r="AO154" s="321"/>
      <c r="AP154" s="321">
        <f t="shared" si="21"/>
        <v>0</v>
      </c>
    </row>
    <row r="155" spans="1:42" ht="15.75">
      <c r="A155" s="397"/>
      <c r="B155" s="398" t="s">
        <v>415</v>
      </c>
      <c r="C155" s="407">
        <v>0.2</v>
      </c>
      <c r="D155" s="399">
        <f>MAX(C155:C158)</f>
        <v>1.06</v>
      </c>
      <c r="E155" s="400">
        <f>MIN(C155:C158)</f>
        <v>0.2</v>
      </c>
      <c r="F155" s="321"/>
      <c r="G155" s="321">
        <f t="shared" si="0"/>
        <v>0</v>
      </c>
      <c r="H155" s="407">
        <v>1.26</v>
      </c>
      <c r="I155" s="399">
        <f>MAX(H155:H158)</f>
        <v>1.44</v>
      </c>
      <c r="J155" s="400">
        <f>MIN(H155:H158)</f>
        <v>1.26</v>
      </c>
      <c r="K155" s="321"/>
      <c r="L155" s="321">
        <f t="shared" si="15"/>
        <v>0</v>
      </c>
      <c r="M155" s="407">
        <v>1.18</v>
      </c>
      <c r="N155" s="399">
        <f>MAX(M155:M158)</f>
        <v>1.49</v>
      </c>
      <c r="O155" s="400">
        <f>MIN(M155:M158)</f>
        <v>1.18</v>
      </c>
      <c r="P155" s="321"/>
      <c r="Q155" s="321">
        <f t="shared" si="16"/>
        <v>0</v>
      </c>
      <c r="R155" s="407">
        <v>0.99</v>
      </c>
      <c r="S155" s="399">
        <f>MAX(R155:R158)</f>
        <v>1.92</v>
      </c>
      <c r="T155" s="400">
        <f>MIN(R155:R158)</f>
        <v>0.99</v>
      </c>
      <c r="U155" s="321"/>
      <c r="V155" s="321">
        <f t="shared" si="17"/>
        <v>0</v>
      </c>
      <c r="W155" s="407">
        <v>3.59</v>
      </c>
      <c r="X155" s="399">
        <f>MAX(W155:W158)</f>
        <v>3.59</v>
      </c>
      <c r="Y155" s="400">
        <f>MIN(W155:W158)</f>
        <v>3.23</v>
      </c>
      <c r="Z155" s="321"/>
      <c r="AA155" s="321">
        <f t="shared" si="18"/>
        <v>0</v>
      </c>
      <c r="AB155" s="407">
        <v>2.87</v>
      </c>
      <c r="AC155" s="399">
        <f>MAX(AB155:AB158)</f>
        <v>2.87</v>
      </c>
      <c r="AD155" s="400">
        <f>MIN(AB155:AB158)</f>
        <v>1.45</v>
      </c>
      <c r="AE155" s="321"/>
      <c r="AF155" s="321">
        <f t="shared" si="19"/>
        <v>0</v>
      </c>
      <c r="AG155" s="407">
        <v>0.77</v>
      </c>
      <c r="AH155" s="399">
        <f>MAX(AG155:AG158)</f>
        <v>0.77</v>
      </c>
      <c r="AI155" s="400">
        <f>MIN(AG155:AG158)</f>
        <v>0.72</v>
      </c>
      <c r="AJ155" s="321"/>
      <c r="AK155" s="321">
        <f t="shared" si="20"/>
        <v>0</v>
      </c>
      <c r="AL155" s="407">
        <v>1.3</v>
      </c>
      <c r="AM155" s="399">
        <f>MAX(AL155:AL158)</f>
        <v>1.3</v>
      </c>
      <c r="AN155" s="400">
        <f>MIN(AL155:AL158)</f>
        <v>0.91</v>
      </c>
      <c r="AO155" s="321"/>
      <c r="AP155" s="321">
        <f t="shared" si="21"/>
        <v>0</v>
      </c>
    </row>
    <row r="156" spans="1:42" ht="15.75">
      <c r="A156" s="397"/>
      <c r="B156" s="398" t="s">
        <v>416</v>
      </c>
      <c r="C156" s="407">
        <v>0.52</v>
      </c>
      <c r="D156" s="400"/>
      <c r="E156" s="400"/>
      <c r="F156" s="321"/>
      <c r="G156" s="321">
        <f t="shared" si="0"/>
        <v>0</v>
      </c>
      <c r="H156" s="407">
        <v>1.43</v>
      </c>
      <c r="I156" s="400"/>
      <c r="J156" s="400"/>
      <c r="K156" s="321"/>
      <c r="L156" s="321">
        <f t="shared" si="15"/>
        <v>0</v>
      </c>
      <c r="M156" s="407">
        <v>1.23</v>
      </c>
      <c r="N156" s="400"/>
      <c r="O156" s="400"/>
      <c r="P156" s="321"/>
      <c r="Q156" s="321">
        <f t="shared" si="16"/>
        <v>0</v>
      </c>
      <c r="R156" s="407">
        <v>1.05</v>
      </c>
      <c r="S156" s="400"/>
      <c r="T156" s="400"/>
      <c r="U156" s="321"/>
      <c r="V156" s="321">
        <f t="shared" si="17"/>
        <v>0</v>
      </c>
      <c r="W156" s="407">
        <v>3.23</v>
      </c>
      <c r="X156" s="400"/>
      <c r="Y156" s="400"/>
      <c r="Z156" s="321"/>
      <c r="AA156" s="321">
        <f t="shared" si="18"/>
        <v>0</v>
      </c>
      <c r="AB156" s="407">
        <v>1.45</v>
      </c>
      <c r="AC156" s="400"/>
      <c r="AD156" s="400"/>
      <c r="AE156" s="321"/>
      <c r="AF156" s="321">
        <f t="shared" si="19"/>
        <v>0</v>
      </c>
      <c r="AG156" s="407">
        <v>0.72</v>
      </c>
      <c r="AH156" s="400"/>
      <c r="AI156" s="400"/>
      <c r="AJ156" s="321"/>
      <c r="AK156" s="321">
        <f t="shared" si="20"/>
        <v>0</v>
      </c>
      <c r="AL156" s="407">
        <v>0.91</v>
      </c>
      <c r="AM156" s="400"/>
      <c r="AN156" s="400"/>
      <c r="AO156" s="321"/>
      <c r="AP156" s="321">
        <f t="shared" si="21"/>
        <v>0</v>
      </c>
    </row>
    <row r="157" spans="1:42" ht="15.75">
      <c r="A157" s="397"/>
      <c r="B157" s="398" t="s">
        <v>417</v>
      </c>
      <c r="C157" s="407">
        <v>0.61</v>
      </c>
      <c r="D157" s="400"/>
      <c r="E157" s="400"/>
      <c r="F157" s="321"/>
      <c r="G157" s="321">
        <f t="shared" si="0"/>
        <v>0</v>
      </c>
      <c r="H157" s="407">
        <v>1.44</v>
      </c>
      <c r="I157" s="400"/>
      <c r="J157" s="400"/>
      <c r="K157" s="321"/>
      <c r="L157" s="321">
        <f t="shared" si="15"/>
        <v>0</v>
      </c>
      <c r="M157" s="407">
        <v>1.33</v>
      </c>
      <c r="N157" s="400"/>
      <c r="O157" s="400"/>
      <c r="P157" s="321"/>
      <c r="Q157" s="321">
        <f t="shared" si="16"/>
        <v>0</v>
      </c>
      <c r="R157" s="407">
        <v>1.1399999999999999</v>
      </c>
      <c r="S157" s="400"/>
      <c r="T157" s="400"/>
      <c r="U157" s="321"/>
      <c r="V157" s="321">
        <f t="shared" si="17"/>
        <v>0</v>
      </c>
      <c r="W157" s="407">
        <v>3.24</v>
      </c>
      <c r="X157" s="400"/>
      <c r="Y157" s="400"/>
      <c r="Z157" s="321"/>
      <c r="AA157" s="321">
        <f t="shared" si="18"/>
        <v>0</v>
      </c>
      <c r="AB157" s="407">
        <v>1.49</v>
      </c>
      <c r="AC157" s="400"/>
      <c r="AD157" s="400"/>
      <c r="AE157" s="321"/>
      <c r="AF157" s="321">
        <f t="shared" si="19"/>
        <v>0</v>
      </c>
      <c r="AG157" s="407">
        <v>0.72</v>
      </c>
      <c r="AH157" s="400"/>
      <c r="AI157" s="400"/>
      <c r="AJ157" s="321"/>
      <c r="AK157" s="321">
        <f t="shared" si="20"/>
        <v>0</v>
      </c>
      <c r="AL157" s="407">
        <v>0.95</v>
      </c>
      <c r="AM157" s="400"/>
      <c r="AN157" s="400"/>
      <c r="AO157" s="321"/>
      <c r="AP157" s="321">
        <f t="shared" si="21"/>
        <v>0</v>
      </c>
    </row>
    <row r="158" spans="1:42" ht="15.75">
      <c r="A158" s="397"/>
      <c r="B158" s="398" t="s">
        <v>418</v>
      </c>
      <c r="C158" s="407">
        <v>1.06</v>
      </c>
      <c r="D158" s="400"/>
      <c r="E158" s="400"/>
      <c r="F158" s="321">
        <v>100</v>
      </c>
      <c r="G158" s="321">
        <f t="shared" si="0"/>
        <v>1.06</v>
      </c>
      <c r="H158" s="407">
        <v>1.37</v>
      </c>
      <c r="I158" s="400"/>
      <c r="J158" s="400"/>
      <c r="K158" s="321"/>
      <c r="L158" s="321">
        <f t="shared" si="15"/>
        <v>0</v>
      </c>
      <c r="M158" s="407">
        <v>1.49</v>
      </c>
      <c r="N158" s="400"/>
      <c r="O158" s="400"/>
      <c r="P158" s="321"/>
      <c r="Q158" s="321">
        <f t="shared" si="16"/>
        <v>0</v>
      </c>
      <c r="R158" s="407">
        <v>1.92</v>
      </c>
      <c r="S158" s="400"/>
      <c r="T158" s="400"/>
      <c r="U158" s="321"/>
      <c r="V158" s="321">
        <f t="shared" si="17"/>
        <v>0</v>
      </c>
      <c r="W158" s="407">
        <v>3.31</v>
      </c>
      <c r="X158" s="400"/>
      <c r="Y158" s="400"/>
      <c r="Z158" s="321"/>
      <c r="AA158" s="321">
        <f t="shared" si="18"/>
        <v>0</v>
      </c>
      <c r="AB158" s="407">
        <v>1.52</v>
      </c>
      <c r="AC158" s="400"/>
      <c r="AD158" s="400"/>
      <c r="AE158" s="321"/>
      <c r="AF158" s="321">
        <f t="shared" si="19"/>
        <v>0</v>
      </c>
      <c r="AG158" s="407">
        <v>0.73</v>
      </c>
      <c r="AH158" s="400"/>
      <c r="AI158" s="400"/>
      <c r="AJ158" s="321"/>
      <c r="AK158" s="321">
        <f t="shared" si="20"/>
        <v>0</v>
      </c>
      <c r="AL158" s="407">
        <v>1.01</v>
      </c>
      <c r="AM158" s="400"/>
      <c r="AN158" s="400"/>
      <c r="AO158" s="321"/>
      <c r="AP158" s="321">
        <f t="shared" si="21"/>
        <v>0</v>
      </c>
    </row>
    <row r="159" spans="1:42" ht="15.75">
      <c r="A159" s="397">
        <v>11</v>
      </c>
      <c r="B159" s="408" t="s">
        <v>419</v>
      </c>
      <c r="C159" s="407"/>
      <c r="D159" s="400"/>
      <c r="E159" s="400"/>
      <c r="F159" s="321"/>
      <c r="G159" s="321">
        <f t="shared" si="0"/>
        <v>0</v>
      </c>
      <c r="H159" s="407"/>
      <c r="I159" s="400"/>
      <c r="J159" s="400"/>
      <c r="K159" s="321"/>
      <c r="L159" s="321">
        <f t="shared" si="15"/>
        <v>0</v>
      </c>
      <c r="M159" s="407"/>
      <c r="N159" s="400"/>
      <c r="O159" s="400"/>
      <c r="P159" s="321"/>
      <c r="Q159" s="321">
        <f t="shared" si="16"/>
        <v>0</v>
      </c>
      <c r="R159" s="407"/>
      <c r="S159" s="400"/>
      <c r="T159" s="400"/>
      <c r="U159" s="321"/>
      <c r="V159" s="321">
        <f t="shared" si="17"/>
        <v>0</v>
      </c>
      <c r="W159" s="407"/>
      <c r="X159" s="400"/>
      <c r="Y159" s="400"/>
      <c r="Z159" s="321"/>
      <c r="AA159" s="321">
        <f t="shared" si="18"/>
        <v>0</v>
      </c>
      <c r="AB159" s="407"/>
      <c r="AC159" s="400"/>
      <c r="AD159" s="400"/>
      <c r="AE159" s="321"/>
      <c r="AF159" s="321">
        <f t="shared" si="19"/>
        <v>0</v>
      </c>
      <c r="AG159" s="407"/>
      <c r="AH159" s="400"/>
      <c r="AI159" s="400"/>
      <c r="AJ159" s="321"/>
      <c r="AK159" s="321">
        <f t="shared" si="20"/>
        <v>0</v>
      </c>
      <c r="AL159" s="407"/>
      <c r="AM159" s="400"/>
      <c r="AN159" s="400"/>
      <c r="AO159" s="321"/>
      <c r="AP159" s="321">
        <f t="shared" si="21"/>
        <v>0</v>
      </c>
    </row>
    <row r="160" spans="1:42" ht="15.75">
      <c r="A160" s="397"/>
      <c r="B160" s="398" t="s">
        <v>420</v>
      </c>
      <c r="C160" s="407">
        <v>0.98</v>
      </c>
      <c r="D160" s="399">
        <f>MAX(C160:C163)</f>
        <v>2.7</v>
      </c>
      <c r="E160" s="400">
        <f>MIN(C160:C163)</f>
        <v>0.98</v>
      </c>
      <c r="F160" s="321"/>
      <c r="G160" s="321">
        <f t="shared" si="0"/>
        <v>0</v>
      </c>
      <c r="H160" s="407">
        <v>1.0900000000000001</v>
      </c>
      <c r="I160" s="399">
        <f>MAX(H160:H163)</f>
        <v>1.57</v>
      </c>
      <c r="J160" s="400">
        <f>MIN(H160:H163)</f>
        <v>1.0900000000000001</v>
      </c>
      <c r="K160" s="321"/>
      <c r="L160" s="321">
        <f t="shared" si="15"/>
        <v>0</v>
      </c>
      <c r="M160" s="407">
        <v>0.88</v>
      </c>
      <c r="N160" s="399">
        <f>MAX(M160:M163)</f>
        <v>1.54</v>
      </c>
      <c r="O160" s="400">
        <f>MIN(M160:M163)</f>
        <v>0.88</v>
      </c>
      <c r="P160" s="321"/>
      <c r="Q160" s="321">
        <f t="shared" si="16"/>
        <v>0</v>
      </c>
      <c r="R160" s="407">
        <v>1.18</v>
      </c>
      <c r="S160" s="399">
        <f>MAX(R160:R163)</f>
        <v>1.41</v>
      </c>
      <c r="T160" s="400">
        <f>MIN(R160:R163)</f>
        <v>1.18</v>
      </c>
      <c r="U160" s="321"/>
      <c r="V160" s="321">
        <f t="shared" si="17"/>
        <v>0</v>
      </c>
      <c r="W160" s="407">
        <v>0.95</v>
      </c>
      <c r="X160" s="399">
        <f>MAX(W160:W163)</f>
        <v>1.07</v>
      </c>
      <c r="Y160" s="400">
        <f>MIN(W160:W163)</f>
        <v>0.95</v>
      </c>
      <c r="Z160" s="321"/>
      <c r="AA160" s="321">
        <f t="shared" si="18"/>
        <v>0</v>
      </c>
      <c r="AB160" s="407">
        <v>1.95</v>
      </c>
      <c r="AC160" s="399">
        <f>MAX(AB160:AB163)</f>
        <v>2.21</v>
      </c>
      <c r="AD160" s="400">
        <f>MIN(AB160:AB163)</f>
        <v>1.95</v>
      </c>
      <c r="AE160" s="321"/>
      <c r="AF160" s="321">
        <f t="shared" si="19"/>
        <v>0</v>
      </c>
      <c r="AG160" s="407">
        <v>1.22</v>
      </c>
      <c r="AH160" s="399">
        <f>MAX(AG160:AG163)</f>
        <v>1.73</v>
      </c>
      <c r="AI160" s="400">
        <f>MIN(AG160:AG163)</f>
        <v>1.22</v>
      </c>
      <c r="AJ160" s="321"/>
      <c r="AK160" s="321">
        <f t="shared" si="20"/>
        <v>0</v>
      </c>
      <c r="AL160" s="407">
        <v>0.82</v>
      </c>
      <c r="AM160" s="399">
        <f>MAX(AL160:AL163)</f>
        <v>1.01</v>
      </c>
      <c r="AN160" s="400">
        <f>MIN(AL160:AL163)</f>
        <v>0.82</v>
      </c>
      <c r="AO160" s="321"/>
      <c r="AP160" s="321">
        <f t="shared" si="21"/>
        <v>0</v>
      </c>
    </row>
    <row r="161" spans="1:42" ht="15.75">
      <c r="A161" s="397"/>
      <c r="B161" s="398" t="s">
        <v>421</v>
      </c>
      <c r="C161" s="407">
        <v>1.41</v>
      </c>
      <c r="D161" s="400"/>
      <c r="E161" s="400"/>
      <c r="F161" s="321"/>
      <c r="G161" s="321">
        <f t="shared" si="0"/>
        <v>0</v>
      </c>
      <c r="H161" s="407">
        <v>1.24</v>
      </c>
      <c r="I161" s="400"/>
      <c r="J161" s="400"/>
      <c r="K161" s="321"/>
      <c r="L161" s="321">
        <f t="shared" si="15"/>
        <v>0</v>
      </c>
      <c r="M161" s="407">
        <v>1.02</v>
      </c>
      <c r="N161" s="400"/>
      <c r="O161" s="400"/>
      <c r="P161" s="321"/>
      <c r="Q161" s="321">
        <f t="shared" si="16"/>
        <v>0</v>
      </c>
      <c r="R161" s="407">
        <v>1.19</v>
      </c>
      <c r="S161" s="400"/>
      <c r="T161" s="400"/>
      <c r="U161" s="321"/>
      <c r="V161" s="321">
        <f t="shared" si="17"/>
        <v>0</v>
      </c>
      <c r="W161" s="407">
        <v>0.97</v>
      </c>
      <c r="X161" s="400"/>
      <c r="Y161" s="400"/>
      <c r="Z161" s="321"/>
      <c r="AA161" s="321">
        <f t="shared" si="18"/>
        <v>0</v>
      </c>
      <c r="AB161" s="407">
        <v>2</v>
      </c>
      <c r="AC161" s="400"/>
      <c r="AD161" s="400"/>
      <c r="AE161" s="321"/>
      <c r="AF161" s="321">
        <f t="shared" si="19"/>
        <v>0</v>
      </c>
      <c r="AG161" s="407">
        <v>1.33</v>
      </c>
      <c r="AH161" s="400"/>
      <c r="AI161" s="400"/>
      <c r="AJ161" s="321"/>
      <c r="AK161" s="321">
        <f t="shared" si="20"/>
        <v>0</v>
      </c>
      <c r="AL161" s="407">
        <v>0.83</v>
      </c>
      <c r="AM161" s="400"/>
      <c r="AN161" s="400"/>
      <c r="AO161" s="321"/>
      <c r="AP161" s="321">
        <f t="shared" si="21"/>
        <v>0</v>
      </c>
    </row>
    <row r="162" spans="1:42" ht="15.75">
      <c r="A162" s="397"/>
      <c r="B162" s="398" t="s">
        <v>422</v>
      </c>
      <c r="C162" s="407">
        <v>1.89</v>
      </c>
      <c r="D162" s="400"/>
      <c r="E162" s="400"/>
      <c r="F162" s="321"/>
      <c r="G162" s="321">
        <f t="shared" si="0"/>
        <v>0</v>
      </c>
      <c r="H162" s="407">
        <v>1.45</v>
      </c>
      <c r="I162" s="400"/>
      <c r="J162" s="400"/>
      <c r="K162" s="321"/>
      <c r="L162" s="321">
        <f t="shared" si="15"/>
        <v>0</v>
      </c>
      <c r="M162" s="407">
        <v>1.24</v>
      </c>
      <c r="N162" s="400"/>
      <c r="O162" s="400"/>
      <c r="P162" s="321"/>
      <c r="Q162" s="321">
        <f t="shared" si="16"/>
        <v>0</v>
      </c>
      <c r="R162" s="407">
        <v>1.29</v>
      </c>
      <c r="S162" s="400"/>
      <c r="T162" s="400"/>
      <c r="U162" s="321"/>
      <c r="V162" s="321">
        <f t="shared" si="17"/>
        <v>0</v>
      </c>
      <c r="W162" s="407">
        <v>0.99</v>
      </c>
      <c r="X162" s="400"/>
      <c r="Y162" s="400"/>
      <c r="Z162" s="321"/>
      <c r="AA162" s="321">
        <f t="shared" si="18"/>
        <v>0</v>
      </c>
      <c r="AB162" s="407">
        <v>2.04</v>
      </c>
      <c r="AC162" s="400"/>
      <c r="AD162" s="400"/>
      <c r="AE162" s="321"/>
      <c r="AF162" s="321">
        <f t="shared" si="19"/>
        <v>0</v>
      </c>
      <c r="AG162" s="407">
        <v>1.37</v>
      </c>
      <c r="AH162" s="400"/>
      <c r="AI162" s="400"/>
      <c r="AJ162" s="321"/>
      <c r="AK162" s="321">
        <f t="shared" si="20"/>
        <v>0</v>
      </c>
      <c r="AL162" s="407">
        <v>0.86</v>
      </c>
      <c r="AM162" s="400"/>
      <c r="AN162" s="400"/>
      <c r="AO162" s="321"/>
      <c r="AP162" s="321">
        <f t="shared" si="21"/>
        <v>0</v>
      </c>
    </row>
    <row r="163" spans="1:42" ht="15.75">
      <c r="A163" s="397"/>
      <c r="B163" s="398" t="s">
        <v>423</v>
      </c>
      <c r="C163" s="407">
        <v>2.7</v>
      </c>
      <c r="D163" s="400"/>
      <c r="E163" s="400"/>
      <c r="F163" s="321">
        <v>100</v>
      </c>
      <c r="G163" s="321">
        <f t="shared" si="0"/>
        <v>2.7</v>
      </c>
      <c r="H163" s="407">
        <v>1.57</v>
      </c>
      <c r="I163" s="400"/>
      <c r="J163" s="400"/>
      <c r="K163" s="321"/>
      <c r="L163" s="321">
        <f t="shared" si="15"/>
        <v>0</v>
      </c>
      <c r="M163" s="407">
        <v>1.54</v>
      </c>
      <c r="N163" s="400"/>
      <c r="O163" s="400"/>
      <c r="P163" s="321"/>
      <c r="Q163" s="321">
        <f t="shared" si="16"/>
        <v>0</v>
      </c>
      <c r="R163" s="407">
        <v>1.41</v>
      </c>
      <c r="S163" s="400"/>
      <c r="T163" s="400"/>
      <c r="U163" s="321"/>
      <c r="V163" s="321">
        <f t="shared" si="17"/>
        <v>0</v>
      </c>
      <c r="W163" s="407">
        <v>1.07</v>
      </c>
      <c r="X163" s="400"/>
      <c r="Y163" s="400"/>
      <c r="Z163" s="321"/>
      <c r="AA163" s="321">
        <f t="shared" si="18"/>
        <v>0</v>
      </c>
      <c r="AB163" s="407">
        <v>2.21</v>
      </c>
      <c r="AC163" s="400"/>
      <c r="AD163" s="400"/>
      <c r="AE163" s="321"/>
      <c r="AF163" s="321">
        <f t="shared" si="19"/>
        <v>0</v>
      </c>
      <c r="AG163" s="407">
        <v>1.73</v>
      </c>
      <c r="AH163" s="400"/>
      <c r="AI163" s="400"/>
      <c r="AJ163" s="321"/>
      <c r="AK163" s="321">
        <f t="shared" si="20"/>
        <v>0</v>
      </c>
      <c r="AL163" s="407">
        <v>1.01</v>
      </c>
      <c r="AM163" s="400"/>
      <c r="AN163" s="400"/>
      <c r="AO163" s="321"/>
      <c r="AP163" s="321">
        <f t="shared" si="21"/>
        <v>0</v>
      </c>
    </row>
    <row r="164" spans="1:42" ht="15.75">
      <c r="A164" s="397"/>
      <c r="B164" s="398"/>
      <c r="C164" s="407"/>
      <c r="D164" s="400"/>
      <c r="E164" s="400"/>
      <c r="F164" s="321"/>
      <c r="G164" s="321"/>
      <c r="H164" s="407"/>
      <c r="I164" s="400"/>
      <c r="J164" s="400"/>
      <c r="K164" s="321"/>
      <c r="L164" s="321"/>
      <c r="M164" s="407"/>
      <c r="N164" s="400"/>
      <c r="O164" s="400"/>
      <c r="P164" s="321"/>
      <c r="Q164" s="321"/>
      <c r="R164" s="407"/>
      <c r="S164" s="400"/>
      <c r="T164" s="400"/>
      <c r="U164" s="321"/>
      <c r="V164" s="321"/>
      <c r="W164" s="407"/>
      <c r="X164" s="400"/>
      <c r="Y164" s="400"/>
      <c r="Z164" s="321"/>
      <c r="AA164" s="321"/>
      <c r="AB164" s="407"/>
      <c r="AC164" s="400"/>
      <c r="AD164" s="400"/>
      <c r="AE164" s="321"/>
      <c r="AF164" s="321"/>
      <c r="AG164" s="407"/>
      <c r="AH164" s="400"/>
      <c r="AI164" s="400"/>
      <c r="AJ164" s="321"/>
      <c r="AK164" s="321"/>
      <c r="AL164" s="407"/>
      <c r="AM164" s="400"/>
      <c r="AN164" s="400"/>
      <c r="AO164" s="321"/>
      <c r="AP164" s="321"/>
    </row>
    <row r="165" spans="1:42" ht="15.75">
      <c r="A165" s="321"/>
      <c r="B165" s="413" t="s">
        <v>254</v>
      </c>
      <c r="C165" s="414">
        <f>SUM(C6:C163)</f>
        <v>356.24</v>
      </c>
      <c r="D165" s="400">
        <f>SUM(D6:D163)</f>
        <v>75.16</v>
      </c>
      <c r="E165" s="400">
        <f>SUM(E6:E163)</f>
        <v>18.47</v>
      </c>
      <c r="F165" s="414">
        <f t="shared" ref="F165:AP165" si="22">SUM(F6:F163)</f>
        <v>1400</v>
      </c>
      <c r="G165" s="414">
        <f t="shared" si="22"/>
        <v>28.82</v>
      </c>
      <c r="H165" s="414">
        <f t="shared" si="22"/>
        <v>257.95</v>
      </c>
      <c r="I165" s="400">
        <f t="shared" si="22"/>
        <v>58.83</v>
      </c>
      <c r="J165" s="400">
        <f t="shared" si="22"/>
        <v>18.66</v>
      </c>
      <c r="K165" s="414">
        <f t="shared" si="22"/>
        <v>0</v>
      </c>
      <c r="L165" s="414">
        <f t="shared" si="22"/>
        <v>0</v>
      </c>
      <c r="M165" s="414">
        <f t="shared" si="22"/>
        <v>261.60000000000002</v>
      </c>
      <c r="N165" s="400">
        <f t="shared" si="22"/>
        <v>56.09</v>
      </c>
      <c r="O165" s="400">
        <f t="shared" si="22"/>
        <v>18.39</v>
      </c>
      <c r="P165" s="414">
        <f t="shared" si="22"/>
        <v>0</v>
      </c>
      <c r="Q165" s="414">
        <f t="shared" si="22"/>
        <v>0</v>
      </c>
      <c r="R165" s="414">
        <f t="shared" si="22"/>
        <v>303.86</v>
      </c>
      <c r="S165" s="400">
        <f t="shared" si="22"/>
        <v>83.62</v>
      </c>
      <c r="T165" s="400">
        <f t="shared" si="22"/>
        <v>18.350000000000001</v>
      </c>
      <c r="U165" s="414">
        <f t="shared" si="22"/>
        <v>0</v>
      </c>
      <c r="V165" s="414">
        <f t="shared" si="22"/>
        <v>0</v>
      </c>
      <c r="W165" s="414">
        <f t="shared" si="22"/>
        <v>143</v>
      </c>
      <c r="X165" s="400">
        <f t="shared" si="22"/>
        <v>36.49</v>
      </c>
      <c r="Y165" s="400">
        <f t="shared" si="22"/>
        <v>15.43</v>
      </c>
      <c r="Z165" s="414">
        <f t="shared" si="22"/>
        <v>0</v>
      </c>
      <c r="AA165" s="414">
        <f t="shared" si="22"/>
        <v>0</v>
      </c>
      <c r="AB165" s="414">
        <f t="shared" si="22"/>
        <v>219.59</v>
      </c>
      <c r="AC165" s="400">
        <f t="shared" si="22"/>
        <v>59.18</v>
      </c>
      <c r="AD165" s="400">
        <f t="shared" si="22"/>
        <v>17.260000000000002</v>
      </c>
      <c r="AE165" s="414">
        <f t="shared" si="22"/>
        <v>0</v>
      </c>
      <c r="AF165" s="414">
        <f t="shared" si="22"/>
        <v>0</v>
      </c>
      <c r="AG165" s="414">
        <f t="shared" si="22"/>
        <v>220.63</v>
      </c>
      <c r="AH165" s="400">
        <f t="shared" si="22"/>
        <v>58.22</v>
      </c>
      <c r="AI165" s="400">
        <f t="shared" si="22"/>
        <v>18.03</v>
      </c>
      <c r="AJ165" s="414">
        <f t="shared" si="22"/>
        <v>0</v>
      </c>
      <c r="AK165" s="414">
        <f t="shared" si="22"/>
        <v>0</v>
      </c>
      <c r="AL165" s="414">
        <f t="shared" si="22"/>
        <v>235.72</v>
      </c>
      <c r="AM165" s="400">
        <f t="shared" si="22"/>
        <v>60.22</v>
      </c>
      <c r="AN165" s="400">
        <f t="shared" si="22"/>
        <v>17.47</v>
      </c>
      <c r="AO165" s="414">
        <f t="shared" si="22"/>
        <v>0</v>
      </c>
      <c r="AP165" s="414">
        <f t="shared" si="22"/>
        <v>0</v>
      </c>
    </row>
    <row r="166" spans="1:42" ht="47.25">
      <c r="A166" s="321"/>
      <c r="B166" s="413" t="s">
        <v>255</v>
      </c>
      <c r="C166" s="415"/>
      <c r="D166" s="409">
        <f>IF(D165&gt;0,(135.18*D165+8585.01),0)</f>
        <v>18745.138800000001</v>
      </c>
      <c r="E166" s="409">
        <f>IF(E165&gt;0,(135.18*E165+8585.01),0)</f>
        <v>11081.784600000001</v>
      </c>
      <c r="F166" s="415"/>
      <c r="G166" s="416">
        <f>IF(G165&gt;0,(135.18*G165+8585.01),0)</f>
        <v>12480.8976</v>
      </c>
      <c r="H166" s="415"/>
      <c r="I166" s="409">
        <f>IF(I165&gt;0,(135.18*I165+8585.01),0)</f>
        <v>16537.649399999998</v>
      </c>
      <c r="J166" s="409">
        <f>IF(J165&gt;0,(135.18*J165+8585.01),0)</f>
        <v>11107.468800000001</v>
      </c>
      <c r="K166" s="415"/>
      <c r="L166" s="415">
        <f>IF(L165&gt;0,(130.69*L165+48773.1),0)</f>
        <v>0</v>
      </c>
      <c r="M166" s="415"/>
      <c r="N166" s="409">
        <f>IF(N165&gt;0,(135.18*N165+8585.01),0)</f>
        <v>16167.2562</v>
      </c>
      <c r="O166" s="409">
        <f>IF(O165&gt;0,(135.18*O165+8585.01),0)</f>
        <v>11070.9702</v>
      </c>
      <c r="P166" s="415"/>
      <c r="Q166" s="415">
        <f>IF(Q165&gt;0,(2139.75*Q165+9199.07),0)</f>
        <v>0</v>
      </c>
      <c r="R166" s="415"/>
      <c r="S166" s="409">
        <f>IF(S165&gt;0,(135.18*S165+8585.01),0)</f>
        <v>19888.761600000002</v>
      </c>
      <c r="T166" s="409">
        <f>IF(T165&gt;0,(135.18*T165+8585.01),0)</f>
        <v>11065.563</v>
      </c>
      <c r="U166" s="415"/>
      <c r="V166" s="415">
        <f>IF(V165&gt;0,(154.67*V165+10407.61),0)</f>
        <v>0</v>
      </c>
      <c r="W166" s="415"/>
      <c r="X166" s="409">
        <f>IF(X165&gt;0,(135.18*X165+8585.01),0)</f>
        <v>13517.7282</v>
      </c>
      <c r="Y166" s="409">
        <f>IF(Y165&gt;0,(135.18*Y165+8585.01),0)</f>
        <v>10670.8374</v>
      </c>
      <c r="Z166" s="415"/>
      <c r="AA166" s="415">
        <f>IF(AA165&gt;0,(154.67*AA165+11713.21),0)</f>
        <v>0</v>
      </c>
      <c r="AB166" s="415"/>
      <c r="AC166" s="409">
        <f>IF(AC165&gt;0,(135.18*AC165+8585.01),0)</f>
        <v>16584.9624</v>
      </c>
      <c r="AD166" s="409">
        <f>IF(AD165&gt;0,(135.18*AD165+8585.01),0)</f>
        <v>10918.2168</v>
      </c>
      <c r="AE166" s="415"/>
      <c r="AF166" s="415">
        <f>IF(AF165&gt;0,(169.44*AF165+13474.44),0)</f>
        <v>0</v>
      </c>
      <c r="AG166" s="415"/>
      <c r="AH166" s="409">
        <f>IF(AH165&gt;0,(135.18*AH165+8585.01),0)</f>
        <v>16455.189600000002</v>
      </c>
      <c r="AI166" s="409">
        <f>IF(AI165&gt;0,(135.18*AI165+8585.01),0)</f>
        <v>11022.305399999999</v>
      </c>
      <c r="AJ166" s="415"/>
      <c r="AK166" s="415">
        <f>IF(AK165&gt;0,(169.44*AK165+13474.44),0)</f>
        <v>0</v>
      </c>
      <c r="AL166" s="415"/>
      <c r="AM166" s="409">
        <f>IF(AM165&gt;0,(135.18*AM165+8585.01),0)</f>
        <v>16725.549599999998</v>
      </c>
      <c r="AN166" s="409">
        <f>IF(AN165&gt;0,(135.18*AN165+8585.01),0)</f>
        <v>10946.604600000001</v>
      </c>
      <c r="AO166" s="415"/>
      <c r="AP166" s="415">
        <f>IF(AP165&gt;0,(169.44*AP165+13474.44),0)</f>
        <v>0</v>
      </c>
    </row>
    <row r="167" spans="1:42" ht="15.75">
      <c r="A167" s="321"/>
      <c r="B167" s="413" t="s">
        <v>256</v>
      </c>
      <c r="C167" s="415"/>
      <c r="D167" s="394"/>
      <c r="E167" s="394"/>
      <c r="F167" s="415"/>
      <c r="G167" s="415"/>
      <c r="H167" s="415"/>
      <c r="I167" s="394"/>
      <c r="J167" s="394"/>
      <c r="K167" s="415"/>
      <c r="L167" s="415"/>
      <c r="M167" s="415"/>
      <c r="N167" s="394"/>
      <c r="O167" s="394"/>
      <c r="P167" s="415"/>
      <c r="Q167" s="415"/>
      <c r="R167" s="415"/>
      <c r="S167" s="394"/>
      <c r="T167" s="394"/>
      <c r="U167" s="415"/>
      <c r="V167" s="415"/>
      <c r="W167" s="415"/>
      <c r="X167" s="394"/>
      <c r="Y167" s="394"/>
      <c r="Z167" s="415"/>
      <c r="AA167" s="415"/>
      <c r="AB167" s="415"/>
      <c r="AC167" s="394"/>
      <c r="AD167" s="394"/>
      <c r="AE167" s="415"/>
      <c r="AF167" s="415"/>
      <c r="AG167" s="415"/>
      <c r="AH167" s="394"/>
      <c r="AI167" s="394"/>
      <c r="AJ167" s="415"/>
      <c r="AK167" s="415"/>
      <c r="AL167" s="415"/>
      <c r="AM167" s="394"/>
      <c r="AN167" s="394"/>
      <c r="AO167" s="415"/>
      <c r="AP167" s="415"/>
    </row>
    <row r="168" spans="1:42" ht="47.25">
      <c r="A168" s="321"/>
      <c r="B168" s="413" t="s">
        <v>255</v>
      </c>
      <c r="C168" s="415"/>
      <c r="D168" s="394"/>
      <c r="E168" s="394"/>
      <c r="F168" s="415"/>
      <c r="G168" s="416">
        <f>(1-F167%)*G166</f>
        <v>12480.8976</v>
      </c>
      <c r="H168" s="415"/>
      <c r="I168" s="394"/>
      <c r="J168" s="394"/>
      <c r="K168" s="415"/>
      <c r="L168" s="415">
        <f>(1-K167%)*L166</f>
        <v>0</v>
      </c>
      <c r="M168" s="415"/>
      <c r="N168" s="394"/>
      <c r="O168" s="394"/>
      <c r="P168" s="415"/>
      <c r="Q168" s="415">
        <f>(1-P167%)*Q166</f>
        <v>0</v>
      </c>
      <c r="R168" s="415"/>
      <c r="S168" s="394"/>
      <c r="T168" s="394"/>
      <c r="U168" s="415"/>
      <c r="V168" s="415">
        <f>(1-U167%)*V166</f>
        <v>0</v>
      </c>
      <c r="W168" s="415"/>
      <c r="X168" s="394"/>
      <c r="Y168" s="394"/>
      <c r="Z168" s="415"/>
      <c r="AA168" s="415">
        <f>(1-Z167%)*AA166</f>
        <v>0</v>
      </c>
      <c r="AB168" s="415"/>
      <c r="AC168" s="394"/>
      <c r="AD168" s="394"/>
      <c r="AE168" s="415"/>
      <c r="AF168" s="415">
        <f>(1-AE167%)*AF166</f>
        <v>0</v>
      </c>
      <c r="AG168" s="415"/>
      <c r="AH168" s="394"/>
      <c r="AI168" s="394"/>
      <c r="AJ168" s="415"/>
      <c r="AK168" s="415">
        <f>(1-AJ167%)*AK166</f>
        <v>0</v>
      </c>
      <c r="AL168" s="415"/>
      <c r="AM168" s="394"/>
      <c r="AN168" s="394"/>
      <c r="AO168" s="415"/>
      <c r="AP168" s="415">
        <f>(1-AO167%)*AP166</f>
        <v>0</v>
      </c>
    </row>
    <row r="169" spans="1:42" ht="15.75">
      <c r="A169" s="321"/>
      <c r="B169" s="413" t="s">
        <v>257</v>
      </c>
      <c r="C169" s="415"/>
      <c r="D169" s="394"/>
      <c r="E169" s="394"/>
      <c r="F169" s="415"/>
      <c r="G169" s="417" t="e">
        <f>#REF!</f>
        <v>#REF!</v>
      </c>
      <c r="H169" s="415"/>
      <c r="I169" s="394"/>
      <c r="J169" s="394"/>
      <c r="K169" s="415"/>
      <c r="L169" s="415"/>
      <c r="M169" s="415"/>
      <c r="N169" s="394"/>
      <c r="O169" s="394"/>
      <c r="P169" s="415"/>
      <c r="Q169" s="415"/>
      <c r="R169" s="415"/>
      <c r="S169" s="394"/>
      <c r="T169" s="394"/>
      <c r="U169" s="415"/>
      <c r="V169" s="415"/>
      <c r="W169" s="415"/>
      <c r="X169" s="394"/>
      <c r="Y169" s="394"/>
      <c r="Z169" s="415"/>
      <c r="AA169" s="415"/>
      <c r="AB169" s="415"/>
      <c r="AC169" s="394"/>
      <c r="AD169" s="394"/>
      <c r="AE169" s="415"/>
      <c r="AF169" s="415"/>
      <c r="AG169" s="415"/>
      <c r="AH169" s="394"/>
      <c r="AI169" s="394"/>
      <c r="AJ169" s="415"/>
      <c r="AK169" s="415"/>
      <c r="AL169" s="415"/>
      <c r="AM169" s="394"/>
      <c r="AN169" s="394"/>
      <c r="AO169" s="415"/>
      <c r="AP169" s="415"/>
    </row>
    <row r="170" spans="1:42">
      <c r="A170" s="321"/>
      <c r="B170" s="415" t="s">
        <v>258</v>
      </c>
      <c r="C170" s="415"/>
      <c r="D170" s="394"/>
      <c r="E170" s="394"/>
      <c r="F170" s="415"/>
      <c r="G170" s="416" t="e">
        <f>G169*15582</f>
        <v>#REF!</v>
      </c>
      <c r="H170" s="415"/>
      <c r="I170" s="394"/>
      <c r="J170" s="394"/>
      <c r="K170" s="415"/>
      <c r="L170" s="415">
        <f>L168*L169</f>
        <v>0</v>
      </c>
      <c r="M170" s="415"/>
      <c r="N170" s="394"/>
      <c r="O170" s="394"/>
      <c r="P170" s="415"/>
      <c r="Q170" s="415">
        <f>Q168*Q169</f>
        <v>0</v>
      </c>
      <c r="R170" s="415"/>
      <c r="S170" s="394"/>
      <c r="T170" s="394"/>
      <c r="U170" s="415"/>
      <c r="V170" s="415">
        <f>V168*V169</f>
        <v>0</v>
      </c>
      <c r="W170" s="415"/>
      <c r="X170" s="394"/>
      <c r="Y170" s="394"/>
      <c r="Z170" s="415"/>
      <c r="AA170" s="415">
        <f>AA168*AA169</f>
        <v>0</v>
      </c>
      <c r="AB170" s="415"/>
      <c r="AC170" s="394"/>
      <c r="AD170" s="394"/>
      <c r="AE170" s="415"/>
      <c r="AF170" s="415">
        <f>AF168*AF169</f>
        <v>0</v>
      </c>
      <c r="AG170" s="415"/>
      <c r="AH170" s="394"/>
      <c r="AI170" s="394"/>
      <c r="AJ170" s="415"/>
      <c r="AK170" s="415">
        <f>AK168*AK169</f>
        <v>0</v>
      </c>
      <c r="AL170" s="415"/>
      <c r="AM170" s="394"/>
      <c r="AN170" s="394"/>
      <c r="AO170" s="415"/>
      <c r="AP170" s="415">
        <f>AP168*AP169</f>
        <v>0</v>
      </c>
    </row>
    <row r="171" spans="1:42" ht="15.75">
      <c r="B171" s="418" t="s">
        <v>490</v>
      </c>
      <c r="C171" s="142" t="e">
        <f>G170+L170+Q170+V170+AA170+AF170+AK170+AP170</f>
        <v>#REF!</v>
      </c>
      <c r="G171">
        <v>22980849.640000001</v>
      </c>
    </row>
  </sheetData>
  <mergeCells count="8">
    <mergeCell ref="AB4:AF4"/>
    <mergeCell ref="AG4:AK4"/>
    <mergeCell ref="AL4:AP4"/>
    <mergeCell ref="C4:G4"/>
    <mergeCell ref="H4:L4"/>
    <mergeCell ref="M4:Q4"/>
    <mergeCell ref="R4:V4"/>
    <mergeCell ref="W4:AA4"/>
  </mergeCells>
  <pageMargins left="0.7" right="0.7" top="0.75" bottom="0.75" header="0.3" footer="0.3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I161"/>
  <sheetViews>
    <sheetView topLeftCell="B1" workbookViewId="0">
      <selection activeCell="S5" sqref="S5"/>
    </sheetView>
  </sheetViews>
  <sheetFormatPr defaultColWidth="9" defaultRowHeight="15"/>
  <cols>
    <col min="2" max="2" width="29.28515625" customWidth="1"/>
    <col min="4" max="5" width="10.5703125" style="388" hidden="1" customWidth="1"/>
    <col min="7" max="7" width="14.28515625" customWidth="1"/>
    <col min="8" max="8" width="10.5703125" hidden="1" customWidth="1"/>
    <col min="9" max="9" width="9.5703125" hidden="1" customWidth="1"/>
    <col min="10" max="11" width="9" hidden="1" customWidth="1"/>
    <col min="12" max="12" width="9.5703125" hidden="1" customWidth="1"/>
    <col min="13" max="13" width="9.28515625" hidden="1" customWidth="1"/>
    <col min="15" max="15" width="14.28515625" customWidth="1"/>
    <col min="16" max="16" width="9.5703125" hidden="1" customWidth="1"/>
    <col min="17" max="17" width="9.28515625" hidden="1" customWidth="1"/>
    <col min="18" max="18" width="11.28515625" customWidth="1"/>
    <col min="20" max="20" width="9.5703125" customWidth="1"/>
    <col min="21" max="21" width="9.28515625" customWidth="1"/>
    <col min="24" max="24" width="9.5703125" hidden="1" customWidth="1"/>
    <col min="25" max="25" width="9.28515625" hidden="1" customWidth="1"/>
    <col min="28" max="28" width="9.5703125" hidden="1" customWidth="1"/>
    <col min="29" max="29" width="9.28515625" hidden="1" customWidth="1"/>
    <col min="32" max="32" width="9.5703125" hidden="1" customWidth="1"/>
    <col min="33" max="33" width="9.28515625" hidden="1" customWidth="1"/>
  </cols>
  <sheetData>
    <row r="1" spans="1:35" ht="41.25" customHeight="1"/>
    <row r="2" spans="1:35">
      <c r="A2" s="321" t="s">
        <v>193</v>
      </c>
      <c r="B2" s="490" t="s">
        <v>194</v>
      </c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491"/>
      <c r="S2" s="491"/>
      <c r="T2" s="491"/>
      <c r="U2" s="491"/>
      <c r="V2" s="491"/>
      <c r="W2" s="491"/>
      <c r="X2" s="491"/>
      <c r="Y2" s="491"/>
      <c r="Z2" s="491"/>
      <c r="AA2" s="491"/>
      <c r="AB2" s="491"/>
      <c r="AC2" s="491"/>
      <c r="AD2" s="491"/>
      <c r="AE2" s="491"/>
      <c r="AF2" s="491"/>
      <c r="AG2" s="491"/>
      <c r="AH2" s="491"/>
      <c r="AI2" s="491"/>
    </row>
    <row r="3" spans="1:35">
      <c r="A3" s="321"/>
      <c r="B3" s="389"/>
      <c r="C3" s="390" t="s">
        <v>491</v>
      </c>
      <c r="D3" s="391"/>
      <c r="E3" s="391"/>
      <c r="F3" s="390" t="s">
        <v>492</v>
      </c>
      <c r="G3" s="392">
        <v>4</v>
      </c>
      <c r="H3" s="389" t="s">
        <v>493</v>
      </c>
      <c r="I3" s="390"/>
      <c r="J3" s="390"/>
      <c r="K3" s="392">
        <v>4.5</v>
      </c>
      <c r="L3" s="390" t="s">
        <v>493</v>
      </c>
      <c r="M3" s="390"/>
      <c r="N3" s="390"/>
      <c r="O3" s="392">
        <v>5.5</v>
      </c>
      <c r="P3" s="390" t="s">
        <v>493</v>
      </c>
      <c r="Q3" s="390"/>
      <c r="R3" s="390"/>
      <c r="S3" s="392">
        <v>6.5</v>
      </c>
      <c r="T3" s="390"/>
      <c r="U3" s="390"/>
      <c r="V3" s="390" t="s">
        <v>493</v>
      </c>
      <c r="W3" s="392">
        <v>7.5</v>
      </c>
      <c r="X3" s="390"/>
      <c r="Y3" s="390"/>
      <c r="Z3" s="390" t="s">
        <v>493</v>
      </c>
      <c r="AA3" s="392">
        <v>8.5</v>
      </c>
      <c r="AB3" s="390"/>
      <c r="AC3" s="390"/>
      <c r="AD3" s="390" t="s">
        <v>493</v>
      </c>
      <c r="AE3" s="392">
        <v>10.5</v>
      </c>
      <c r="AF3" s="390"/>
      <c r="AG3" s="390"/>
      <c r="AH3" s="390" t="s">
        <v>493</v>
      </c>
      <c r="AI3" s="392">
        <v>11.5</v>
      </c>
    </row>
    <row r="4" spans="1:35" ht="15.75">
      <c r="A4" s="321">
        <v>1</v>
      </c>
      <c r="B4" s="393" t="s">
        <v>195</v>
      </c>
      <c r="C4" s="321" t="s">
        <v>196</v>
      </c>
      <c r="D4" s="394" t="s">
        <v>170</v>
      </c>
      <c r="E4" s="394" t="s">
        <v>171</v>
      </c>
      <c r="F4" s="321"/>
      <c r="G4" s="321"/>
      <c r="H4" s="394" t="s">
        <v>170</v>
      </c>
      <c r="I4" s="394" t="s">
        <v>171</v>
      </c>
      <c r="J4" s="322"/>
      <c r="K4" s="395"/>
      <c r="L4" s="394" t="s">
        <v>170</v>
      </c>
      <c r="M4" s="394" t="s">
        <v>171</v>
      </c>
      <c r="O4" s="396"/>
      <c r="P4" s="394" t="s">
        <v>170</v>
      </c>
      <c r="Q4" s="394" t="s">
        <v>171</v>
      </c>
      <c r="S4" s="396"/>
      <c r="T4" s="394" t="s">
        <v>170</v>
      </c>
      <c r="U4" s="394" t="s">
        <v>171</v>
      </c>
      <c r="W4" s="396"/>
      <c r="X4" s="394" t="s">
        <v>170</v>
      </c>
      <c r="Y4" s="394" t="s">
        <v>171</v>
      </c>
      <c r="AA4" s="396"/>
      <c r="AB4" s="394" t="s">
        <v>170</v>
      </c>
      <c r="AC4" s="394" t="s">
        <v>171</v>
      </c>
      <c r="AE4" s="396"/>
      <c r="AF4" s="394" t="s">
        <v>170</v>
      </c>
      <c r="AG4" s="394" t="s">
        <v>171</v>
      </c>
      <c r="AI4" s="396"/>
    </row>
    <row r="5" spans="1:35" ht="32.25" customHeight="1">
      <c r="A5" s="397"/>
      <c r="B5" s="398" t="s">
        <v>494</v>
      </c>
      <c r="C5" s="398">
        <v>0.22</v>
      </c>
      <c r="D5" s="399">
        <f>MAX(C5:C16)</f>
        <v>4.2</v>
      </c>
      <c r="E5" s="400">
        <f>MIN(C5:C16)</f>
        <v>0.22</v>
      </c>
      <c r="F5" s="321"/>
      <c r="G5" s="321">
        <f>$C5*F5/100</f>
        <v>0</v>
      </c>
      <c r="H5" s="399">
        <f>MAX(C5:C16)</f>
        <v>4.2</v>
      </c>
      <c r="I5" s="400">
        <f>MIN(C5:C16)</f>
        <v>0.22</v>
      </c>
      <c r="J5" s="401"/>
      <c r="K5" s="321">
        <f>$C5*H5/100</f>
        <v>9.2399999999999999E-3</v>
      </c>
      <c r="L5" s="399">
        <v>4.2</v>
      </c>
      <c r="M5" s="400">
        <v>0.22</v>
      </c>
      <c r="O5" s="1">
        <f>C5*N5/100</f>
        <v>0</v>
      </c>
      <c r="P5" s="399">
        <v>4.2</v>
      </c>
      <c r="Q5" s="400">
        <v>0.22</v>
      </c>
      <c r="R5" s="1"/>
      <c r="S5" s="321">
        <f>$C5*P5/100</f>
        <v>9.2399999999999999E-3</v>
      </c>
      <c r="T5" s="399">
        <v>4.2</v>
      </c>
      <c r="U5" s="400">
        <v>0.22</v>
      </c>
      <c r="W5" s="321">
        <f>$C5*V5/100</f>
        <v>0</v>
      </c>
      <c r="X5" s="399">
        <v>4.2</v>
      </c>
      <c r="Y5" s="400">
        <v>0.22</v>
      </c>
      <c r="AA5" s="321">
        <f>$C5*Z5/100</f>
        <v>0</v>
      </c>
      <c r="AB5" s="399">
        <v>4.2</v>
      </c>
      <c r="AC5" s="400">
        <v>0.22</v>
      </c>
      <c r="AE5" s="321">
        <f>$C5*AD5/100</f>
        <v>0</v>
      </c>
      <c r="AF5" s="399">
        <f>MAX(C5:C16)</f>
        <v>4.2</v>
      </c>
      <c r="AG5" s="400">
        <f>MIN(C5:C16)</f>
        <v>0.22</v>
      </c>
      <c r="AI5" s="321">
        <f>$C5*AH5/100</f>
        <v>0</v>
      </c>
    </row>
    <row r="6" spans="1:35" ht="32.25" customHeight="1">
      <c r="A6" s="397"/>
      <c r="B6" s="398" t="s">
        <v>495</v>
      </c>
      <c r="C6" s="492">
        <v>0.69</v>
      </c>
      <c r="D6" s="402"/>
      <c r="E6" s="402"/>
      <c r="F6" s="487"/>
      <c r="G6" s="487">
        <f>$C6*F6/100</f>
        <v>0</v>
      </c>
      <c r="H6" s="402"/>
      <c r="I6" s="402"/>
      <c r="J6" s="401"/>
      <c r="K6" s="487">
        <f>$C6*H6/100</f>
        <v>0</v>
      </c>
      <c r="L6" s="402"/>
      <c r="M6" s="402"/>
      <c r="N6" s="489"/>
      <c r="O6" s="487">
        <f>$C6*N6/100</f>
        <v>0</v>
      </c>
      <c r="P6" s="402"/>
      <c r="Q6" s="402"/>
      <c r="R6" s="1"/>
      <c r="S6" s="487">
        <f>$C6*P6/100</f>
        <v>0</v>
      </c>
      <c r="T6" s="402"/>
      <c r="U6" s="402"/>
      <c r="W6" s="487">
        <f>$C6*V6/100</f>
        <v>0</v>
      </c>
      <c r="X6" s="402"/>
      <c r="Y6" s="402"/>
      <c r="AA6" s="487">
        <f>$C6*Z6/100</f>
        <v>0</v>
      </c>
      <c r="AB6" s="402"/>
      <c r="AC6" s="402"/>
      <c r="AE6" s="487">
        <f>$C6*AD6/100</f>
        <v>0</v>
      </c>
      <c r="AF6" s="402"/>
      <c r="AG6" s="402"/>
      <c r="AI6" s="487">
        <f>$C6*AH6/100</f>
        <v>0</v>
      </c>
    </row>
    <row r="7" spans="1:35" ht="32.25" customHeight="1">
      <c r="A7" s="397"/>
      <c r="B7" s="398" t="s">
        <v>496</v>
      </c>
      <c r="C7" s="493"/>
      <c r="D7" s="403"/>
      <c r="E7" s="403"/>
      <c r="F7" s="488"/>
      <c r="G7" s="488"/>
      <c r="H7" s="403"/>
      <c r="I7" s="403"/>
      <c r="J7" s="401"/>
      <c r="K7" s="488"/>
      <c r="L7" s="403"/>
      <c r="M7" s="403"/>
      <c r="N7" s="489"/>
      <c r="O7" s="488"/>
      <c r="P7" s="403"/>
      <c r="Q7" s="403"/>
      <c r="R7" s="1"/>
      <c r="S7" s="488"/>
      <c r="T7" s="403"/>
      <c r="U7" s="403"/>
      <c r="W7" s="488"/>
      <c r="X7" s="403"/>
      <c r="Y7" s="403"/>
      <c r="AA7" s="488"/>
      <c r="AB7" s="403"/>
      <c r="AC7" s="403"/>
      <c r="AE7" s="488"/>
      <c r="AF7" s="403"/>
      <c r="AG7" s="403"/>
      <c r="AI7" s="488"/>
    </row>
    <row r="8" spans="1:35" ht="32.25" customHeight="1">
      <c r="A8" s="397"/>
      <c r="B8" s="398" t="s">
        <v>497</v>
      </c>
      <c r="C8" s="494">
        <v>2</v>
      </c>
      <c r="D8" s="404"/>
      <c r="E8" s="404"/>
      <c r="F8" s="487"/>
      <c r="G8" s="487">
        <f t="shared" ref="G8:G148" si="0">$C8*F8/100</f>
        <v>0</v>
      </c>
      <c r="H8" s="404"/>
      <c r="I8" s="404"/>
      <c r="J8" s="401"/>
      <c r="K8" s="487">
        <f>$C8*H8/100</f>
        <v>0</v>
      </c>
      <c r="L8" s="404"/>
      <c r="M8" s="404"/>
      <c r="N8" s="489"/>
      <c r="O8" s="487">
        <f>$C8*N8/100</f>
        <v>0</v>
      </c>
      <c r="P8" s="404"/>
      <c r="Q8" s="404"/>
      <c r="R8" s="1"/>
      <c r="S8" s="487">
        <f>$C8*P8/100</f>
        <v>0</v>
      </c>
      <c r="T8" s="404"/>
      <c r="U8" s="404"/>
      <c r="W8" s="487">
        <f t="shared" ref="W8:W148" si="1">$C8*V8/100</f>
        <v>0</v>
      </c>
      <c r="X8" s="404"/>
      <c r="Y8" s="404"/>
      <c r="AA8" s="487">
        <f t="shared" ref="AA8:AA148" si="2">$C8*Z8/100</f>
        <v>0</v>
      </c>
      <c r="AB8" s="404"/>
      <c r="AC8" s="404"/>
      <c r="AE8" s="487">
        <f t="shared" ref="AE8:AE148" si="3">$C8*AD8/100</f>
        <v>0</v>
      </c>
      <c r="AF8" s="404"/>
      <c r="AG8" s="404"/>
      <c r="AI8" s="487">
        <f t="shared" ref="AI8:AI148" si="4">$C8*AH8/100</f>
        <v>0</v>
      </c>
    </row>
    <row r="9" spans="1:35" ht="32.25" customHeight="1">
      <c r="A9" s="397"/>
      <c r="B9" s="398" t="s">
        <v>498</v>
      </c>
      <c r="C9" s="495"/>
      <c r="D9" s="405"/>
      <c r="E9" s="405"/>
      <c r="F9" s="489"/>
      <c r="G9" s="489"/>
      <c r="H9" s="405"/>
      <c r="I9" s="405"/>
      <c r="J9" s="401"/>
      <c r="K9" s="489"/>
      <c r="L9" s="405"/>
      <c r="M9" s="405"/>
      <c r="N9" s="489"/>
      <c r="O9" s="489"/>
      <c r="P9" s="405"/>
      <c r="Q9" s="405"/>
      <c r="R9" s="1"/>
      <c r="S9" s="489"/>
      <c r="T9" s="405"/>
      <c r="U9" s="405"/>
      <c r="W9" s="489"/>
      <c r="X9" s="405"/>
      <c r="Y9" s="405"/>
      <c r="AA9" s="489"/>
      <c r="AB9" s="405"/>
      <c r="AC9" s="405"/>
      <c r="AE9" s="489"/>
      <c r="AF9" s="405"/>
      <c r="AG9" s="405"/>
      <c r="AI9" s="489"/>
    </row>
    <row r="10" spans="1:35" ht="32.25" customHeight="1">
      <c r="A10" s="397"/>
      <c r="B10" s="398" t="s">
        <v>499</v>
      </c>
      <c r="C10" s="495"/>
      <c r="D10" s="405"/>
      <c r="E10" s="405"/>
      <c r="F10" s="489"/>
      <c r="G10" s="489"/>
      <c r="H10" s="405"/>
      <c r="I10" s="405"/>
      <c r="J10" s="401"/>
      <c r="K10" s="489"/>
      <c r="L10" s="405"/>
      <c r="M10" s="405"/>
      <c r="N10" s="489"/>
      <c r="O10" s="489"/>
      <c r="P10" s="405"/>
      <c r="Q10" s="405"/>
      <c r="R10" s="1"/>
      <c r="S10" s="489"/>
      <c r="T10" s="405"/>
      <c r="U10" s="405"/>
      <c r="W10" s="489"/>
      <c r="X10" s="405"/>
      <c r="Y10" s="405"/>
      <c r="AA10" s="489"/>
      <c r="AB10" s="405"/>
      <c r="AC10" s="405"/>
      <c r="AE10" s="489"/>
      <c r="AF10" s="405"/>
      <c r="AG10" s="405"/>
      <c r="AI10" s="489"/>
    </row>
    <row r="11" spans="1:35" ht="32.25" customHeight="1">
      <c r="A11" s="397"/>
      <c r="B11" s="398" t="s">
        <v>500</v>
      </c>
      <c r="C11" s="495"/>
      <c r="D11" s="405"/>
      <c r="E11" s="405"/>
      <c r="F11" s="489"/>
      <c r="G11" s="489"/>
      <c r="H11" s="405"/>
      <c r="I11" s="405"/>
      <c r="J11" s="401"/>
      <c r="K11" s="489"/>
      <c r="L11" s="405"/>
      <c r="M11" s="405"/>
      <c r="N11" s="489"/>
      <c r="O11" s="489"/>
      <c r="P11" s="405"/>
      <c r="Q11" s="405"/>
      <c r="R11" s="1"/>
      <c r="S11" s="489"/>
      <c r="T11" s="405"/>
      <c r="U11" s="405"/>
      <c r="W11" s="489"/>
      <c r="X11" s="405"/>
      <c r="Y11" s="405"/>
      <c r="AA11" s="489"/>
      <c r="AB11" s="405"/>
      <c r="AC11" s="405"/>
      <c r="AE11" s="489"/>
      <c r="AF11" s="405"/>
      <c r="AG11" s="405"/>
      <c r="AI11" s="489"/>
    </row>
    <row r="12" spans="1:35" ht="32.25" customHeight="1">
      <c r="A12" s="397"/>
      <c r="B12" s="398" t="s">
        <v>501</v>
      </c>
      <c r="C12" s="495"/>
      <c r="D12" s="405"/>
      <c r="E12" s="405"/>
      <c r="F12" s="489"/>
      <c r="G12" s="489"/>
      <c r="H12" s="405"/>
      <c r="I12" s="405"/>
      <c r="J12" s="401"/>
      <c r="K12" s="489"/>
      <c r="L12" s="405"/>
      <c r="M12" s="405"/>
      <c r="N12" s="489"/>
      <c r="O12" s="489"/>
      <c r="P12" s="405"/>
      <c r="Q12" s="405"/>
      <c r="R12" s="1"/>
      <c r="S12" s="489"/>
      <c r="T12" s="405"/>
      <c r="U12" s="405"/>
      <c r="W12" s="489"/>
      <c r="X12" s="405"/>
      <c r="Y12" s="405"/>
      <c r="AA12" s="489"/>
      <c r="AB12" s="405"/>
      <c r="AC12" s="405"/>
      <c r="AE12" s="489"/>
      <c r="AF12" s="405"/>
      <c r="AG12" s="405"/>
      <c r="AI12" s="489"/>
    </row>
    <row r="13" spans="1:35" ht="32.25" customHeight="1">
      <c r="A13" s="397"/>
      <c r="B13" s="398" t="s">
        <v>502</v>
      </c>
      <c r="C13" s="496"/>
      <c r="D13" s="406"/>
      <c r="E13" s="406"/>
      <c r="F13" s="488"/>
      <c r="G13" s="488"/>
      <c r="H13" s="406"/>
      <c r="I13" s="406"/>
      <c r="J13" s="401"/>
      <c r="K13" s="488"/>
      <c r="L13" s="406"/>
      <c r="M13" s="406"/>
      <c r="N13" s="489"/>
      <c r="O13" s="488"/>
      <c r="P13" s="406"/>
      <c r="Q13" s="406"/>
      <c r="R13" s="1"/>
      <c r="S13" s="488"/>
      <c r="T13" s="406"/>
      <c r="U13" s="406"/>
      <c r="W13" s="488"/>
      <c r="X13" s="406"/>
      <c r="Y13" s="406"/>
      <c r="AA13" s="488"/>
      <c r="AB13" s="406"/>
      <c r="AC13" s="406"/>
      <c r="AE13" s="488"/>
      <c r="AF13" s="406"/>
      <c r="AG13" s="406"/>
      <c r="AI13" s="488"/>
    </row>
    <row r="14" spans="1:35" ht="46.5" customHeight="1">
      <c r="A14" s="397"/>
      <c r="B14" s="398" t="s">
        <v>503</v>
      </c>
      <c r="C14" s="407">
        <v>2.87</v>
      </c>
      <c r="D14" s="400"/>
      <c r="E14" s="400"/>
      <c r="F14" s="321"/>
      <c r="G14" s="321">
        <f t="shared" si="0"/>
        <v>0</v>
      </c>
      <c r="H14" s="400"/>
      <c r="I14" s="400"/>
      <c r="J14" s="401"/>
      <c r="K14" s="321">
        <f>$C14*H14/100</f>
        <v>0</v>
      </c>
      <c r="L14" s="400"/>
      <c r="M14" s="400"/>
      <c r="O14" s="321">
        <f>$C14*N14/100</f>
        <v>0</v>
      </c>
      <c r="P14" s="400"/>
      <c r="Q14" s="400"/>
      <c r="R14" s="1"/>
      <c r="S14" s="321">
        <f t="shared" ref="S14:S148" si="5">$C14*P14/100</f>
        <v>0</v>
      </c>
      <c r="T14" s="400"/>
      <c r="U14" s="400"/>
      <c r="W14" s="321">
        <f t="shared" si="1"/>
        <v>0</v>
      </c>
      <c r="X14" s="400"/>
      <c r="Y14" s="400"/>
      <c r="AA14" s="321">
        <f t="shared" si="2"/>
        <v>0</v>
      </c>
      <c r="AB14" s="400"/>
      <c r="AC14" s="400"/>
      <c r="AE14" s="321">
        <f t="shared" si="3"/>
        <v>0</v>
      </c>
      <c r="AF14" s="400"/>
      <c r="AG14" s="400"/>
      <c r="AI14" s="321">
        <f t="shared" si="4"/>
        <v>0</v>
      </c>
    </row>
    <row r="15" spans="1:35" ht="46.5" customHeight="1">
      <c r="A15" s="397"/>
      <c r="B15" s="398" t="s">
        <v>504</v>
      </c>
      <c r="C15" s="407">
        <v>3.43</v>
      </c>
      <c r="D15" s="400"/>
      <c r="E15" s="400"/>
      <c r="F15" s="321"/>
      <c r="G15" s="321">
        <f t="shared" si="0"/>
        <v>0</v>
      </c>
      <c r="H15" s="400"/>
      <c r="I15" s="400"/>
      <c r="J15" s="401"/>
      <c r="K15" s="321">
        <f>$C15*H15/100</f>
        <v>0</v>
      </c>
      <c r="L15" s="400"/>
      <c r="M15" s="400"/>
      <c r="N15">
        <v>100</v>
      </c>
      <c r="O15" s="321">
        <f t="shared" ref="O15:O78" si="6">$C15*N15/100</f>
        <v>3.43</v>
      </c>
      <c r="P15" s="400"/>
      <c r="Q15" s="400"/>
      <c r="R15" s="1"/>
      <c r="S15" s="321">
        <f t="shared" si="5"/>
        <v>0</v>
      </c>
      <c r="T15" s="400"/>
      <c r="U15" s="400"/>
      <c r="W15" s="321">
        <f t="shared" si="1"/>
        <v>0</v>
      </c>
      <c r="X15" s="400"/>
      <c r="Y15" s="400"/>
      <c r="AA15" s="321">
        <f t="shared" si="2"/>
        <v>0</v>
      </c>
      <c r="AB15" s="400"/>
      <c r="AC15" s="400"/>
      <c r="AE15" s="321">
        <f t="shared" si="3"/>
        <v>0</v>
      </c>
      <c r="AF15" s="400"/>
      <c r="AG15" s="400"/>
      <c r="AI15" s="321">
        <f t="shared" si="4"/>
        <v>0</v>
      </c>
    </row>
    <row r="16" spans="1:35" ht="46.5" customHeight="1">
      <c r="A16" s="397"/>
      <c r="B16" s="398" t="s">
        <v>505</v>
      </c>
      <c r="C16" s="407">
        <v>4.2</v>
      </c>
      <c r="D16" s="400"/>
      <c r="E16" s="400"/>
      <c r="F16" s="321"/>
      <c r="G16" s="321"/>
      <c r="H16" s="400"/>
      <c r="I16" s="400"/>
      <c r="J16" s="401"/>
      <c r="K16" s="321"/>
      <c r="L16" s="400"/>
      <c r="M16" s="400"/>
      <c r="O16" s="321">
        <f t="shared" si="6"/>
        <v>0</v>
      </c>
      <c r="P16" s="400"/>
      <c r="Q16" s="400"/>
      <c r="R16" s="1"/>
      <c r="S16" s="321"/>
      <c r="T16" s="400"/>
      <c r="U16" s="400"/>
      <c r="W16" s="321"/>
      <c r="X16" s="400"/>
      <c r="Y16" s="400"/>
      <c r="AA16" s="321"/>
      <c r="AB16" s="400"/>
      <c r="AC16" s="400"/>
      <c r="AE16" s="321"/>
      <c r="AF16" s="400"/>
      <c r="AG16" s="400"/>
      <c r="AI16" s="321"/>
    </row>
    <row r="17" spans="1:35" ht="15.75">
      <c r="A17" s="321">
        <v>2</v>
      </c>
      <c r="B17" s="408" t="s">
        <v>201</v>
      </c>
      <c r="C17" s="407"/>
      <c r="D17" s="400"/>
      <c r="E17" s="400"/>
      <c r="F17" s="321"/>
      <c r="G17" s="321">
        <f t="shared" si="0"/>
        <v>0</v>
      </c>
      <c r="H17" s="400"/>
      <c r="I17" s="400"/>
      <c r="J17" s="401"/>
      <c r="K17" s="321">
        <f t="shared" ref="K17:K54" si="7">$C17*H17/100</f>
        <v>0</v>
      </c>
      <c r="L17" s="400"/>
      <c r="M17" s="400"/>
      <c r="O17" s="321">
        <f t="shared" si="6"/>
        <v>0</v>
      </c>
      <c r="P17" s="400"/>
      <c r="Q17" s="400"/>
      <c r="R17" s="1"/>
      <c r="S17" s="321">
        <f t="shared" si="5"/>
        <v>0</v>
      </c>
      <c r="T17" s="400"/>
      <c r="U17" s="400"/>
      <c r="W17" s="321">
        <f t="shared" si="1"/>
        <v>0</v>
      </c>
      <c r="X17" s="400"/>
      <c r="Y17" s="400"/>
      <c r="AA17" s="321">
        <f t="shared" si="2"/>
        <v>0</v>
      </c>
      <c r="AB17" s="400"/>
      <c r="AC17" s="400"/>
      <c r="AE17" s="321">
        <f t="shared" si="3"/>
        <v>0</v>
      </c>
      <c r="AF17" s="400"/>
      <c r="AG17" s="400"/>
      <c r="AI17" s="321">
        <f t="shared" si="4"/>
        <v>0</v>
      </c>
    </row>
    <row r="18" spans="1:35" ht="46.5" customHeight="1">
      <c r="A18" s="397"/>
      <c r="B18" s="398" t="s">
        <v>506</v>
      </c>
      <c r="C18" s="407">
        <v>1.38</v>
      </c>
      <c r="D18" s="399">
        <f>MAX(C18:C20)</f>
        <v>10.76</v>
      </c>
      <c r="E18" s="400">
        <f>MIN(C18:C20)</f>
        <v>1.38</v>
      </c>
      <c r="F18" s="321"/>
      <c r="G18" s="321">
        <f t="shared" si="0"/>
        <v>0</v>
      </c>
      <c r="H18" s="399">
        <f>MAX(C18:C20)</f>
        <v>10.76</v>
      </c>
      <c r="I18" s="400">
        <f>MIN(C18:C20)</f>
        <v>1.38</v>
      </c>
      <c r="J18" s="401"/>
      <c r="K18" s="321">
        <f t="shared" si="7"/>
        <v>0.14848800000000001</v>
      </c>
      <c r="L18" s="399">
        <v>10.76</v>
      </c>
      <c r="M18" s="400">
        <v>1.38</v>
      </c>
      <c r="N18">
        <v>100</v>
      </c>
      <c r="O18" s="321">
        <f t="shared" si="6"/>
        <v>1.38</v>
      </c>
      <c r="P18" s="399">
        <v>10.76</v>
      </c>
      <c r="Q18" s="400">
        <v>1.38</v>
      </c>
      <c r="R18" s="1"/>
      <c r="S18" s="321">
        <f t="shared" si="5"/>
        <v>0.14848800000000001</v>
      </c>
      <c r="T18" s="399">
        <v>10.76</v>
      </c>
      <c r="U18" s="400">
        <v>1.38</v>
      </c>
      <c r="W18" s="321">
        <f t="shared" si="1"/>
        <v>0</v>
      </c>
      <c r="X18" s="399">
        <v>10.76</v>
      </c>
      <c r="Y18" s="400">
        <v>1.38</v>
      </c>
      <c r="AA18" s="321">
        <f t="shared" si="2"/>
        <v>0</v>
      </c>
      <c r="AB18" s="399">
        <v>10.76</v>
      </c>
      <c r="AC18" s="400">
        <v>1.38</v>
      </c>
      <c r="AE18" s="321">
        <f t="shared" si="3"/>
        <v>0</v>
      </c>
      <c r="AF18" s="399">
        <f>MAX(C18:C20)</f>
        <v>10.76</v>
      </c>
      <c r="AG18" s="400">
        <f>MIN(C18:C20)</f>
        <v>1.38</v>
      </c>
      <c r="AI18" s="321">
        <f t="shared" si="4"/>
        <v>0</v>
      </c>
    </row>
    <row r="19" spans="1:35" ht="46.5" customHeight="1">
      <c r="A19" s="397"/>
      <c r="B19" s="398" t="s">
        <v>507</v>
      </c>
      <c r="C19" s="407">
        <v>2.37</v>
      </c>
      <c r="D19" s="400"/>
      <c r="E19" s="400"/>
      <c r="F19" s="321"/>
      <c r="G19" s="321">
        <f t="shared" si="0"/>
        <v>0</v>
      </c>
      <c r="H19" s="400"/>
      <c r="I19" s="400"/>
      <c r="J19" s="401"/>
      <c r="K19" s="321">
        <f t="shared" si="7"/>
        <v>0</v>
      </c>
      <c r="L19" s="400"/>
      <c r="M19" s="400"/>
      <c r="O19" s="321">
        <f t="shared" si="6"/>
        <v>0</v>
      </c>
      <c r="P19" s="400"/>
      <c r="Q19" s="400"/>
      <c r="R19" s="1"/>
      <c r="S19" s="321">
        <f t="shared" si="5"/>
        <v>0</v>
      </c>
      <c r="T19" s="400"/>
      <c r="U19" s="400"/>
      <c r="W19" s="321">
        <f t="shared" si="1"/>
        <v>0</v>
      </c>
      <c r="X19" s="400"/>
      <c r="Y19" s="400"/>
      <c r="AA19" s="321">
        <f t="shared" si="2"/>
        <v>0</v>
      </c>
      <c r="AB19" s="400"/>
      <c r="AC19" s="400"/>
      <c r="AE19" s="321">
        <f t="shared" si="3"/>
        <v>0</v>
      </c>
      <c r="AF19" s="400"/>
      <c r="AG19" s="400"/>
      <c r="AI19" s="321">
        <f t="shared" si="4"/>
        <v>0</v>
      </c>
    </row>
    <row r="20" spans="1:35" ht="46.5" customHeight="1">
      <c r="A20" s="397"/>
      <c r="B20" s="398" t="s">
        <v>508</v>
      </c>
      <c r="C20" s="407">
        <v>10.76</v>
      </c>
      <c r="D20" s="400"/>
      <c r="E20" s="400"/>
      <c r="F20" s="321"/>
      <c r="G20" s="321">
        <f t="shared" si="0"/>
        <v>0</v>
      </c>
      <c r="H20" s="400"/>
      <c r="I20" s="400"/>
      <c r="J20" s="401"/>
      <c r="K20" s="321">
        <f t="shared" si="7"/>
        <v>0</v>
      </c>
      <c r="L20" s="400"/>
      <c r="M20" s="400"/>
      <c r="O20" s="321">
        <f t="shared" si="6"/>
        <v>0</v>
      </c>
      <c r="P20" s="400"/>
      <c r="Q20" s="400"/>
      <c r="R20" s="1"/>
      <c r="S20" s="321">
        <f t="shared" si="5"/>
        <v>0</v>
      </c>
      <c r="T20" s="400"/>
      <c r="U20" s="400"/>
      <c r="W20" s="321">
        <f t="shared" si="1"/>
        <v>0</v>
      </c>
      <c r="X20" s="400"/>
      <c r="Y20" s="400"/>
      <c r="AA20" s="321">
        <f t="shared" si="2"/>
        <v>0</v>
      </c>
      <c r="AB20" s="400"/>
      <c r="AC20" s="400"/>
      <c r="AE20" s="321">
        <f t="shared" si="3"/>
        <v>0</v>
      </c>
      <c r="AF20" s="400"/>
      <c r="AG20" s="400"/>
      <c r="AI20" s="321">
        <f t="shared" si="4"/>
        <v>0</v>
      </c>
    </row>
    <row r="21" spans="1:35" ht="15.75">
      <c r="A21" s="321">
        <v>3</v>
      </c>
      <c r="B21" s="408" t="s">
        <v>267</v>
      </c>
      <c r="C21" s="407"/>
      <c r="D21" s="400"/>
      <c r="E21" s="400"/>
      <c r="F21" s="321"/>
      <c r="G21" s="321">
        <f t="shared" si="0"/>
        <v>0</v>
      </c>
      <c r="H21" s="400"/>
      <c r="I21" s="400"/>
      <c r="J21" s="401"/>
      <c r="K21" s="321">
        <f t="shared" si="7"/>
        <v>0</v>
      </c>
      <c r="L21" s="400"/>
      <c r="M21" s="400"/>
      <c r="O21" s="321">
        <f t="shared" si="6"/>
        <v>0</v>
      </c>
      <c r="P21" s="400"/>
      <c r="Q21" s="400"/>
      <c r="R21" s="1"/>
      <c r="S21" s="321">
        <f t="shared" si="5"/>
        <v>0</v>
      </c>
      <c r="T21" s="400"/>
      <c r="U21" s="400"/>
      <c r="W21" s="321">
        <f t="shared" si="1"/>
        <v>0</v>
      </c>
      <c r="X21" s="400"/>
      <c r="Y21" s="400"/>
      <c r="AA21" s="321">
        <f t="shared" si="2"/>
        <v>0</v>
      </c>
      <c r="AB21" s="400"/>
      <c r="AC21" s="400"/>
      <c r="AE21" s="321">
        <f t="shared" si="3"/>
        <v>0</v>
      </c>
      <c r="AF21" s="400"/>
      <c r="AG21" s="400"/>
      <c r="AI21" s="321">
        <f t="shared" si="4"/>
        <v>0</v>
      </c>
    </row>
    <row r="22" spans="1:35" ht="15.75">
      <c r="A22" s="321"/>
      <c r="B22" s="408" t="s">
        <v>268</v>
      </c>
      <c r="C22" s="407"/>
      <c r="D22" s="400"/>
      <c r="E22" s="400"/>
      <c r="F22" s="321"/>
      <c r="G22" s="321">
        <f t="shared" si="0"/>
        <v>0</v>
      </c>
      <c r="H22" s="400"/>
      <c r="I22" s="400"/>
      <c r="J22" s="401"/>
      <c r="K22" s="321">
        <f t="shared" si="7"/>
        <v>0</v>
      </c>
      <c r="L22" s="400"/>
      <c r="M22" s="400"/>
      <c r="O22" s="321">
        <f t="shared" si="6"/>
        <v>0</v>
      </c>
      <c r="P22" s="400"/>
      <c r="Q22" s="400"/>
      <c r="R22" s="1"/>
      <c r="S22" s="321">
        <f t="shared" si="5"/>
        <v>0</v>
      </c>
      <c r="T22" s="400"/>
      <c r="U22" s="400"/>
      <c r="W22" s="321">
        <f t="shared" si="1"/>
        <v>0</v>
      </c>
      <c r="X22" s="400"/>
      <c r="Y22" s="400"/>
      <c r="AA22" s="321">
        <f t="shared" si="2"/>
        <v>0</v>
      </c>
      <c r="AB22" s="400"/>
      <c r="AC22" s="400"/>
      <c r="AE22" s="321">
        <f t="shared" si="3"/>
        <v>0</v>
      </c>
      <c r="AF22" s="400"/>
      <c r="AG22" s="400"/>
      <c r="AI22" s="321">
        <f t="shared" si="4"/>
        <v>0</v>
      </c>
    </row>
    <row r="23" spans="1:35" ht="31.5">
      <c r="A23" s="397"/>
      <c r="B23" s="398" t="s">
        <v>509</v>
      </c>
      <c r="C23" s="407"/>
      <c r="D23" s="400"/>
      <c r="E23" s="400"/>
      <c r="F23" s="321"/>
      <c r="G23" s="321">
        <f t="shared" si="0"/>
        <v>0</v>
      </c>
      <c r="H23" s="400"/>
      <c r="I23" s="400"/>
      <c r="J23" s="401"/>
      <c r="K23" s="321">
        <f t="shared" si="7"/>
        <v>0</v>
      </c>
      <c r="L23" s="400"/>
      <c r="M23" s="400"/>
      <c r="O23" s="321">
        <f t="shared" si="6"/>
        <v>0</v>
      </c>
      <c r="P23" s="400"/>
      <c r="Q23" s="400"/>
      <c r="R23" s="1"/>
      <c r="S23" s="321">
        <f t="shared" si="5"/>
        <v>0</v>
      </c>
      <c r="T23" s="400"/>
      <c r="U23" s="400"/>
      <c r="W23" s="321">
        <f t="shared" si="1"/>
        <v>0</v>
      </c>
      <c r="X23" s="400"/>
      <c r="Y23" s="400"/>
      <c r="AA23" s="321">
        <f t="shared" si="2"/>
        <v>0</v>
      </c>
      <c r="AB23" s="400"/>
      <c r="AC23" s="400"/>
      <c r="AE23" s="321">
        <f t="shared" si="3"/>
        <v>0</v>
      </c>
      <c r="AF23" s="400"/>
      <c r="AG23" s="400"/>
      <c r="AI23" s="321">
        <f t="shared" si="4"/>
        <v>0</v>
      </c>
    </row>
    <row r="24" spans="1:35" ht="15.75">
      <c r="A24" s="321"/>
      <c r="B24" s="408" t="s">
        <v>281</v>
      </c>
      <c r="C24" s="407"/>
      <c r="D24" s="400"/>
      <c r="E24" s="400"/>
      <c r="F24" s="321"/>
      <c r="G24" s="321">
        <f t="shared" si="0"/>
        <v>0</v>
      </c>
      <c r="H24" s="400"/>
      <c r="I24" s="400"/>
      <c r="J24" s="401"/>
      <c r="K24" s="321">
        <f t="shared" si="7"/>
        <v>0</v>
      </c>
      <c r="L24" s="400"/>
      <c r="M24" s="400"/>
      <c r="O24" s="321">
        <f t="shared" si="6"/>
        <v>0</v>
      </c>
      <c r="P24" s="400"/>
      <c r="Q24" s="400"/>
      <c r="R24" s="1"/>
      <c r="S24" s="321">
        <f t="shared" si="5"/>
        <v>0</v>
      </c>
      <c r="T24" s="400"/>
      <c r="U24" s="400"/>
      <c r="W24" s="321">
        <f t="shared" si="1"/>
        <v>0</v>
      </c>
      <c r="X24" s="400"/>
      <c r="Y24" s="400"/>
      <c r="AA24" s="321">
        <f t="shared" si="2"/>
        <v>0</v>
      </c>
      <c r="AB24" s="400"/>
      <c r="AC24" s="400"/>
      <c r="AE24" s="321">
        <f t="shared" si="3"/>
        <v>0</v>
      </c>
      <c r="AF24" s="400"/>
      <c r="AG24" s="400"/>
      <c r="AI24" s="321">
        <f t="shared" si="4"/>
        <v>0</v>
      </c>
    </row>
    <row r="25" spans="1:35" ht="15.75">
      <c r="A25" s="397"/>
      <c r="B25" s="398" t="s">
        <v>510</v>
      </c>
      <c r="C25" s="407">
        <v>0.26</v>
      </c>
      <c r="D25" s="399">
        <f>MAX(C25:C33)</f>
        <v>2.42</v>
      </c>
      <c r="E25" s="400">
        <f>MIN(C25:C33)</f>
        <v>0.26</v>
      </c>
      <c r="F25" s="321"/>
      <c r="G25" s="321">
        <f t="shared" si="0"/>
        <v>0</v>
      </c>
      <c r="H25" s="399">
        <f>MAX(C25:C33)</f>
        <v>2.42</v>
      </c>
      <c r="I25" s="400">
        <f>MIN(C25:C33)</f>
        <v>0.26</v>
      </c>
      <c r="J25" s="401"/>
      <c r="K25" s="321">
        <f t="shared" si="7"/>
        <v>6.2919999999999998E-3</v>
      </c>
      <c r="L25" s="399">
        <v>2.42</v>
      </c>
      <c r="M25" s="400">
        <v>0.26</v>
      </c>
      <c r="O25" s="321">
        <f t="shared" si="6"/>
        <v>0</v>
      </c>
      <c r="P25" s="399">
        <v>2.42</v>
      </c>
      <c r="Q25" s="400">
        <v>0.26</v>
      </c>
      <c r="R25" s="1"/>
      <c r="S25" s="321">
        <f t="shared" si="5"/>
        <v>6.2919999999999998E-3</v>
      </c>
      <c r="T25" s="399">
        <v>2.42</v>
      </c>
      <c r="U25" s="400">
        <v>0.26</v>
      </c>
      <c r="W25" s="321">
        <f t="shared" si="1"/>
        <v>0</v>
      </c>
      <c r="X25" s="399">
        <v>2.42</v>
      </c>
      <c r="Y25" s="400">
        <v>0.26</v>
      </c>
      <c r="AA25" s="321">
        <f t="shared" si="2"/>
        <v>0</v>
      </c>
      <c r="AB25" s="399">
        <v>2.42</v>
      </c>
      <c r="AC25" s="400">
        <v>0.26</v>
      </c>
      <c r="AE25" s="321">
        <f t="shared" si="3"/>
        <v>0</v>
      </c>
      <c r="AF25" s="399">
        <f>MAX(C25:C33)</f>
        <v>2.42</v>
      </c>
      <c r="AG25" s="400">
        <f>MIN(C25:C33)</f>
        <v>0.26</v>
      </c>
      <c r="AI25" s="321">
        <f t="shared" si="4"/>
        <v>0</v>
      </c>
    </row>
    <row r="26" spans="1:35" ht="15.75">
      <c r="A26" s="397"/>
      <c r="B26" s="398" t="s">
        <v>511</v>
      </c>
      <c r="C26" s="407">
        <v>0.52</v>
      </c>
      <c r="D26" s="400"/>
      <c r="E26" s="400"/>
      <c r="F26" s="321"/>
      <c r="G26" s="321">
        <f>$C26*F26/100</f>
        <v>0</v>
      </c>
      <c r="H26" s="400"/>
      <c r="I26" s="400"/>
      <c r="J26" s="401"/>
      <c r="K26" s="321">
        <f t="shared" si="7"/>
        <v>0</v>
      </c>
      <c r="L26" s="400"/>
      <c r="M26" s="400"/>
      <c r="O26" s="321">
        <f t="shared" si="6"/>
        <v>0</v>
      </c>
      <c r="P26" s="400"/>
      <c r="Q26" s="400"/>
      <c r="R26" s="1"/>
      <c r="S26" s="321">
        <f>$C26*P26/100</f>
        <v>0</v>
      </c>
      <c r="T26" s="400"/>
      <c r="U26" s="400"/>
      <c r="W26" s="321">
        <f>$C26*V26/100</f>
        <v>0</v>
      </c>
      <c r="X26" s="400"/>
      <c r="Y26" s="400"/>
      <c r="AA26" s="321">
        <f>$C26*Z26/100</f>
        <v>0</v>
      </c>
      <c r="AB26" s="400"/>
      <c r="AC26" s="400"/>
      <c r="AE26" s="321">
        <f>$C26*AD26/100</f>
        <v>0</v>
      </c>
      <c r="AF26" s="400"/>
      <c r="AG26" s="400"/>
      <c r="AI26" s="321">
        <f>$C26*AH26/100</f>
        <v>0</v>
      </c>
    </row>
    <row r="27" spans="1:35" ht="15.75">
      <c r="A27" s="397"/>
      <c r="B27" s="398" t="s">
        <v>284</v>
      </c>
      <c r="C27" s="407">
        <v>0.38</v>
      </c>
      <c r="D27" s="400"/>
      <c r="E27" s="400"/>
      <c r="F27" s="321"/>
      <c r="G27" s="321">
        <f>$C27*F27/100</f>
        <v>0</v>
      </c>
      <c r="H27" s="400"/>
      <c r="I27" s="400"/>
      <c r="J27" s="401"/>
      <c r="K27" s="321">
        <f t="shared" si="7"/>
        <v>0</v>
      </c>
      <c r="L27" s="400"/>
      <c r="M27" s="400"/>
      <c r="O27" s="321">
        <f t="shared" si="6"/>
        <v>0</v>
      </c>
      <c r="P27" s="400"/>
      <c r="Q27" s="400"/>
      <c r="R27" s="1"/>
      <c r="S27" s="321">
        <f>$C27*P27/100</f>
        <v>0</v>
      </c>
      <c r="T27" s="400"/>
      <c r="U27" s="400"/>
      <c r="W27" s="321">
        <f>$C27*V27/100</f>
        <v>0</v>
      </c>
      <c r="X27" s="400"/>
      <c r="Y27" s="400"/>
      <c r="AA27" s="321">
        <f>$C27*Z27/100</f>
        <v>0</v>
      </c>
      <c r="AB27" s="400"/>
      <c r="AC27" s="400"/>
      <c r="AE27" s="321">
        <f>$C27*AD27/100</f>
        <v>0</v>
      </c>
      <c r="AF27" s="400"/>
      <c r="AG27" s="400"/>
      <c r="AI27" s="321">
        <f>$C27*AH27/100</f>
        <v>0</v>
      </c>
    </row>
    <row r="28" spans="1:35" ht="15.75">
      <c r="A28" s="397"/>
      <c r="B28" s="398" t="s">
        <v>512</v>
      </c>
      <c r="C28" s="407">
        <v>0.4</v>
      </c>
      <c r="D28" s="400"/>
      <c r="E28" s="400"/>
      <c r="F28" s="321"/>
      <c r="G28" s="321">
        <f t="shared" si="0"/>
        <v>0</v>
      </c>
      <c r="H28" s="400"/>
      <c r="I28" s="400"/>
      <c r="J28" s="401"/>
      <c r="K28" s="321">
        <f t="shared" si="7"/>
        <v>0</v>
      </c>
      <c r="L28" s="400"/>
      <c r="M28" s="400"/>
      <c r="O28" s="321">
        <f t="shared" si="6"/>
        <v>0</v>
      </c>
      <c r="P28" s="400"/>
      <c r="Q28" s="400"/>
      <c r="R28" s="1"/>
      <c r="S28" s="321">
        <f t="shared" si="5"/>
        <v>0</v>
      </c>
      <c r="T28" s="400"/>
      <c r="U28" s="400"/>
      <c r="W28" s="321">
        <f t="shared" si="1"/>
        <v>0</v>
      </c>
      <c r="X28" s="400"/>
      <c r="Y28" s="400"/>
      <c r="AA28" s="321">
        <f t="shared" si="2"/>
        <v>0</v>
      </c>
      <c r="AB28" s="400"/>
      <c r="AC28" s="400"/>
      <c r="AE28" s="321">
        <f t="shared" si="3"/>
        <v>0</v>
      </c>
      <c r="AF28" s="400"/>
      <c r="AG28" s="400"/>
      <c r="AI28" s="321">
        <f t="shared" si="4"/>
        <v>0</v>
      </c>
    </row>
    <row r="29" spans="1:35" ht="15.75">
      <c r="A29" s="397"/>
      <c r="B29" s="398" t="s">
        <v>286</v>
      </c>
      <c r="C29" s="407">
        <v>0.99</v>
      </c>
      <c r="D29" s="400"/>
      <c r="E29" s="400"/>
      <c r="F29" s="321"/>
      <c r="G29" s="321">
        <f t="shared" si="0"/>
        <v>0</v>
      </c>
      <c r="H29" s="400"/>
      <c r="I29" s="400"/>
      <c r="J29" s="401"/>
      <c r="K29" s="321">
        <f t="shared" si="7"/>
        <v>0</v>
      </c>
      <c r="L29" s="400"/>
      <c r="M29" s="400"/>
      <c r="O29" s="321">
        <f t="shared" si="6"/>
        <v>0</v>
      </c>
      <c r="P29" s="400"/>
      <c r="Q29" s="400"/>
      <c r="R29" s="1"/>
      <c r="S29" s="321">
        <f t="shared" si="5"/>
        <v>0</v>
      </c>
      <c r="T29" s="400"/>
      <c r="U29" s="400"/>
      <c r="W29" s="321">
        <f t="shared" si="1"/>
        <v>0</v>
      </c>
      <c r="X29" s="400"/>
      <c r="Y29" s="400"/>
      <c r="AA29" s="321">
        <f t="shared" si="2"/>
        <v>0</v>
      </c>
      <c r="AB29" s="400"/>
      <c r="AC29" s="400"/>
      <c r="AE29" s="321">
        <f t="shared" si="3"/>
        <v>0</v>
      </c>
      <c r="AF29" s="400"/>
      <c r="AG29" s="400"/>
      <c r="AI29" s="321">
        <f t="shared" si="4"/>
        <v>0</v>
      </c>
    </row>
    <row r="30" spans="1:35" ht="15.75">
      <c r="A30" s="397"/>
      <c r="B30" s="398" t="s">
        <v>287</v>
      </c>
      <c r="C30" s="407">
        <v>0.38</v>
      </c>
      <c r="D30" s="400"/>
      <c r="E30" s="400"/>
      <c r="F30" s="321"/>
      <c r="G30" s="321">
        <f t="shared" si="0"/>
        <v>0</v>
      </c>
      <c r="H30" s="400"/>
      <c r="I30" s="400"/>
      <c r="J30" s="401"/>
      <c r="K30" s="321">
        <f t="shared" si="7"/>
        <v>0</v>
      </c>
      <c r="L30" s="400"/>
      <c r="M30" s="400"/>
      <c r="N30">
        <v>100</v>
      </c>
      <c r="O30" s="321">
        <f t="shared" si="6"/>
        <v>0.38</v>
      </c>
      <c r="P30" s="400"/>
      <c r="Q30" s="400"/>
      <c r="R30" s="1"/>
      <c r="S30" s="321">
        <f t="shared" si="5"/>
        <v>0</v>
      </c>
      <c r="T30" s="400"/>
      <c r="U30" s="400"/>
      <c r="W30" s="321">
        <f t="shared" si="1"/>
        <v>0</v>
      </c>
      <c r="X30" s="400"/>
      <c r="Y30" s="400"/>
      <c r="AA30" s="321">
        <f t="shared" si="2"/>
        <v>0</v>
      </c>
      <c r="AB30" s="400"/>
      <c r="AC30" s="400"/>
      <c r="AE30" s="321">
        <f t="shared" si="3"/>
        <v>0</v>
      </c>
      <c r="AF30" s="400"/>
      <c r="AG30" s="400"/>
      <c r="AI30" s="321">
        <f t="shared" si="4"/>
        <v>0</v>
      </c>
    </row>
    <row r="31" spans="1:35" ht="15.75">
      <c r="A31" s="397"/>
      <c r="B31" s="398" t="s">
        <v>288</v>
      </c>
      <c r="C31" s="407">
        <v>2.42</v>
      </c>
      <c r="D31" s="400"/>
      <c r="E31" s="400"/>
      <c r="F31" s="321"/>
      <c r="G31" s="321">
        <f t="shared" si="0"/>
        <v>0</v>
      </c>
      <c r="H31" s="400"/>
      <c r="I31" s="400"/>
      <c r="J31" s="401"/>
      <c r="K31" s="321">
        <f t="shared" si="7"/>
        <v>0</v>
      </c>
      <c r="L31" s="400"/>
      <c r="M31" s="400"/>
      <c r="O31" s="321">
        <f t="shared" si="6"/>
        <v>0</v>
      </c>
      <c r="P31" s="400"/>
      <c r="Q31" s="400"/>
      <c r="R31" s="1"/>
      <c r="S31" s="321">
        <f t="shared" si="5"/>
        <v>0</v>
      </c>
      <c r="T31" s="400"/>
      <c r="U31" s="400"/>
      <c r="W31" s="321">
        <f t="shared" si="1"/>
        <v>0</v>
      </c>
      <c r="X31" s="400"/>
      <c r="Y31" s="400"/>
      <c r="AA31" s="321">
        <f t="shared" si="2"/>
        <v>0</v>
      </c>
      <c r="AB31" s="400"/>
      <c r="AC31" s="400"/>
      <c r="AE31" s="321">
        <f t="shared" si="3"/>
        <v>0</v>
      </c>
      <c r="AF31" s="400"/>
      <c r="AG31" s="400"/>
      <c r="AI31" s="321">
        <f t="shared" si="4"/>
        <v>0</v>
      </c>
    </row>
    <row r="32" spans="1:35" ht="15.75">
      <c r="A32" s="397"/>
      <c r="B32" s="398" t="s">
        <v>289</v>
      </c>
      <c r="C32" s="407">
        <v>1.63</v>
      </c>
      <c r="D32" s="400"/>
      <c r="E32" s="400"/>
      <c r="F32" s="321"/>
      <c r="G32" s="321">
        <f t="shared" si="0"/>
        <v>0</v>
      </c>
      <c r="H32" s="400"/>
      <c r="I32" s="400"/>
      <c r="J32" s="401"/>
      <c r="K32" s="321">
        <f t="shared" si="7"/>
        <v>0</v>
      </c>
      <c r="L32" s="400"/>
      <c r="M32" s="400"/>
      <c r="O32" s="321">
        <f t="shared" si="6"/>
        <v>0</v>
      </c>
      <c r="P32" s="400"/>
      <c r="Q32" s="400"/>
      <c r="R32" s="1"/>
      <c r="S32" s="321">
        <f t="shared" si="5"/>
        <v>0</v>
      </c>
      <c r="T32" s="400"/>
      <c r="U32" s="400"/>
      <c r="W32" s="321">
        <f t="shared" si="1"/>
        <v>0</v>
      </c>
      <c r="X32" s="400"/>
      <c r="Y32" s="400"/>
      <c r="AA32" s="321">
        <f t="shared" si="2"/>
        <v>0</v>
      </c>
      <c r="AB32" s="400"/>
      <c r="AC32" s="400"/>
      <c r="AE32" s="321">
        <f t="shared" si="3"/>
        <v>0</v>
      </c>
      <c r="AF32" s="400"/>
      <c r="AG32" s="400"/>
      <c r="AI32" s="321">
        <f t="shared" si="4"/>
        <v>0</v>
      </c>
    </row>
    <row r="33" spans="1:35" ht="15.75">
      <c r="A33" s="397"/>
      <c r="B33" s="398" t="s">
        <v>290</v>
      </c>
      <c r="C33" s="407">
        <v>2.19</v>
      </c>
      <c r="D33" s="400"/>
      <c r="E33" s="400"/>
      <c r="F33" s="321"/>
      <c r="G33" s="321">
        <f t="shared" si="0"/>
        <v>0</v>
      </c>
      <c r="H33" s="400"/>
      <c r="I33" s="400"/>
      <c r="J33" s="401"/>
      <c r="K33" s="321">
        <f t="shared" si="7"/>
        <v>0</v>
      </c>
      <c r="L33" s="400"/>
      <c r="M33" s="400"/>
      <c r="O33" s="321">
        <f t="shared" si="6"/>
        <v>0</v>
      </c>
      <c r="P33" s="400"/>
      <c r="Q33" s="400"/>
      <c r="R33" s="1"/>
      <c r="S33" s="321">
        <f t="shared" si="5"/>
        <v>0</v>
      </c>
      <c r="T33" s="400"/>
      <c r="U33" s="400"/>
      <c r="W33" s="321">
        <f t="shared" si="1"/>
        <v>0</v>
      </c>
      <c r="X33" s="400"/>
      <c r="Y33" s="400"/>
      <c r="AA33" s="321">
        <f t="shared" si="2"/>
        <v>0</v>
      </c>
      <c r="AB33" s="400"/>
      <c r="AC33" s="400"/>
      <c r="AE33" s="321">
        <f t="shared" si="3"/>
        <v>0</v>
      </c>
      <c r="AF33" s="400"/>
      <c r="AG33" s="400"/>
      <c r="AI33" s="321">
        <f t="shared" si="4"/>
        <v>0</v>
      </c>
    </row>
    <row r="34" spans="1:35" ht="15.75">
      <c r="A34" s="397"/>
      <c r="B34" s="398" t="s">
        <v>291</v>
      </c>
      <c r="C34" s="328">
        <v>0</v>
      </c>
      <c r="D34" s="409"/>
      <c r="E34" s="409"/>
      <c r="F34" s="321"/>
      <c r="G34" s="321">
        <f t="shared" si="0"/>
        <v>0</v>
      </c>
      <c r="H34" s="409"/>
      <c r="I34" s="409"/>
      <c r="J34" s="401"/>
      <c r="K34" s="321">
        <f t="shared" si="7"/>
        <v>0</v>
      </c>
      <c r="L34" s="409"/>
      <c r="M34" s="409"/>
      <c r="O34" s="321">
        <f t="shared" si="6"/>
        <v>0</v>
      </c>
      <c r="P34" s="409"/>
      <c r="Q34" s="409"/>
      <c r="R34" s="1"/>
      <c r="S34" s="321">
        <f t="shared" si="5"/>
        <v>0</v>
      </c>
      <c r="T34" s="409"/>
      <c r="U34" s="409"/>
      <c r="W34" s="321">
        <f t="shared" si="1"/>
        <v>0</v>
      </c>
      <c r="X34" s="409"/>
      <c r="Y34" s="409"/>
      <c r="AA34" s="321">
        <f t="shared" si="2"/>
        <v>0</v>
      </c>
      <c r="AB34" s="409"/>
      <c r="AC34" s="409"/>
      <c r="AE34" s="321">
        <f t="shared" si="3"/>
        <v>0</v>
      </c>
      <c r="AF34" s="409"/>
      <c r="AG34" s="409"/>
      <c r="AI34" s="321">
        <f t="shared" si="4"/>
        <v>0</v>
      </c>
    </row>
    <row r="35" spans="1:35" ht="15.75">
      <c r="A35" s="321">
        <v>4</v>
      </c>
      <c r="B35" s="408" t="s">
        <v>214</v>
      </c>
      <c r="C35" s="407"/>
      <c r="D35" s="400"/>
      <c r="E35" s="400"/>
      <c r="F35" s="321"/>
      <c r="G35" s="321">
        <f t="shared" si="0"/>
        <v>0</v>
      </c>
      <c r="H35" s="400"/>
      <c r="I35" s="400"/>
      <c r="J35" s="401"/>
      <c r="K35" s="321">
        <f t="shared" si="7"/>
        <v>0</v>
      </c>
      <c r="L35" s="400"/>
      <c r="M35" s="400"/>
      <c r="O35" s="321">
        <f t="shared" si="6"/>
        <v>0</v>
      </c>
      <c r="P35" s="400"/>
      <c r="Q35" s="400"/>
      <c r="R35" s="1"/>
      <c r="S35" s="321">
        <f t="shared" si="5"/>
        <v>0</v>
      </c>
      <c r="T35" s="400"/>
      <c r="U35" s="400"/>
      <c r="W35" s="321">
        <f t="shared" si="1"/>
        <v>0</v>
      </c>
      <c r="X35" s="400"/>
      <c r="Y35" s="400"/>
      <c r="AA35" s="321">
        <f t="shared" si="2"/>
        <v>0</v>
      </c>
      <c r="AB35" s="400"/>
      <c r="AC35" s="400"/>
      <c r="AE35" s="321">
        <f t="shared" si="3"/>
        <v>0</v>
      </c>
      <c r="AF35" s="400"/>
      <c r="AG35" s="400"/>
      <c r="AI35" s="321">
        <f t="shared" si="4"/>
        <v>0</v>
      </c>
    </row>
    <row r="36" spans="1:35" ht="15.75">
      <c r="A36" s="397"/>
      <c r="B36" s="398" t="s">
        <v>293</v>
      </c>
      <c r="C36" s="407">
        <v>4.29</v>
      </c>
      <c r="D36" s="399">
        <f>MAX(C36:C44)</f>
        <v>16.22</v>
      </c>
      <c r="E36" s="400">
        <f>MIN(C36:C44)</f>
        <v>4.1399999999999997</v>
      </c>
      <c r="F36" s="321"/>
      <c r="G36" s="321">
        <f t="shared" si="0"/>
        <v>0</v>
      </c>
      <c r="H36" s="399">
        <f>MAX(C36:C44)</f>
        <v>16.22</v>
      </c>
      <c r="I36" s="400">
        <f>MIN(C36:C44)</f>
        <v>4.1399999999999997</v>
      </c>
      <c r="J36" s="401"/>
      <c r="K36" s="321">
        <f t="shared" si="7"/>
        <v>0.69583799999999996</v>
      </c>
      <c r="L36" s="399">
        <v>16.22</v>
      </c>
      <c r="M36" s="400">
        <v>4.1399999999999997</v>
      </c>
      <c r="O36" s="321">
        <f t="shared" si="6"/>
        <v>0</v>
      </c>
      <c r="P36" s="399">
        <v>16.22</v>
      </c>
      <c r="Q36" s="400">
        <v>4.1399999999999997</v>
      </c>
      <c r="R36" s="1"/>
      <c r="S36" s="321">
        <f t="shared" si="5"/>
        <v>0.69583799999999996</v>
      </c>
      <c r="T36" s="399">
        <v>16.22</v>
      </c>
      <c r="U36" s="400">
        <v>4.1399999999999997</v>
      </c>
      <c r="W36" s="321">
        <f t="shared" si="1"/>
        <v>0</v>
      </c>
      <c r="X36" s="399">
        <v>16.22</v>
      </c>
      <c r="Y36" s="400">
        <v>4.1399999999999997</v>
      </c>
      <c r="AA36" s="321">
        <f t="shared" si="2"/>
        <v>0</v>
      </c>
      <c r="AB36" s="399">
        <v>16.22</v>
      </c>
      <c r="AC36" s="400">
        <v>4.1399999999999997</v>
      </c>
      <c r="AE36" s="321">
        <f t="shared" si="3"/>
        <v>0</v>
      </c>
      <c r="AF36" s="399">
        <f>MAX(C36:C44)</f>
        <v>16.22</v>
      </c>
      <c r="AG36" s="400">
        <f>MIN(C36:C44)</f>
        <v>4.1399999999999997</v>
      </c>
      <c r="AI36" s="321">
        <f t="shared" si="4"/>
        <v>0</v>
      </c>
    </row>
    <row r="37" spans="1:35" ht="15.75">
      <c r="A37" s="397"/>
      <c r="B37" s="410" t="s">
        <v>294</v>
      </c>
      <c r="C37" s="407">
        <v>4.41</v>
      </c>
      <c r="D37" s="400"/>
      <c r="E37" s="400"/>
      <c r="F37" s="321"/>
      <c r="G37" s="321">
        <f t="shared" si="0"/>
        <v>0</v>
      </c>
      <c r="H37" s="400"/>
      <c r="I37" s="400"/>
      <c r="J37" s="401"/>
      <c r="K37" s="321">
        <f t="shared" si="7"/>
        <v>0</v>
      </c>
      <c r="L37" s="400"/>
      <c r="M37" s="400"/>
      <c r="O37" s="321">
        <f t="shared" si="6"/>
        <v>0</v>
      </c>
      <c r="P37" s="400"/>
      <c r="Q37" s="400"/>
      <c r="R37" s="1"/>
      <c r="S37" s="321">
        <f t="shared" si="5"/>
        <v>0</v>
      </c>
      <c r="T37" s="400"/>
      <c r="U37" s="400"/>
      <c r="W37" s="321">
        <f t="shared" si="1"/>
        <v>0</v>
      </c>
      <c r="X37" s="400"/>
      <c r="Y37" s="400"/>
      <c r="AA37" s="321">
        <f t="shared" si="2"/>
        <v>0</v>
      </c>
      <c r="AB37" s="400"/>
      <c r="AC37" s="400"/>
      <c r="AE37" s="321">
        <f t="shared" si="3"/>
        <v>0</v>
      </c>
      <c r="AF37" s="400"/>
      <c r="AG37" s="400"/>
      <c r="AI37" s="321">
        <f t="shared" si="4"/>
        <v>0</v>
      </c>
    </row>
    <row r="38" spans="1:35" ht="15.75">
      <c r="A38" s="397"/>
      <c r="B38" s="410" t="s">
        <v>295</v>
      </c>
      <c r="C38" s="407">
        <v>4.71</v>
      </c>
      <c r="D38" s="400"/>
      <c r="E38" s="400"/>
      <c r="F38" s="321"/>
      <c r="G38" s="321">
        <f t="shared" si="0"/>
        <v>0</v>
      </c>
      <c r="H38" s="400"/>
      <c r="I38" s="400"/>
      <c r="J38" s="401"/>
      <c r="K38" s="321">
        <f t="shared" si="7"/>
        <v>0</v>
      </c>
      <c r="L38" s="400"/>
      <c r="M38" s="400"/>
      <c r="O38" s="321">
        <f t="shared" si="6"/>
        <v>0</v>
      </c>
      <c r="P38" s="400"/>
      <c r="Q38" s="400"/>
      <c r="R38" s="1"/>
      <c r="S38" s="321">
        <f t="shared" si="5"/>
        <v>0</v>
      </c>
      <c r="T38" s="400"/>
      <c r="U38" s="400"/>
      <c r="W38" s="321">
        <f t="shared" si="1"/>
        <v>0</v>
      </c>
      <c r="X38" s="400"/>
      <c r="Y38" s="400"/>
      <c r="AA38" s="321">
        <f t="shared" si="2"/>
        <v>0</v>
      </c>
      <c r="AB38" s="400"/>
      <c r="AC38" s="400"/>
      <c r="AE38" s="321">
        <f t="shared" si="3"/>
        <v>0</v>
      </c>
      <c r="AF38" s="400"/>
      <c r="AG38" s="400"/>
      <c r="AI38" s="321">
        <f t="shared" si="4"/>
        <v>0</v>
      </c>
    </row>
    <row r="39" spans="1:35" ht="15.75">
      <c r="A39" s="397"/>
      <c r="B39" s="410" t="s">
        <v>296</v>
      </c>
      <c r="C39" s="407">
        <v>15.25</v>
      </c>
      <c r="D39" s="400"/>
      <c r="E39" s="400"/>
      <c r="F39" s="321"/>
      <c r="G39" s="321">
        <f t="shared" si="0"/>
        <v>0</v>
      </c>
      <c r="H39" s="400"/>
      <c r="I39" s="400"/>
      <c r="J39" s="401"/>
      <c r="K39" s="321">
        <f t="shared" si="7"/>
        <v>0</v>
      </c>
      <c r="L39" s="400"/>
      <c r="M39" s="400"/>
      <c r="O39" s="321">
        <f t="shared" si="6"/>
        <v>0</v>
      </c>
      <c r="P39" s="400"/>
      <c r="Q39" s="400"/>
      <c r="R39" s="1"/>
      <c r="S39" s="321">
        <f t="shared" si="5"/>
        <v>0</v>
      </c>
      <c r="T39" s="400"/>
      <c r="U39" s="400"/>
      <c r="W39" s="321">
        <f t="shared" si="1"/>
        <v>0</v>
      </c>
      <c r="X39" s="400"/>
      <c r="Y39" s="400"/>
      <c r="AA39" s="321">
        <f t="shared" si="2"/>
        <v>0</v>
      </c>
      <c r="AB39" s="400"/>
      <c r="AC39" s="400"/>
      <c r="AE39" s="321">
        <f t="shared" si="3"/>
        <v>0</v>
      </c>
      <c r="AF39" s="400"/>
      <c r="AG39" s="400"/>
      <c r="AI39" s="321">
        <f t="shared" si="4"/>
        <v>0</v>
      </c>
    </row>
    <row r="40" spans="1:35" ht="15.75">
      <c r="A40" s="397"/>
      <c r="B40" s="410" t="s">
        <v>297</v>
      </c>
      <c r="C40" s="407">
        <v>9.98</v>
      </c>
      <c r="D40" s="400"/>
      <c r="E40" s="400"/>
      <c r="F40" s="321"/>
      <c r="G40" s="321">
        <f t="shared" si="0"/>
        <v>0</v>
      </c>
      <c r="H40" s="400"/>
      <c r="I40" s="400"/>
      <c r="J40" s="401"/>
      <c r="K40" s="321">
        <f t="shared" si="7"/>
        <v>0</v>
      </c>
      <c r="L40" s="400"/>
      <c r="M40" s="400"/>
      <c r="O40" s="321">
        <f t="shared" si="6"/>
        <v>0</v>
      </c>
      <c r="P40" s="400"/>
      <c r="Q40" s="400"/>
      <c r="R40" s="1"/>
      <c r="S40" s="321">
        <f t="shared" si="5"/>
        <v>0</v>
      </c>
      <c r="T40" s="400"/>
      <c r="U40" s="400"/>
      <c r="W40" s="321">
        <f t="shared" si="1"/>
        <v>0</v>
      </c>
      <c r="X40" s="400"/>
      <c r="Y40" s="400"/>
      <c r="AA40" s="321">
        <f t="shared" si="2"/>
        <v>0</v>
      </c>
      <c r="AB40" s="400"/>
      <c r="AC40" s="400"/>
      <c r="AE40" s="321">
        <f t="shared" si="3"/>
        <v>0</v>
      </c>
      <c r="AF40" s="400"/>
      <c r="AG40" s="400"/>
      <c r="AI40" s="321">
        <f t="shared" si="4"/>
        <v>0</v>
      </c>
    </row>
    <row r="41" spans="1:35" ht="15.75">
      <c r="A41" s="397"/>
      <c r="B41" s="410" t="s">
        <v>298</v>
      </c>
      <c r="C41" s="407">
        <v>16.22</v>
      </c>
      <c r="D41" s="400"/>
      <c r="E41" s="400"/>
      <c r="F41" s="321"/>
      <c r="G41" s="321">
        <f t="shared" si="0"/>
        <v>0</v>
      </c>
      <c r="H41" s="400"/>
      <c r="I41" s="400"/>
      <c r="J41" s="401"/>
      <c r="K41" s="321">
        <f t="shared" si="7"/>
        <v>0</v>
      </c>
      <c r="L41" s="400"/>
      <c r="M41" s="400"/>
      <c r="N41">
        <v>100</v>
      </c>
      <c r="O41" s="321">
        <f t="shared" si="6"/>
        <v>16.22</v>
      </c>
      <c r="P41" s="400"/>
      <c r="Q41" s="400"/>
      <c r="R41" s="1"/>
      <c r="S41" s="321">
        <f t="shared" si="5"/>
        <v>0</v>
      </c>
      <c r="T41" s="400"/>
      <c r="U41" s="400"/>
      <c r="W41" s="321">
        <f t="shared" si="1"/>
        <v>0</v>
      </c>
      <c r="X41" s="400"/>
      <c r="Y41" s="400"/>
      <c r="AA41" s="321">
        <f t="shared" si="2"/>
        <v>0</v>
      </c>
      <c r="AB41" s="400"/>
      <c r="AC41" s="400"/>
      <c r="AE41" s="321">
        <f t="shared" si="3"/>
        <v>0</v>
      </c>
      <c r="AF41" s="400"/>
      <c r="AG41" s="400"/>
      <c r="AI41" s="321">
        <f t="shared" si="4"/>
        <v>0</v>
      </c>
    </row>
    <row r="42" spans="1:35" ht="15.75">
      <c r="A42" s="397"/>
      <c r="B42" s="410" t="s">
        <v>299</v>
      </c>
      <c r="C42" s="407">
        <v>4.1399999999999997</v>
      </c>
      <c r="D42" s="400"/>
      <c r="E42" s="400"/>
      <c r="F42" s="321"/>
      <c r="G42" s="321">
        <f t="shared" si="0"/>
        <v>0</v>
      </c>
      <c r="H42" s="400"/>
      <c r="I42" s="400"/>
      <c r="J42" s="401"/>
      <c r="K42" s="321">
        <f t="shared" si="7"/>
        <v>0</v>
      </c>
      <c r="L42" s="400"/>
      <c r="M42" s="400"/>
      <c r="O42" s="321">
        <f t="shared" si="6"/>
        <v>0</v>
      </c>
      <c r="P42" s="400"/>
      <c r="Q42" s="400"/>
      <c r="R42" s="1"/>
      <c r="S42" s="321">
        <f t="shared" si="5"/>
        <v>0</v>
      </c>
      <c r="T42" s="400"/>
      <c r="U42" s="400"/>
      <c r="W42" s="321">
        <f t="shared" si="1"/>
        <v>0</v>
      </c>
      <c r="X42" s="400"/>
      <c r="Y42" s="400"/>
      <c r="AA42" s="321">
        <f t="shared" si="2"/>
        <v>0</v>
      </c>
      <c r="AB42" s="400"/>
      <c r="AC42" s="400"/>
      <c r="AE42" s="321">
        <f t="shared" si="3"/>
        <v>0</v>
      </c>
      <c r="AF42" s="400"/>
      <c r="AG42" s="400"/>
      <c r="AI42" s="321">
        <f t="shared" si="4"/>
        <v>0</v>
      </c>
    </row>
    <row r="43" spans="1:35" ht="31.5">
      <c r="A43" s="397"/>
      <c r="B43" s="410" t="s">
        <v>513</v>
      </c>
      <c r="C43" s="407">
        <v>6.91</v>
      </c>
      <c r="D43" s="400"/>
      <c r="E43" s="400"/>
      <c r="F43" s="321"/>
      <c r="G43" s="321">
        <f t="shared" si="0"/>
        <v>0</v>
      </c>
      <c r="H43" s="400"/>
      <c r="I43" s="400"/>
      <c r="J43" s="401"/>
      <c r="K43" s="321">
        <f t="shared" si="7"/>
        <v>0</v>
      </c>
      <c r="L43" s="400"/>
      <c r="M43" s="400"/>
      <c r="O43" s="321">
        <f t="shared" si="6"/>
        <v>0</v>
      </c>
      <c r="P43" s="400"/>
      <c r="Q43" s="400"/>
      <c r="R43" s="1"/>
      <c r="S43" s="321">
        <f t="shared" si="5"/>
        <v>0</v>
      </c>
      <c r="T43" s="400"/>
      <c r="U43" s="400"/>
      <c r="W43" s="321">
        <f t="shared" si="1"/>
        <v>0</v>
      </c>
      <c r="X43" s="400"/>
      <c r="Y43" s="400"/>
      <c r="AA43" s="321">
        <f t="shared" si="2"/>
        <v>0</v>
      </c>
      <c r="AB43" s="400"/>
      <c r="AC43" s="400"/>
      <c r="AE43" s="321">
        <f t="shared" si="3"/>
        <v>0</v>
      </c>
      <c r="AF43" s="400"/>
      <c r="AG43" s="400"/>
      <c r="AI43" s="321">
        <f t="shared" si="4"/>
        <v>0</v>
      </c>
    </row>
    <row r="44" spans="1:35" ht="31.5">
      <c r="A44" s="397"/>
      <c r="B44" s="410" t="s">
        <v>514</v>
      </c>
      <c r="C44" s="407">
        <v>8.02</v>
      </c>
      <c r="D44" s="400"/>
      <c r="E44" s="400"/>
      <c r="F44" s="321"/>
      <c r="G44" s="321">
        <f t="shared" si="0"/>
        <v>0</v>
      </c>
      <c r="H44" s="400"/>
      <c r="I44" s="400"/>
      <c r="J44" s="401"/>
      <c r="K44" s="321">
        <f t="shared" si="7"/>
        <v>0</v>
      </c>
      <c r="L44" s="400"/>
      <c r="M44" s="400"/>
      <c r="O44" s="321">
        <f t="shared" si="6"/>
        <v>0</v>
      </c>
      <c r="P44" s="400"/>
      <c r="Q44" s="400"/>
      <c r="R44" s="1"/>
      <c r="S44" s="321">
        <f t="shared" si="5"/>
        <v>0</v>
      </c>
      <c r="T44" s="400"/>
      <c r="U44" s="400"/>
      <c r="W44" s="321">
        <f t="shared" si="1"/>
        <v>0</v>
      </c>
      <c r="X44" s="400"/>
      <c r="Y44" s="400"/>
      <c r="AA44" s="321">
        <f t="shared" si="2"/>
        <v>0</v>
      </c>
      <c r="AB44" s="400"/>
      <c r="AC44" s="400"/>
      <c r="AE44" s="321">
        <f t="shared" si="3"/>
        <v>0</v>
      </c>
      <c r="AF44" s="400"/>
      <c r="AG44" s="400"/>
      <c r="AI44" s="321">
        <f t="shared" si="4"/>
        <v>0</v>
      </c>
    </row>
    <row r="45" spans="1:35" ht="15.75">
      <c r="A45" s="321">
        <v>5</v>
      </c>
      <c r="B45" s="408" t="s">
        <v>218</v>
      </c>
      <c r="C45" s="407"/>
      <c r="D45" s="400"/>
      <c r="E45" s="400"/>
      <c r="F45" s="321"/>
      <c r="G45" s="321">
        <f t="shared" si="0"/>
        <v>0</v>
      </c>
      <c r="H45" s="400"/>
      <c r="I45" s="400"/>
      <c r="J45" s="401"/>
      <c r="K45" s="321">
        <f t="shared" si="7"/>
        <v>0</v>
      </c>
      <c r="L45" s="400"/>
      <c r="M45" s="400"/>
      <c r="O45" s="321">
        <f t="shared" si="6"/>
        <v>0</v>
      </c>
      <c r="P45" s="400"/>
      <c r="Q45" s="400"/>
      <c r="R45" s="1"/>
      <c r="S45" s="321">
        <f t="shared" si="5"/>
        <v>0</v>
      </c>
      <c r="T45" s="400"/>
      <c r="U45" s="400"/>
      <c r="W45" s="321">
        <f t="shared" si="1"/>
        <v>0</v>
      </c>
      <c r="X45" s="400"/>
      <c r="Y45" s="400"/>
      <c r="AA45" s="321">
        <f t="shared" si="2"/>
        <v>0</v>
      </c>
      <c r="AB45" s="400"/>
      <c r="AC45" s="400"/>
      <c r="AE45" s="321">
        <f t="shared" si="3"/>
        <v>0</v>
      </c>
      <c r="AF45" s="400"/>
      <c r="AG45" s="400"/>
      <c r="AI45" s="321">
        <f t="shared" si="4"/>
        <v>0</v>
      </c>
    </row>
    <row r="46" spans="1:35" ht="31.5" customHeight="1">
      <c r="A46" s="397"/>
      <c r="B46" s="398" t="s">
        <v>515</v>
      </c>
      <c r="C46" s="407">
        <v>0.8</v>
      </c>
      <c r="D46" s="399">
        <f>MAX(C46:C49)</f>
        <v>1.32</v>
      </c>
      <c r="E46" s="400">
        <f>MIN(C46:C49)</f>
        <v>0.3</v>
      </c>
      <c r="F46" s="321"/>
      <c r="G46" s="321">
        <f t="shared" si="0"/>
        <v>0</v>
      </c>
      <c r="H46" s="399">
        <f>MAX(C46:C49)</f>
        <v>1.32</v>
      </c>
      <c r="I46" s="400">
        <f>MIN(C46:C49)</f>
        <v>0.3</v>
      </c>
      <c r="J46" s="401"/>
      <c r="K46" s="321">
        <f t="shared" si="7"/>
        <v>1.056E-2</v>
      </c>
      <c r="L46" s="399">
        <v>1.32</v>
      </c>
      <c r="M46" s="400">
        <v>0.3</v>
      </c>
      <c r="O46" s="321">
        <f t="shared" si="6"/>
        <v>0</v>
      </c>
      <c r="P46" s="399">
        <v>1.32</v>
      </c>
      <c r="Q46" s="400">
        <v>0.3</v>
      </c>
      <c r="R46" s="1"/>
      <c r="S46" s="321">
        <f t="shared" si="5"/>
        <v>1.056E-2</v>
      </c>
      <c r="T46" s="399">
        <v>1.32</v>
      </c>
      <c r="U46" s="400">
        <v>0.3</v>
      </c>
      <c r="W46" s="321">
        <f t="shared" si="1"/>
        <v>0</v>
      </c>
      <c r="X46" s="399">
        <v>1.32</v>
      </c>
      <c r="Y46" s="400">
        <v>0.3</v>
      </c>
      <c r="AA46" s="321">
        <f t="shared" si="2"/>
        <v>0</v>
      </c>
      <c r="AB46" s="399">
        <v>1.32</v>
      </c>
      <c r="AC46" s="400">
        <v>0.3</v>
      </c>
      <c r="AE46" s="321">
        <f t="shared" si="3"/>
        <v>0</v>
      </c>
      <c r="AF46" s="399">
        <f>MAX(C46:C49)</f>
        <v>1.32</v>
      </c>
      <c r="AG46" s="400">
        <f>MIN(C46:C49)</f>
        <v>0.3</v>
      </c>
      <c r="AI46" s="321">
        <f t="shared" si="4"/>
        <v>0</v>
      </c>
    </row>
    <row r="47" spans="1:35" ht="31.5" customHeight="1">
      <c r="A47" s="397"/>
      <c r="B47" s="398" t="s">
        <v>516</v>
      </c>
      <c r="C47" s="407">
        <v>0.3</v>
      </c>
      <c r="D47" s="400"/>
      <c r="E47" s="400"/>
      <c r="F47" s="321"/>
      <c r="G47" s="321">
        <f t="shared" si="0"/>
        <v>0</v>
      </c>
      <c r="H47" s="400"/>
      <c r="I47" s="400"/>
      <c r="J47" s="401"/>
      <c r="K47" s="321">
        <f t="shared" si="7"/>
        <v>0</v>
      </c>
      <c r="L47" s="400"/>
      <c r="M47" s="400"/>
      <c r="O47" s="321">
        <f t="shared" si="6"/>
        <v>0</v>
      </c>
      <c r="P47" s="400"/>
      <c r="Q47" s="400"/>
      <c r="R47" s="1"/>
      <c r="S47" s="321">
        <f t="shared" si="5"/>
        <v>0</v>
      </c>
      <c r="T47" s="400"/>
      <c r="U47" s="400"/>
      <c r="W47" s="321">
        <f t="shared" si="1"/>
        <v>0</v>
      </c>
      <c r="X47" s="400"/>
      <c r="Y47" s="400"/>
      <c r="AA47" s="321">
        <f t="shared" si="2"/>
        <v>0</v>
      </c>
      <c r="AB47" s="400"/>
      <c r="AC47" s="400"/>
      <c r="AE47" s="321">
        <f t="shared" si="3"/>
        <v>0</v>
      </c>
      <c r="AF47" s="400"/>
      <c r="AG47" s="400"/>
      <c r="AI47" s="321">
        <f t="shared" si="4"/>
        <v>0</v>
      </c>
    </row>
    <row r="48" spans="1:35" ht="31.5" customHeight="1">
      <c r="A48" s="397"/>
      <c r="B48" s="398" t="s">
        <v>517</v>
      </c>
      <c r="C48" s="407">
        <v>0.76</v>
      </c>
      <c r="D48" s="400"/>
      <c r="E48" s="400"/>
      <c r="F48" s="321"/>
      <c r="G48" s="321">
        <f t="shared" si="0"/>
        <v>0</v>
      </c>
      <c r="H48" s="400"/>
      <c r="I48" s="400"/>
      <c r="J48" s="401"/>
      <c r="K48" s="321">
        <f t="shared" si="7"/>
        <v>0</v>
      </c>
      <c r="L48" s="400"/>
      <c r="M48" s="400"/>
      <c r="O48" s="321">
        <f t="shared" si="6"/>
        <v>0</v>
      </c>
      <c r="P48" s="400"/>
      <c r="Q48" s="400"/>
      <c r="R48" s="1"/>
      <c r="S48" s="321">
        <f t="shared" si="5"/>
        <v>0</v>
      </c>
      <c r="T48" s="400"/>
      <c r="U48" s="400"/>
      <c r="W48" s="321">
        <f t="shared" si="1"/>
        <v>0</v>
      </c>
      <c r="X48" s="400"/>
      <c r="Y48" s="400"/>
      <c r="AA48" s="321">
        <f t="shared" si="2"/>
        <v>0</v>
      </c>
      <c r="AB48" s="400"/>
      <c r="AC48" s="400"/>
      <c r="AE48" s="321">
        <f t="shared" si="3"/>
        <v>0</v>
      </c>
      <c r="AF48" s="400"/>
      <c r="AG48" s="400"/>
      <c r="AI48" s="321">
        <f t="shared" si="4"/>
        <v>0</v>
      </c>
    </row>
    <row r="49" spans="1:35" ht="31.5" customHeight="1">
      <c r="A49" s="397"/>
      <c r="B49" s="398" t="s">
        <v>518</v>
      </c>
      <c r="C49" s="407">
        <v>1.32</v>
      </c>
      <c r="D49" s="400"/>
      <c r="E49" s="400"/>
      <c r="F49" s="321"/>
      <c r="G49" s="321">
        <f t="shared" si="0"/>
        <v>0</v>
      </c>
      <c r="H49" s="400"/>
      <c r="I49" s="400"/>
      <c r="J49" s="401"/>
      <c r="K49" s="321">
        <f t="shared" si="7"/>
        <v>0</v>
      </c>
      <c r="L49" s="400"/>
      <c r="M49" s="400"/>
      <c r="O49" s="321">
        <f t="shared" si="6"/>
        <v>0</v>
      </c>
      <c r="P49" s="400"/>
      <c r="Q49" s="400"/>
      <c r="R49" s="1"/>
      <c r="S49" s="321">
        <f t="shared" si="5"/>
        <v>0</v>
      </c>
      <c r="T49" s="400"/>
      <c r="U49" s="400"/>
      <c r="W49" s="321">
        <f t="shared" si="1"/>
        <v>0</v>
      </c>
      <c r="X49" s="400"/>
      <c r="Y49" s="400"/>
      <c r="AA49" s="321">
        <f t="shared" si="2"/>
        <v>0</v>
      </c>
      <c r="AB49" s="400"/>
      <c r="AC49" s="400"/>
      <c r="AE49" s="321">
        <f t="shared" si="3"/>
        <v>0</v>
      </c>
      <c r="AF49" s="400"/>
      <c r="AG49" s="400"/>
      <c r="AI49" s="321">
        <f t="shared" si="4"/>
        <v>0</v>
      </c>
    </row>
    <row r="50" spans="1:35" ht="15.75">
      <c r="A50" s="321">
        <v>6</v>
      </c>
      <c r="B50" s="408" t="s">
        <v>221</v>
      </c>
      <c r="C50" s="407"/>
      <c r="D50" s="400"/>
      <c r="E50" s="400"/>
      <c r="F50" s="321"/>
      <c r="G50" s="321">
        <f t="shared" si="0"/>
        <v>0</v>
      </c>
      <c r="H50" s="400"/>
      <c r="I50" s="400"/>
      <c r="J50" s="401"/>
      <c r="K50" s="321">
        <f t="shared" si="7"/>
        <v>0</v>
      </c>
      <c r="L50" s="400"/>
      <c r="M50" s="400"/>
      <c r="O50" s="321">
        <f t="shared" si="6"/>
        <v>0</v>
      </c>
      <c r="P50" s="400"/>
      <c r="Q50" s="400"/>
      <c r="R50" s="1"/>
      <c r="S50" s="321">
        <f t="shared" si="5"/>
        <v>0</v>
      </c>
      <c r="T50" s="400"/>
      <c r="U50" s="400"/>
      <c r="W50" s="321">
        <f t="shared" si="1"/>
        <v>0</v>
      </c>
      <c r="X50" s="400"/>
      <c r="Y50" s="400"/>
      <c r="AA50" s="321">
        <f t="shared" si="2"/>
        <v>0</v>
      </c>
      <c r="AB50" s="400"/>
      <c r="AC50" s="400"/>
      <c r="AE50" s="321">
        <f t="shared" si="3"/>
        <v>0</v>
      </c>
      <c r="AF50" s="400"/>
      <c r="AG50" s="400"/>
      <c r="AI50" s="321">
        <f t="shared" si="4"/>
        <v>0</v>
      </c>
    </row>
    <row r="51" spans="1:35" ht="15.75" customHeight="1">
      <c r="A51" s="397"/>
      <c r="B51" s="398" t="s">
        <v>315</v>
      </c>
      <c r="C51" s="407">
        <v>0.67</v>
      </c>
      <c r="D51" s="399">
        <f>MAX(C51:C59)</f>
        <v>1.08</v>
      </c>
      <c r="E51" s="400">
        <f>MIN(C51:C59)</f>
        <v>0.5</v>
      </c>
      <c r="F51" s="321"/>
      <c r="G51" s="321">
        <f t="shared" si="0"/>
        <v>0</v>
      </c>
      <c r="H51" s="399">
        <f>MAX(C51:C59)</f>
        <v>1.08</v>
      </c>
      <c r="I51" s="400">
        <f>MIN(C51:C59)</f>
        <v>0.5</v>
      </c>
      <c r="J51" s="401"/>
      <c r="K51" s="321">
        <f t="shared" si="7"/>
        <v>7.2360000000000002E-3</v>
      </c>
      <c r="L51" s="399">
        <v>1.08</v>
      </c>
      <c r="M51" s="400">
        <v>0.5</v>
      </c>
      <c r="N51">
        <v>100</v>
      </c>
      <c r="O51" s="321">
        <f t="shared" si="6"/>
        <v>0.67</v>
      </c>
      <c r="P51" s="399">
        <v>1.08</v>
      </c>
      <c r="Q51" s="400">
        <v>0.5</v>
      </c>
      <c r="R51" s="1"/>
      <c r="S51" s="321">
        <f t="shared" si="5"/>
        <v>7.2360000000000002E-3</v>
      </c>
      <c r="T51" s="399">
        <v>1.08</v>
      </c>
      <c r="U51" s="400">
        <v>0.5</v>
      </c>
      <c r="W51" s="321">
        <f t="shared" si="1"/>
        <v>0</v>
      </c>
      <c r="X51" s="399">
        <v>1.08</v>
      </c>
      <c r="Y51" s="400">
        <v>0.5</v>
      </c>
      <c r="AA51" s="321">
        <f t="shared" si="2"/>
        <v>0</v>
      </c>
      <c r="AB51" s="399">
        <v>1.08</v>
      </c>
      <c r="AC51" s="400">
        <v>0.5</v>
      </c>
      <c r="AE51" s="321">
        <f t="shared" si="3"/>
        <v>0</v>
      </c>
      <c r="AF51" s="399">
        <f>MAX(C51:C59)</f>
        <v>1.08</v>
      </c>
      <c r="AG51" s="400">
        <f>MIN(C51:C59)</f>
        <v>0.5</v>
      </c>
      <c r="AI51" s="321">
        <f t="shared" si="4"/>
        <v>0</v>
      </c>
    </row>
    <row r="52" spans="1:35" ht="15.75" customHeight="1">
      <c r="A52" s="397"/>
      <c r="B52" s="398" t="s">
        <v>519</v>
      </c>
      <c r="C52" s="407">
        <v>0.69</v>
      </c>
      <c r="D52" s="400"/>
      <c r="E52" s="400"/>
      <c r="F52" s="321"/>
      <c r="G52" s="321">
        <f t="shared" si="0"/>
        <v>0</v>
      </c>
      <c r="H52" s="400"/>
      <c r="I52" s="400"/>
      <c r="J52" s="401"/>
      <c r="K52" s="321">
        <f t="shared" si="7"/>
        <v>0</v>
      </c>
      <c r="L52" s="400"/>
      <c r="M52" s="400"/>
      <c r="O52" s="321">
        <f t="shared" si="6"/>
        <v>0</v>
      </c>
      <c r="P52" s="400"/>
      <c r="Q52" s="400"/>
      <c r="R52" s="1"/>
      <c r="S52" s="321">
        <f t="shared" si="5"/>
        <v>0</v>
      </c>
      <c r="T52" s="400"/>
      <c r="U52" s="400"/>
      <c r="W52" s="321">
        <f t="shared" si="1"/>
        <v>0</v>
      </c>
      <c r="X52" s="400"/>
      <c r="Y52" s="400"/>
      <c r="AA52" s="321">
        <f t="shared" si="2"/>
        <v>0</v>
      </c>
      <c r="AB52" s="400"/>
      <c r="AC52" s="400"/>
      <c r="AE52" s="321">
        <f t="shared" si="3"/>
        <v>0</v>
      </c>
      <c r="AF52" s="400"/>
      <c r="AG52" s="400"/>
      <c r="AI52" s="321">
        <f t="shared" si="4"/>
        <v>0</v>
      </c>
    </row>
    <row r="53" spans="1:35" ht="15.75" customHeight="1">
      <c r="A53" s="397"/>
      <c r="B53" s="398" t="s">
        <v>317</v>
      </c>
      <c r="C53" s="407">
        <v>0.69</v>
      </c>
      <c r="D53" s="400"/>
      <c r="E53" s="400"/>
      <c r="F53" s="321"/>
      <c r="G53" s="321">
        <f t="shared" si="0"/>
        <v>0</v>
      </c>
      <c r="H53" s="400"/>
      <c r="I53" s="400"/>
      <c r="J53" s="401"/>
      <c r="K53" s="321">
        <f t="shared" si="7"/>
        <v>0</v>
      </c>
      <c r="L53" s="400"/>
      <c r="M53" s="400"/>
      <c r="O53" s="321">
        <f t="shared" si="6"/>
        <v>0</v>
      </c>
      <c r="P53" s="400"/>
      <c r="Q53" s="400"/>
      <c r="R53" s="1"/>
      <c r="S53" s="321">
        <f t="shared" si="5"/>
        <v>0</v>
      </c>
      <c r="T53" s="400"/>
      <c r="U53" s="400"/>
      <c r="W53" s="321">
        <f t="shared" si="1"/>
        <v>0</v>
      </c>
      <c r="X53" s="400"/>
      <c r="Y53" s="400"/>
      <c r="AA53" s="321">
        <f t="shared" si="2"/>
        <v>0</v>
      </c>
      <c r="AB53" s="400"/>
      <c r="AC53" s="400"/>
      <c r="AE53" s="321">
        <f t="shared" si="3"/>
        <v>0</v>
      </c>
      <c r="AF53" s="400"/>
      <c r="AG53" s="400"/>
      <c r="AI53" s="321">
        <f t="shared" si="4"/>
        <v>0</v>
      </c>
    </row>
    <row r="54" spans="1:35" ht="15.75" customHeight="1">
      <c r="A54" s="397"/>
      <c r="B54" s="398" t="s">
        <v>318</v>
      </c>
      <c r="C54" s="407">
        <v>0.78</v>
      </c>
      <c r="D54" s="400"/>
      <c r="E54" s="400"/>
      <c r="F54" s="321"/>
      <c r="G54" s="321">
        <f t="shared" si="0"/>
        <v>0</v>
      </c>
      <c r="H54" s="400"/>
      <c r="I54" s="400"/>
      <c r="J54" s="401"/>
      <c r="K54" s="321">
        <f t="shared" si="7"/>
        <v>0</v>
      </c>
      <c r="L54" s="400"/>
      <c r="M54" s="400"/>
      <c r="O54" s="321">
        <f t="shared" si="6"/>
        <v>0</v>
      </c>
      <c r="P54" s="400"/>
      <c r="Q54" s="400"/>
      <c r="R54" s="1"/>
      <c r="S54" s="321">
        <f t="shared" si="5"/>
        <v>0</v>
      </c>
      <c r="T54" s="400"/>
      <c r="U54" s="400"/>
      <c r="W54" s="321">
        <f t="shared" si="1"/>
        <v>0</v>
      </c>
      <c r="X54" s="400"/>
      <c r="Y54" s="400"/>
      <c r="AA54" s="321">
        <f t="shared" si="2"/>
        <v>0</v>
      </c>
      <c r="AB54" s="400"/>
      <c r="AC54" s="400"/>
      <c r="AE54" s="321">
        <f t="shared" si="3"/>
        <v>0</v>
      </c>
      <c r="AF54" s="400"/>
      <c r="AG54" s="400"/>
      <c r="AI54" s="321">
        <f t="shared" si="4"/>
        <v>0</v>
      </c>
    </row>
    <row r="55" spans="1:35" ht="15.75" customHeight="1">
      <c r="A55" s="397"/>
      <c r="B55" s="398" t="s">
        <v>520</v>
      </c>
      <c r="C55" s="407">
        <v>0.5</v>
      </c>
      <c r="D55" s="400"/>
      <c r="E55" s="400"/>
      <c r="F55" s="321"/>
      <c r="G55" s="321"/>
      <c r="H55" s="400"/>
      <c r="I55" s="400"/>
      <c r="J55" s="401"/>
      <c r="K55" s="321"/>
      <c r="L55" s="400"/>
      <c r="M55" s="400"/>
      <c r="O55" s="321">
        <f t="shared" si="6"/>
        <v>0</v>
      </c>
      <c r="P55" s="400"/>
      <c r="Q55" s="400"/>
      <c r="R55" s="1"/>
      <c r="S55" s="321"/>
      <c r="T55" s="400"/>
      <c r="U55" s="400"/>
      <c r="W55" s="321"/>
      <c r="X55" s="400"/>
      <c r="Y55" s="400"/>
      <c r="AA55" s="321"/>
      <c r="AB55" s="400"/>
      <c r="AC55" s="400"/>
      <c r="AE55" s="321"/>
      <c r="AF55" s="400"/>
      <c r="AG55" s="400"/>
      <c r="AI55" s="321"/>
    </row>
    <row r="56" spans="1:35" ht="15.75" customHeight="1">
      <c r="A56" s="397"/>
      <c r="B56" s="398" t="s">
        <v>521</v>
      </c>
      <c r="C56" s="407">
        <v>0.52</v>
      </c>
      <c r="D56" s="400"/>
      <c r="E56" s="400"/>
      <c r="F56" s="321"/>
      <c r="G56" s="321">
        <f t="shared" si="0"/>
        <v>0</v>
      </c>
      <c r="H56" s="400"/>
      <c r="I56" s="400"/>
      <c r="J56" s="401"/>
      <c r="K56" s="321">
        <f t="shared" ref="K56:K87" si="8">$C56*H56/100</f>
        <v>0</v>
      </c>
      <c r="L56" s="400"/>
      <c r="M56" s="400"/>
      <c r="O56" s="321">
        <f t="shared" si="6"/>
        <v>0</v>
      </c>
      <c r="P56" s="400"/>
      <c r="Q56" s="400"/>
      <c r="R56" s="1"/>
      <c r="S56" s="321">
        <f t="shared" si="5"/>
        <v>0</v>
      </c>
      <c r="T56" s="400"/>
      <c r="U56" s="400"/>
      <c r="W56" s="321">
        <f t="shared" si="1"/>
        <v>0</v>
      </c>
      <c r="X56" s="400"/>
      <c r="Y56" s="400"/>
      <c r="AA56" s="321">
        <f t="shared" si="2"/>
        <v>0</v>
      </c>
      <c r="AB56" s="400"/>
      <c r="AC56" s="400"/>
      <c r="AE56" s="321">
        <f t="shared" si="3"/>
        <v>0</v>
      </c>
      <c r="AF56" s="400"/>
      <c r="AG56" s="400"/>
      <c r="AI56" s="321">
        <f t="shared" si="4"/>
        <v>0</v>
      </c>
    </row>
    <row r="57" spans="1:35" ht="15.75" customHeight="1">
      <c r="A57" s="397"/>
      <c r="B57" s="398" t="s">
        <v>522</v>
      </c>
      <c r="C57" s="407">
        <v>0.52</v>
      </c>
      <c r="D57" s="400"/>
      <c r="E57" s="400"/>
      <c r="F57" s="321"/>
      <c r="G57" s="321">
        <f t="shared" si="0"/>
        <v>0</v>
      </c>
      <c r="H57" s="400"/>
      <c r="I57" s="400"/>
      <c r="J57" s="401"/>
      <c r="K57" s="321">
        <f t="shared" si="8"/>
        <v>0</v>
      </c>
      <c r="L57" s="400"/>
      <c r="M57" s="400"/>
      <c r="O57" s="321">
        <f t="shared" si="6"/>
        <v>0</v>
      </c>
      <c r="P57" s="400"/>
      <c r="Q57" s="400"/>
      <c r="R57" s="1"/>
      <c r="S57" s="321">
        <f t="shared" si="5"/>
        <v>0</v>
      </c>
      <c r="T57" s="400"/>
      <c r="U57" s="400"/>
      <c r="W57" s="321">
        <f t="shared" si="1"/>
        <v>0</v>
      </c>
      <c r="X57" s="400"/>
      <c r="Y57" s="400"/>
      <c r="AA57" s="321">
        <f t="shared" si="2"/>
        <v>0</v>
      </c>
      <c r="AB57" s="400"/>
      <c r="AC57" s="400"/>
      <c r="AE57" s="321">
        <f t="shared" si="3"/>
        <v>0</v>
      </c>
      <c r="AF57" s="400"/>
      <c r="AG57" s="400"/>
      <c r="AI57" s="321">
        <f t="shared" si="4"/>
        <v>0</v>
      </c>
    </row>
    <row r="58" spans="1:35" ht="15.75" customHeight="1">
      <c r="A58" s="397"/>
      <c r="B58" s="398" t="s">
        <v>523</v>
      </c>
      <c r="C58" s="407">
        <v>0.62</v>
      </c>
      <c r="D58" s="400"/>
      <c r="E58" s="400"/>
      <c r="F58" s="321"/>
      <c r="G58" s="321">
        <f t="shared" si="0"/>
        <v>0</v>
      </c>
      <c r="H58" s="400"/>
      <c r="I58" s="400"/>
      <c r="J58" s="401"/>
      <c r="K58" s="321">
        <f t="shared" si="8"/>
        <v>0</v>
      </c>
      <c r="L58" s="400"/>
      <c r="M58" s="400"/>
      <c r="O58" s="321">
        <f t="shared" si="6"/>
        <v>0</v>
      </c>
      <c r="P58" s="400"/>
      <c r="Q58" s="400"/>
      <c r="R58" s="1"/>
      <c r="S58" s="321">
        <f t="shared" si="5"/>
        <v>0</v>
      </c>
      <c r="T58" s="400"/>
      <c r="U58" s="400"/>
      <c r="W58" s="321">
        <f t="shared" si="1"/>
        <v>0</v>
      </c>
      <c r="X58" s="400"/>
      <c r="Y58" s="400"/>
      <c r="AA58" s="321">
        <f t="shared" si="2"/>
        <v>0</v>
      </c>
      <c r="AB58" s="400"/>
      <c r="AC58" s="400"/>
      <c r="AE58" s="321">
        <f t="shared" si="3"/>
        <v>0</v>
      </c>
      <c r="AF58" s="400"/>
      <c r="AG58" s="400"/>
      <c r="AI58" s="321">
        <f t="shared" si="4"/>
        <v>0</v>
      </c>
    </row>
    <row r="59" spans="1:35" ht="15.75" customHeight="1">
      <c r="A59" s="397"/>
      <c r="B59" s="398" t="s">
        <v>524</v>
      </c>
      <c r="C59" s="407">
        <v>1.08</v>
      </c>
      <c r="D59" s="400"/>
      <c r="E59" s="400"/>
      <c r="F59" s="321"/>
      <c r="G59" s="321">
        <f t="shared" si="0"/>
        <v>0</v>
      </c>
      <c r="H59" s="400"/>
      <c r="I59" s="400"/>
      <c r="J59" s="401"/>
      <c r="K59" s="321">
        <f t="shared" si="8"/>
        <v>0</v>
      </c>
      <c r="L59" s="400"/>
      <c r="M59" s="400"/>
      <c r="O59" s="321">
        <f t="shared" si="6"/>
        <v>0</v>
      </c>
      <c r="P59" s="400"/>
      <c r="Q59" s="400"/>
      <c r="R59" s="1"/>
      <c r="S59" s="321">
        <f t="shared" si="5"/>
        <v>0</v>
      </c>
      <c r="T59" s="400"/>
      <c r="U59" s="400"/>
      <c r="W59" s="321">
        <f t="shared" si="1"/>
        <v>0</v>
      </c>
      <c r="X59" s="400"/>
      <c r="Y59" s="400"/>
      <c r="AA59" s="321">
        <f t="shared" si="2"/>
        <v>0</v>
      </c>
      <c r="AB59" s="400"/>
      <c r="AC59" s="400"/>
      <c r="AE59" s="321">
        <f t="shared" si="3"/>
        <v>0</v>
      </c>
      <c r="AF59" s="400"/>
      <c r="AG59" s="400"/>
      <c r="AI59" s="321">
        <f t="shared" si="4"/>
        <v>0</v>
      </c>
    </row>
    <row r="60" spans="1:35" ht="15.75">
      <c r="A60" s="321">
        <v>7</v>
      </c>
      <c r="B60" s="408" t="s">
        <v>223</v>
      </c>
      <c r="C60" s="407"/>
      <c r="D60" s="400"/>
      <c r="E60" s="400"/>
      <c r="F60" s="321"/>
      <c r="G60" s="321">
        <f t="shared" si="0"/>
        <v>0</v>
      </c>
      <c r="H60" s="400"/>
      <c r="I60" s="400"/>
      <c r="J60" s="401"/>
      <c r="K60" s="321">
        <f t="shared" si="8"/>
        <v>0</v>
      </c>
      <c r="L60" s="400"/>
      <c r="M60" s="400"/>
      <c r="O60" s="321">
        <f t="shared" si="6"/>
        <v>0</v>
      </c>
      <c r="P60" s="400"/>
      <c r="Q60" s="400"/>
      <c r="R60" s="1"/>
      <c r="S60" s="321">
        <f t="shared" si="5"/>
        <v>0</v>
      </c>
      <c r="T60" s="400"/>
      <c r="U60" s="400"/>
      <c r="W60" s="321">
        <f t="shared" si="1"/>
        <v>0</v>
      </c>
      <c r="X60" s="400"/>
      <c r="Y60" s="400"/>
      <c r="AA60" s="321">
        <f t="shared" si="2"/>
        <v>0</v>
      </c>
      <c r="AB60" s="400"/>
      <c r="AC60" s="400"/>
      <c r="AE60" s="321">
        <f t="shared" si="3"/>
        <v>0</v>
      </c>
      <c r="AF60" s="400"/>
      <c r="AG60" s="400"/>
      <c r="AI60" s="321">
        <f t="shared" si="4"/>
        <v>0</v>
      </c>
    </row>
    <row r="61" spans="1:35" ht="15.75">
      <c r="A61" s="397"/>
      <c r="B61" s="398" t="s">
        <v>328</v>
      </c>
      <c r="C61" s="407">
        <v>0.27</v>
      </c>
      <c r="D61" s="399">
        <f>MAX(C61:C75)</f>
        <v>4.18</v>
      </c>
      <c r="E61" s="400">
        <f>MIN(C61:C75)</f>
        <v>0.27</v>
      </c>
      <c r="F61" s="321"/>
      <c r="G61" s="321">
        <f t="shared" si="0"/>
        <v>0</v>
      </c>
      <c r="H61" s="399">
        <f>MAX(C61:C75)</f>
        <v>4.18</v>
      </c>
      <c r="I61" s="400">
        <f>MIN(C61:C75)</f>
        <v>0.27</v>
      </c>
      <c r="J61" s="401"/>
      <c r="K61" s="321">
        <f t="shared" si="8"/>
        <v>1.1285999999999999E-2</v>
      </c>
      <c r="L61" s="399">
        <v>4.18</v>
      </c>
      <c r="M61" s="400">
        <v>0.27</v>
      </c>
      <c r="N61">
        <v>100</v>
      </c>
      <c r="O61" s="321">
        <f t="shared" si="6"/>
        <v>0.27</v>
      </c>
      <c r="P61" s="399">
        <v>4.18</v>
      </c>
      <c r="Q61" s="400">
        <v>0.27</v>
      </c>
      <c r="R61" s="1"/>
      <c r="S61" s="321">
        <f t="shared" si="5"/>
        <v>1.1285999999999999E-2</v>
      </c>
      <c r="T61" s="399">
        <v>4.18</v>
      </c>
      <c r="U61" s="400">
        <v>0.27</v>
      </c>
      <c r="W61" s="321">
        <f t="shared" si="1"/>
        <v>0</v>
      </c>
      <c r="X61" s="399">
        <v>4.18</v>
      </c>
      <c r="Y61" s="400">
        <v>0.27</v>
      </c>
      <c r="AA61" s="321">
        <f t="shared" si="2"/>
        <v>0</v>
      </c>
      <c r="AB61" s="399">
        <v>4.18</v>
      </c>
      <c r="AC61" s="400">
        <v>0.27</v>
      </c>
      <c r="AE61" s="321">
        <f t="shared" si="3"/>
        <v>0</v>
      </c>
      <c r="AF61" s="399">
        <f>MAX(C61:C75)</f>
        <v>4.18</v>
      </c>
      <c r="AG61" s="400">
        <f>MIN(C61:C75)</f>
        <v>0.27</v>
      </c>
      <c r="AI61" s="321">
        <f t="shared" si="4"/>
        <v>0</v>
      </c>
    </row>
    <row r="62" spans="1:35" ht="33.75" customHeight="1">
      <c r="A62" s="397"/>
      <c r="B62" s="398" t="s">
        <v>329</v>
      </c>
      <c r="C62" s="407">
        <v>0.56999999999999995</v>
      </c>
      <c r="D62" s="400"/>
      <c r="E62" s="400"/>
      <c r="F62" s="321"/>
      <c r="G62" s="321">
        <f t="shared" si="0"/>
        <v>0</v>
      </c>
      <c r="H62" s="400"/>
      <c r="I62" s="400"/>
      <c r="J62" s="401"/>
      <c r="K62" s="321">
        <f t="shared" si="8"/>
        <v>0</v>
      </c>
      <c r="L62" s="400"/>
      <c r="M62" s="400"/>
      <c r="O62" s="321">
        <f t="shared" si="6"/>
        <v>0</v>
      </c>
      <c r="P62" s="400"/>
      <c r="Q62" s="400"/>
      <c r="R62" s="1"/>
      <c r="S62" s="321">
        <f t="shared" si="5"/>
        <v>0</v>
      </c>
      <c r="T62" s="400"/>
      <c r="U62" s="400"/>
      <c r="W62" s="321">
        <f t="shared" si="1"/>
        <v>0</v>
      </c>
      <c r="X62" s="400"/>
      <c r="Y62" s="400"/>
      <c r="AA62" s="321">
        <f t="shared" si="2"/>
        <v>0</v>
      </c>
      <c r="AB62" s="400"/>
      <c r="AC62" s="400"/>
      <c r="AE62" s="321">
        <f t="shared" si="3"/>
        <v>0</v>
      </c>
      <c r="AF62" s="400"/>
      <c r="AG62" s="400"/>
      <c r="AI62" s="321">
        <f t="shared" si="4"/>
        <v>0</v>
      </c>
    </row>
    <row r="63" spans="1:35" ht="36" customHeight="1">
      <c r="A63" s="397"/>
      <c r="B63" s="398" t="s">
        <v>330</v>
      </c>
      <c r="C63" s="407">
        <v>0.81</v>
      </c>
      <c r="D63" s="400"/>
      <c r="E63" s="400"/>
      <c r="F63" s="321"/>
      <c r="G63" s="321">
        <f t="shared" si="0"/>
        <v>0</v>
      </c>
      <c r="H63" s="400"/>
      <c r="I63" s="400"/>
      <c r="J63" s="401"/>
      <c r="K63" s="321">
        <f t="shared" si="8"/>
        <v>0</v>
      </c>
      <c r="L63" s="400"/>
      <c r="M63" s="400"/>
      <c r="O63" s="321">
        <f t="shared" si="6"/>
        <v>0</v>
      </c>
      <c r="P63" s="400"/>
      <c r="Q63" s="400"/>
      <c r="R63" s="1"/>
      <c r="S63" s="321">
        <f t="shared" si="5"/>
        <v>0</v>
      </c>
      <c r="T63" s="400"/>
      <c r="U63" s="400"/>
      <c r="W63" s="321">
        <f t="shared" si="1"/>
        <v>0</v>
      </c>
      <c r="X63" s="400"/>
      <c r="Y63" s="400"/>
      <c r="AA63" s="321">
        <f t="shared" si="2"/>
        <v>0</v>
      </c>
      <c r="AB63" s="400"/>
      <c r="AC63" s="400"/>
      <c r="AE63" s="321">
        <f t="shared" si="3"/>
        <v>0</v>
      </c>
      <c r="AF63" s="400"/>
      <c r="AG63" s="400"/>
      <c r="AI63" s="321">
        <f t="shared" si="4"/>
        <v>0</v>
      </c>
    </row>
    <row r="64" spans="1:35" ht="36" customHeight="1">
      <c r="A64" s="397"/>
      <c r="B64" s="398" t="s">
        <v>331</v>
      </c>
      <c r="C64" s="407">
        <v>0.95</v>
      </c>
      <c r="D64" s="400"/>
      <c r="E64" s="400"/>
      <c r="F64" s="321"/>
      <c r="G64" s="321">
        <f t="shared" si="0"/>
        <v>0</v>
      </c>
      <c r="H64" s="400"/>
      <c r="I64" s="400"/>
      <c r="J64" s="401"/>
      <c r="K64" s="321">
        <f t="shared" si="8"/>
        <v>0</v>
      </c>
      <c r="L64" s="400"/>
      <c r="M64" s="400"/>
      <c r="O64" s="321">
        <f t="shared" si="6"/>
        <v>0</v>
      </c>
      <c r="P64" s="400"/>
      <c r="Q64" s="400"/>
      <c r="R64" s="1"/>
      <c r="S64" s="321">
        <f t="shared" si="5"/>
        <v>0</v>
      </c>
      <c r="T64" s="400"/>
      <c r="U64" s="400"/>
      <c r="W64" s="321">
        <f t="shared" si="1"/>
        <v>0</v>
      </c>
      <c r="X64" s="400"/>
      <c r="Y64" s="400"/>
      <c r="AA64" s="321">
        <f t="shared" si="2"/>
        <v>0</v>
      </c>
      <c r="AB64" s="400"/>
      <c r="AC64" s="400"/>
      <c r="AE64" s="321">
        <f t="shared" si="3"/>
        <v>0</v>
      </c>
      <c r="AF64" s="400"/>
      <c r="AG64" s="400"/>
      <c r="AI64" s="321">
        <f t="shared" si="4"/>
        <v>0</v>
      </c>
    </row>
    <row r="65" spans="1:35" ht="36" customHeight="1">
      <c r="A65" s="397"/>
      <c r="B65" s="398" t="s">
        <v>332</v>
      </c>
      <c r="C65" s="407">
        <v>1.08</v>
      </c>
      <c r="D65" s="400"/>
      <c r="E65" s="400"/>
      <c r="F65" s="321"/>
      <c r="G65" s="321">
        <f t="shared" si="0"/>
        <v>0</v>
      </c>
      <c r="H65" s="400"/>
      <c r="I65" s="400"/>
      <c r="J65" s="401"/>
      <c r="K65" s="321">
        <f t="shared" si="8"/>
        <v>0</v>
      </c>
      <c r="L65" s="400"/>
      <c r="M65" s="400"/>
      <c r="O65" s="321">
        <f t="shared" si="6"/>
        <v>0</v>
      </c>
      <c r="P65" s="400"/>
      <c r="Q65" s="400"/>
      <c r="R65" s="1"/>
      <c r="S65" s="321">
        <f t="shared" si="5"/>
        <v>0</v>
      </c>
      <c r="T65" s="400"/>
      <c r="U65" s="400"/>
      <c r="W65" s="321">
        <f t="shared" si="1"/>
        <v>0</v>
      </c>
      <c r="X65" s="400"/>
      <c r="Y65" s="400"/>
      <c r="AA65" s="321">
        <f t="shared" si="2"/>
        <v>0</v>
      </c>
      <c r="AB65" s="400"/>
      <c r="AC65" s="400"/>
      <c r="AE65" s="321">
        <f t="shared" si="3"/>
        <v>0</v>
      </c>
      <c r="AF65" s="400"/>
      <c r="AG65" s="400"/>
      <c r="AI65" s="321">
        <f t="shared" si="4"/>
        <v>0</v>
      </c>
    </row>
    <row r="66" spans="1:35" ht="36" customHeight="1">
      <c r="A66" s="397"/>
      <c r="B66" s="398" t="s">
        <v>333</v>
      </c>
      <c r="C66" s="407">
        <v>1.69</v>
      </c>
      <c r="D66" s="400"/>
      <c r="E66" s="400"/>
      <c r="F66" s="321"/>
      <c r="G66" s="321">
        <f t="shared" si="0"/>
        <v>0</v>
      </c>
      <c r="H66" s="400"/>
      <c r="I66" s="400"/>
      <c r="J66" s="401"/>
      <c r="K66" s="321">
        <f t="shared" si="8"/>
        <v>0</v>
      </c>
      <c r="L66" s="400"/>
      <c r="M66" s="400"/>
      <c r="O66" s="321">
        <f t="shared" si="6"/>
        <v>0</v>
      </c>
      <c r="P66" s="400"/>
      <c r="Q66" s="400"/>
      <c r="R66" s="1"/>
      <c r="S66" s="321">
        <f t="shared" si="5"/>
        <v>0</v>
      </c>
      <c r="T66" s="400"/>
      <c r="U66" s="400"/>
      <c r="W66" s="321">
        <f t="shared" si="1"/>
        <v>0</v>
      </c>
      <c r="X66" s="400"/>
      <c r="Y66" s="400"/>
      <c r="AA66" s="321">
        <f t="shared" si="2"/>
        <v>0</v>
      </c>
      <c r="AB66" s="400"/>
      <c r="AC66" s="400"/>
      <c r="AE66" s="321">
        <f t="shared" si="3"/>
        <v>0</v>
      </c>
      <c r="AF66" s="400"/>
      <c r="AG66" s="400"/>
      <c r="AI66" s="321">
        <f t="shared" si="4"/>
        <v>0</v>
      </c>
    </row>
    <row r="67" spans="1:35" ht="36" customHeight="1">
      <c r="A67" s="397"/>
      <c r="B67" s="398" t="s">
        <v>525</v>
      </c>
      <c r="C67" s="407">
        <v>1.78</v>
      </c>
      <c r="D67" s="400"/>
      <c r="E67" s="400"/>
      <c r="F67" s="321"/>
      <c r="G67" s="321">
        <f t="shared" si="0"/>
        <v>0</v>
      </c>
      <c r="H67" s="400"/>
      <c r="I67" s="400"/>
      <c r="J67" s="401"/>
      <c r="K67" s="321">
        <f t="shared" si="8"/>
        <v>0</v>
      </c>
      <c r="L67" s="400"/>
      <c r="M67" s="400"/>
      <c r="O67" s="321">
        <f t="shared" si="6"/>
        <v>0</v>
      </c>
      <c r="P67" s="400"/>
      <c r="Q67" s="400"/>
      <c r="R67" s="1"/>
      <c r="S67" s="321">
        <f t="shared" si="5"/>
        <v>0</v>
      </c>
      <c r="T67" s="400"/>
      <c r="U67" s="400"/>
      <c r="W67" s="321">
        <f t="shared" si="1"/>
        <v>0</v>
      </c>
      <c r="X67" s="400"/>
      <c r="Y67" s="400"/>
      <c r="AA67" s="321">
        <f t="shared" si="2"/>
        <v>0</v>
      </c>
      <c r="AB67" s="400"/>
      <c r="AC67" s="400"/>
      <c r="AE67" s="321">
        <f t="shared" si="3"/>
        <v>0</v>
      </c>
      <c r="AF67" s="400"/>
      <c r="AG67" s="400"/>
      <c r="AI67" s="321">
        <f t="shared" si="4"/>
        <v>0</v>
      </c>
    </row>
    <row r="68" spans="1:35" ht="36" customHeight="1">
      <c r="A68" s="397"/>
      <c r="B68" s="398" t="s">
        <v>526</v>
      </c>
      <c r="C68" s="407">
        <v>2.14</v>
      </c>
      <c r="D68" s="400"/>
      <c r="E68" s="400"/>
      <c r="F68" s="321"/>
      <c r="G68" s="321">
        <f t="shared" si="0"/>
        <v>0</v>
      </c>
      <c r="H68" s="400"/>
      <c r="I68" s="400"/>
      <c r="J68" s="401"/>
      <c r="K68" s="321">
        <f t="shared" si="8"/>
        <v>0</v>
      </c>
      <c r="L68" s="400"/>
      <c r="M68" s="400"/>
      <c r="O68" s="321">
        <f t="shared" si="6"/>
        <v>0</v>
      </c>
      <c r="P68" s="400"/>
      <c r="Q68" s="400"/>
      <c r="R68" s="1"/>
      <c r="S68" s="321">
        <f t="shared" si="5"/>
        <v>0</v>
      </c>
      <c r="T68" s="400"/>
      <c r="U68" s="400"/>
      <c r="W68" s="321">
        <f t="shared" si="1"/>
        <v>0</v>
      </c>
      <c r="X68" s="400"/>
      <c r="Y68" s="400"/>
      <c r="AA68" s="321">
        <f t="shared" si="2"/>
        <v>0</v>
      </c>
      <c r="AB68" s="400"/>
      <c r="AC68" s="400"/>
      <c r="AE68" s="321">
        <f t="shared" si="3"/>
        <v>0</v>
      </c>
      <c r="AF68" s="400"/>
      <c r="AG68" s="400"/>
      <c r="AI68" s="321">
        <f t="shared" si="4"/>
        <v>0</v>
      </c>
    </row>
    <row r="69" spans="1:35" ht="36" customHeight="1">
      <c r="A69" s="397"/>
      <c r="B69" s="398" t="s">
        <v>527</v>
      </c>
      <c r="C69" s="407">
        <v>2.4900000000000002</v>
      </c>
      <c r="D69" s="400"/>
      <c r="E69" s="400"/>
      <c r="F69" s="321"/>
      <c r="G69" s="321">
        <f t="shared" si="0"/>
        <v>0</v>
      </c>
      <c r="H69" s="400"/>
      <c r="I69" s="400"/>
      <c r="J69" s="401"/>
      <c r="K69" s="321">
        <f t="shared" si="8"/>
        <v>0</v>
      </c>
      <c r="L69" s="400"/>
      <c r="M69" s="400"/>
      <c r="O69" s="321">
        <f t="shared" si="6"/>
        <v>0</v>
      </c>
      <c r="P69" s="400"/>
      <c r="Q69" s="400"/>
      <c r="R69" s="1"/>
      <c r="S69" s="321">
        <f t="shared" si="5"/>
        <v>0</v>
      </c>
      <c r="T69" s="400"/>
      <c r="U69" s="400"/>
      <c r="W69" s="321">
        <f t="shared" si="1"/>
        <v>0</v>
      </c>
      <c r="X69" s="400"/>
      <c r="Y69" s="400"/>
      <c r="AA69" s="321">
        <f t="shared" si="2"/>
        <v>0</v>
      </c>
      <c r="AB69" s="400"/>
      <c r="AC69" s="400"/>
      <c r="AE69" s="321">
        <f t="shared" si="3"/>
        <v>0</v>
      </c>
      <c r="AF69" s="400"/>
      <c r="AG69" s="400"/>
      <c r="AI69" s="321">
        <f t="shared" si="4"/>
        <v>0</v>
      </c>
    </row>
    <row r="70" spans="1:35" ht="36" customHeight="1">
      <c r="A70" s="397"/>
      <c r="B70" s="398" t="s">
        <v>528</v>
      </c>
      <c r="C70" s="407">
        <v>3.52</v>
      </c>
      <c r="D70" s="400"/>
      <c r="E70" s="400"/>
      <c r="F70" s="321"/>
      <c r="G70" s="321">
        <f t="shared" si="0"/>
        <v>0</v>
      </c>
      <c r="H70" s="400"/>
      <c r="I70" s="400"/>
      <c r="J70" s="401"/>
      <c r="K70" s="321">
        <f t="shared" si="8"/>
        <v>0</v>
      </c>
      <c r="L70" s="400"/>
      <c r="M70" s="400"/>
      <c r="O70" s="321">
        <f t="shared" si="6"/>
        <v>0</v>
      </c>
      <c r="P70" s="400"/>
      <c r="Q70" s="400"/>
      <c r="R70" s="1"/>
      <c r="S70" s="321">
        <f t="shared" si="5"/>
        <v>0</v>
      </c>
      <c r="T70" s="400"/>
      <c r="U70" s="400"/>
      <c r="W70" s="321">
        <f t="shared" si="1"/>
        <v>0</v>
      </c>
      <c r="X70" s="400"/>
      <c r="Y70" s="400"/>
      <c r="AA70" s="321">
        <f t="shared" si="2"/>
        <v>0</v>
      </c>
      <c r="AB70" s="400"/>
      <c r="AC70" s="400"/>
      <c r="AE70" s="321">
        <f t="shared" si="3"/>
        <v>0</v>
      </c>
      <c r="AF70" s="400"/>
      <c r="AG70" s="400"/>
      <c r="AI70" s="321">
        <f t="shared" si="4"/>
        <v>0</v>
      </c>
    </row>
    <row r="71" spans="1:35" ht="36" customHeight="1">
      <c r="A71" s="397"/>
      <c r="B71" s="398" t="s">
        <v>529</v>
      </c>
      <c r="C71" s="407">
        <v>4.18</v>
      </c>
      <c r="D71" s="400"/>
      <c r="E71" s="400"/>
      <c r="F71" s="321"/>
      <c r="G71" s="321">
        <f t="shared" si="0"/>
        <v>0</v>
      </c>
      <c r="H71" s="400"/>
      <c r="I71" s="400"/>
      <c r="J71" s="401"/>
      <c r="K71" s="321">
        <f t="shared" si="8"/>
        <v>0</v>
      </c>
      <c r="L71" s="400"/>
      <c r="M71" s="400"/>
      <c r="O71" s="321">
        <f t="shared" si="6"/>
        <v>0</v>
      </c>
      <c r="P71" s="400"/>
      <c r="Q71" s="400"/>
      <c r="R71" s="1"/>
      <c r="S71" s="321">
        <f t="shared" si="5"/>
        <v>0</v>
      </c>
      <c r="T71" s="400"/>
      <c r="U71" s="400"/>
      <c r="W71" s="321">
        <f t="shared" si="1"/>
        <v>0</v>
      </c>
      <c r="X71" s="400"/>
      <c r="Y71" s="400"/>
      <c r="AA71" s="321">
        <f t="shared" si="2"/>
        <v>0</v>
      </c>
      <c r="AB71" s="400"/>
      <c r="AC71" s="400"/>
      <c r="AE71" s="321">
        <f t="shared" si="3"/>
        <v>0</v>
      </c>
      <c r="AF71" s="400"/>
      <c r="AG71" s="400"/>
      <c r="AI71" s="321">
        <f t="shared" si="4"/>
        <v>0</v>
      </c>
    </row>
    <row r="72" spans="1:35" ht="36" customHeight="1">
      <c r="A72" s="397"/>
      <c r="B72" s="398" t="s">
        <v>530</v>
      </c>
      <c r="C72" s="407">
        <v>2.84</v>
      </c>
      <c r="D72" s="400"/>
      <c r="E72" s="400"/>
      <c r="F72" s="321"/>
      <c r="G72" s="321">
        <f t="shared" si="0"/>
        <v>0</v>
      </c>
      <c r="H72" s="400"/>
      <c r="I72" s="400"/>
      <c r="J72" s="401"/>
      <c r="K72" s="321">
        <f t="shared" si="8"/>
        <v>0</v>
      </c>
      <c r="L72" s="400"/>
      <c r="M72" s="400"/>
      <c r="O72" s="321">
        <f t="shared" si="6"/>
        <v>0</v>
      </c>
      <c r="P72" s="400"/>
      <c r="Q72" s="400"/>
      <c r="R72" s="1"/>
      <c r="S72" s="321">
        <f t="shared" si="5"/>
        <v>0</v>
      </c>
      <c r="T72" s="400"/>
      <c r="U72" s="400"/>
      <c r="W72" s="321">
        <f t="shared" si="1"/>
        <v>0</v>
      </c>
      <c r="X72" s="400"/>
      <c r="Y72" s="400"/>
      <c r="AA72" s="321">
        <f t="shared" si="2"/>
        <v>0</v>
      </c>
      <c r="AB72" s="400"/>
      <c r="AC72" s="400"/>
      <c r="AE72" s="321">
        <f t="shared" si="3"/>
        <v>0</v>
      </c>
      <c r="AF72" s="400"/>
      <c r="AG72" s="400"/>
      <c r="AI72" s="321">
        <f t="shared" si="4"/>
        <v>0</v>
      </c>
    </row>
    <row r="73" spans="1:35" ht="36" customHeight="1">
      <c r="A73" s="397"/>
      <c r="B73" s="398" t="s">
        <v>531</v>
      </c>
      <c r="C73" s="407">
        <v>2.84</v>
      </c>
      <c r="D73" s="400"/>
      <c r="E73" s="400"/>
      <c r="F73" s="321"/>
      <c r="G73" s="321">
        <f t="shared" si="0"/>
        <v>0</v>
      </c>
      <c r="H73" s="400"/>
      <c r="I73" s="400"/>
      <c r="J73" s="401"/>
      <c r="K73" s="321">
        <f t="shared" si="8"/>
        <v>0</v>
      </c>
      <c r="L73" s="400"/>
      <c r="M73" s="400"/>
      <c r="O73" s="321">
        <f t="shared" si="6"/>
        <v>0</v>
      </c>
      <c r="P73" s="400"/>
      <c r="Q73" s="400"/>
      <c r="R73" s="1"/>
      <c r="S73" s="321">
        <f t="shared" si="5"/>
        <v>0</v>
      </c>
      <c r="T73" s="400"/>
      <c r="U73" s="400"/>
      <c r="W73" s="321">
        <f t="shared" si="1"/>
        <v>0</v>
      </c>
      <c r="X73" s="400"/>
      <c r="Y73" s="400"/>
      <c r="AA73" s="321">
        <f t="shared" si="2"/>
        <v>0</v>
      </c>
      <c r="AB73" s="400"/>
      <c r="AC73" s="400"/>
      <c r="AE73" s="321">
        <f t="shared" si="3"/>
        <v>0</v>
      </c>
      <c r="AF73" s="400"/>
      <c r="AG73" s="400"/>
      <c r="AI73" s="321">
        <f t="shared" si="4"/>
        <v>0</v>
      </c>
    </row>
    <row r="74" spans="1:35" ht="36" customHeight="1">
      <c r="A74" s="397"/>
      <c r="B74" s="398" t="s">
        <v>532</v>
      </c>
      <c r="C74" s="407">
        <v>1.81</v>
      </c>
      <c r="D74" s="400"/>
      <c r="E74" s="400"/>
      <c r="F74" s="321"/>
      <c r="G74" s="321">
        <f t="shared" si="0"/>
        <v>0</v>
      </c>
      <c r="H74" s="400"/>
      <c r="I74" s="400"/>
      <c r="J74" s="401"/>
      <c r="K74" s="321">
        <f t="shared" si="8"/>
        <v>0</v>
      </c>
      <c r="L74" s="400"/>
      <c r="M74" s="400"/>
      <c r="O74" s="321">
        <f t="shared" si="6"/>
        <v>0</v>
      </c>
      <c r="P74" s="400"/>
      <c r="Q74" s="400"/>
      <c r="R74" s="1"/>
      <c r="S74" s="321">
        <f t="shared" si="5"/>
        <v>0</v>
      </c>
      <c r="T74" s="400"/>
      <c r="U74" s="400"/>
      <c r="W74" s="321">
        <f t="shared" si="1"/>
        <v>0</v>
      </c>
      <c r="X74" s="400"/>
      <c r="Y74" s="400"/>
      <c r="AA74" s="321">
        <f t="shared" si="2"/>
        <v>0</v>
      </c>
      <c r="AB74" s="400"/>
      <c r="AC74" s="400"/>
      <c r="AE74" s="321">
        <f t="shared" si="3"/>
        <v>0</v>
      </c>
      <c r="AF74" s="400"/>
      <c r="AG74" s="400"/>
      <c r="AI74" s="321">
        <f t="shared" si="4"/>
        <v>0</v>
      </c>
    </row>
    <row r="75" spans="1:35" ht="36" customHeight="1">
      <c r="A75" s="397"/>
      <c r="B75" s="398" t="s">
        <v>533</v>
      </c>
      <c r="C75" s="407">
        <v>2.64</v>
      </c>
      <c r="D75" s="400"/>
      <c r="E75" s="400"/>
      <c r="F75" s="321"/>
      <c r="G75" s="321">
        <f t="shared" si="0"/>
        <v>0</v>
      </c>
      <c r="H75" s="400"/>
      <c r="I75" s="400"/>
      <c r="J75" s="401"/>
      <c r="K75" s="321">
        <f t="shared" si="8"/>
        <v>0</v>
      </c>
      <c r="L75" s="400"/>
      <c r="M75" s="400"/>
      <c r="O75" s="321">
        <f t="shared" si="6"/>
        <v>0</v>
      </c>
      <c r="P75" s="400"/>
      <c r="Q75" s="400"/>
      <c r="R75" s="1"/>
      <c r="S75" s="321">
        <f t="shared" si="5"/>
        <v>0</v>
      </c>
      <c r="T75" s="400"/>
      <c r="U75" s="400"/>
      <c r="W75" s="321">
        <f t="shared" si="1"/>
        <v>0</v>
      </c>
      <c r="X75" s="400"/>
      <c r="Y75" s="400"/>
      <c r="AA75" s="321">
        <f t="shared" si="2"/>
        <v>0</v>
      </c>
      <c r="AB75" s="400"/>
      <c r="AC75" s="400"/>
      <c r="AE75" s="321">
        <f t="shared" si="3"/>
        <v>0</v>
      </c>
      <c r="AF75" s="400"/>
      <c r="AG75" s="400"/>
      <c r="AI75" s="321">
        <f t="shared" si="4"/>
        <v>0</v>
      </c>
    </row>
    <row r="76" spans="1:35" ht="15.75">
      <c r="A76" s="321">
        <v>8</v>
      </c>
      <c r="B76" s="408" t="s">
        <v>346</v>
      </c>
      <c r="C76" s="407"/>
      <c r="D76" s="400"/>
      <c r="E76" s="400"/>
      <c r="F76" s="321"/>
      <c r="G76" s="321">
        <f t="shared" si="0"/>
        <v>0</v>
      </c>
      <c r="H76" s="400"/>
      <c r="I76" s="400"/>
      <c r="J76" s="401"/>
      <c r="K76" s="321">
        <f t="shared" si="8"/>
        <v>0</v>
      </c>
      <c r="L76" s="400"/>
      <c r="M76" s="400"/>
      <c r="O76" s="321">
        <f t="shared" si="6"/>
        <v>0</v>
      </c>
      <c r="P76" s="400"/>
      <c r="Q76" s="400"/>
      <c r="R76" s="1"/>
      <c r="S76" s="321">
        <f t="shared" si="5"/>
        <v>0</v>
      </c>
      <c r="T76" s="400"/>
      <c r="U76" s="400"/>
      <c r="W76" s="321">
        <f t="shared" si="1"/>
        <v>0</v>
      </c>
      <c r="X76" s="400"/>
      <c r="Y76" s="400"/>
      <c r="AA76" s="321">
        <f t="shared" si="2"/>
        <v>0</v>
      </c>
      <c r="AB76" s="400"/>
      <c r="AC76" s="400"/>
      <c r="AE76" s="321">
        <f t="shared" si="3"/>
        <v>0</v>
      </c>
      <c r="AF76" s="400"/>
      <c r="AG76" s="400"/>
      <c r="AI76" s="321">
        <f t="shared" si="4"/>
        <v>0</v>
      </c>
    </row>
    <row r="77" spans="1:35" ht="15.75">
      <c r="A77" s="321"/>
      <c r="B77" s="408" t="s">
        <v>347</v>
      </c>
      <c r="C77" s="407"/>
      <c r="D77" s="400"/>
      <c r="E77" s="400"/>
      <c r="F77" s="321"/>
      <c r="G77" s="321">
        <f t="shared" si="0"/>
        <v>0</v>
      </c>
      <c r="H77" s="400"/>
      <c r="I77" s="400"/>
      <c r="J77" s="401"/>
      <c r="K77" s="321">
        <f t="shared" si="8"/>
        <v>0</v>
      </c>
      <c r="L77" s="400"/>
      <c r="M77" s="400"/>
      <c r="O77" s="321">
        <f t="shared" si="6"/>
        <v>0</v>
      </c>
      <c r="P77" s="400"/>
      <c r="Q77" s="400"/>
      <c r="R77" s="1"/>
      <c r="S77" s="321">
        <f t="shared" si="5"/>
        <v>0</v>
      </c>
      <c r="T77" s="400"/>
      <c r="U77" s="400"/>
      <c r="W77" s="321">
        <f t="shared" si="1"/>
        <v>0</v>
      </c>
      <c r="X77" s="400"/>
      <c r="Y77" s="400"/>
      <c r="AA77" s="321">
        <f t="shared" si="2"/>
        <v>0</v>
      </c>
      <c r="AB77" s="400"/>
      <c r="AC77" s="400"/>
      <c r="AE77" s="321">
        <f t="shared" si="3"/>
        <v>0</v>
      </c>
      <c r="AF77" s="400"/>
      <c r="AG77" s="400"/>
      <c r="AI77" s="321">
        <f t="shared" si="4"/>
        <v>0</v>
      </c>
    </row>
    <row r="78" spans="1:35" ht="15.75">
      <c r="A78" s="397"/>
      <c r="B78" s="398" t="s">
        <v>348</v>
      </c>
      <c r="C78" s="407">
        <v>0.21</v>
      </c>
      <c r="D78" s="399">
        <f>MAX(C78:C95)</f>
        <v>2</v>
      </c>
      <c r="E78" s="400">
        <f>MIN(C78:C119)</f>
        <v>0.09</v>
      </c>
      <c r="F78" s="321"/>
      <c r="G78" s="321">
        <f t="shared" si="0"/>
        <v>0</v>
      </c>
      <c r="H78" s="399">
        <f>MAX(C78:C95)</f>
        <v>2</v>
      </c>
      <c r="I78" s="400">
        <f>MIN(C78:C119)</f>
        <v>0.09</v>
      </c>
      <c r="J78" s="401"/>
      <c r="K78" s="321">
        <f t="shared" si="8"/>
        <v>4.1999999999999997E-3</v>
      </c>
      <c r="L78" s="399">
        <v>2</v>
      </c>
      <c r="M78" s="400">
        <v>0.09</v>
      </c>
      <c r="N78">
        <v>100</v>
      </c>
      <c r="O78" s="321">
        <f t="shared" si="6"/>
        <v>0.21</v>
      </c>
      <c r="P78" s="399">
        <v>2</v>
      </c>
      <c r="Q78" s="400">
        <v>0.09</v>
      </c>
      <c r="R78" s="1"/>
      <c r="S78" s="321">
        <f t="shared" si="5"/>
        <v>4.1999999999999997E-3</v>
      </c>
      <c r="T78" s="399">
        <v>2</v>
      </c>
      <c r="U78" s="400">
        <v>0.09</v>
      </c>
      <c r="W78" s="321">
        <f t="shared" si="1"/>
        <v>0</v>
      </c>
      <c r="X78" s="399">
        <v>2</v>
      </c>
      <c r="Y78" s="400">
        <v>0.09</v>
      </c>
      <c r="AA78" s="321">
        <f t="shared" si="2"/>
        <v>0</v>
      </c>
      <c r="AB78" s="399">
        <v>2</v>
      </c>
      <c r="AC78" s="400">
        <v>0.09</v>
      </c>
      <c r="AE78" s="321">
        <f t="shared" si="3"/>
        <v>0</v>
      </c>
      <c r="AF78" s="399">
        <f>MAX(C78:C95)</f>
        <v>2</v>
      </c>
      <c r="AG78" s="400">
        <f>MIN(C78:C119)</f>
        <v>0.09</v>
      </c>
      <c r="AI78" s="321">
        <f t="shared" si="4"/>
        <v>0</v>
      </c>
    </row>
    <row r="79" spans="1:35" ht="15.75">
      <c r="A79" s="397"/>
      <c r="B79" s="398" t="s">
        <v>349</v>
      </c>
      <c r="C79" s="407">
        <v>0.28000000000000003</v>
      </c>
      <c r="D79" s="400"/>
      <c r="E79" s="400"/>
      <c r="F79" s="321"/>
      <c r="G79" s="321">
        <f t="shared" si="0"/>
        <v>0</v>
      </c>
      <c r="H79" s="400"/>
      <c r="I79" s="400"/>
      <c r="J79" s="401"/>
      <c r="K79" s="321">
        <f t="shared" si="8"/>
        <v>0</v>
      </c>
      <c r="L79" s="400"/>
      <c r="M79" s="400"/>
      <c r="O79" s="321">
        <f t="shared" ref="O79:O142" si="9">$C79*N79/100</f>
        <v>0</v>
      </c>
      <c r="P79" s="400"/>
      <c r="Q79" s="400"/>
      <c r="R79" s="1"/>
      <c r="S79" s="321">
        <f t="shared" si="5"/>
        <v>0</v>
      </c>
      <c r="T79" s="400"/>
      <c r="U79" s="400"/>
      <c r="W79" s="321">
        <f t="shared" si="1"/>
        <v>0</v>
      </c>
      <c r="X79" s="400"/>
      <c r="Y79" s="400"/>
      <c r="AA79" s="321">
        <f t="shared" si="2"/>
        <v>0</v>
      </c>
      <c r="AB79" s="400"/>
      <c r="AC79" s="400"/>
      <c r="AE79" s="321">
        <f t="shared" si="3"/>
        <v>0</v>
      </c>
      <c r="AF79" s="400"/>
      <c r="AG79" s="400"/>
      <c r="AI79" s="321">
        <f t="shared" si="4"/>
        <v>0</v>
      </c>
    </row>
    <row r="80" spans="1:35" ht="15.75">
      <c r="A80" s="397"/>
      <c r="B80" s="398" t="s">
        <v>350</v>
      </c>
      <c r="C80" s="407">
        <v>0.09</v>
      </c>
      <c r="D80" s="400"/>
      <c r="E80" s="400"/>
      <c r="F80" s="321"/>
      <c r="G80" s="321">
        <f t="shared" si="0"/>
        <v>0</v>
      </c>
      <c r="H80" s="400"/>
      <c r="I80" s="400"/>
      <c r="J80" s="401"/>
      <c r="K80" s="321">
        <f t="shared" si="8"/>
        <v>0</v>
      </c>
      <c r="L80" s="400"/>
      <c r="M80" s="400"/>
      <c r="O80" s="321">
        <f t="shared" si="9"/>
        <v>0</v>
      </c>
      <c r="P80" s="400"/>
      <c r="Q80" s="400"/>
      <c r="R80" s="1"/>
      <c r="S80" s="321">
        <f t="shared" si="5"/>
        <v>0</v>
      </c>
      <c r="T80" s="400"/>
      <c r="U80" s="400"/>
      <c r="W80" s="321">
        <f t="shared" si="1"/>
        <v>0</v>
      </c>
      <c r="X80" s="400"/>
      <c r="Y80" s="400"/>
      <c r="AA80" s="321">
        <f t="shared" si="2"/>
        <v>0</v>
      </c>
      <c r="AB80" s="400"/>
      <c r="AC80" s="400"/>
      <c r="AE80" s="321">
        <f t="shared" si="3"/>
        <v>0</v>
      </c>
      <c r="AF80" s="400"/>
      <c r="AG80" s="400"/>
      <c r="AI80" s="321">
        <f t="shared" si="4"/>
        <v>0</v>
      </c>
    </row>
    <row r="81" spans="1:35" ht="15.75">
      <c r="A81" s="397"/>
      <c r="B81" s="398" t="s">
        <v>351</v>
      </c>
      <c r="C81" s="407">
        <v>0.12</v>
      </c>
      <c r="D81" s="400"/>
      <c r="E81" s="400"/>
      <c r="F81" s="321"/>
      <c r="G81" s="321">
        <f t="shared" si="0"/>
        <v>0</v>
      </c>
      <c r="H81" s="400"/>
      <c r="I81" s="400"/>
      <c r="J81" s="401"/>
      <c r="K81" s="321">
        <f t="shared" si="8"/>
        <v>0</v>
      </c>
      <c r="L81" s="400"/>
      <c r="M81" s="400"/>
      <c r="O81" s="321">
        <f t="shared" si="9"/>
        <v>0</v>
      </c>
      <c r="P81" s="400"/>
      <c r="Q81" s="400"/>
      <c r="R81" s="1"/>
      <c r="S81" s="321">
        <f t="shared" si="5"/>
        <v>0</v>
      </c>
      <c r="T81" s="400"/>
      <c r="U81" s="400"/>
      <c r="W81" s="321">
        <f t="shared" si="1"/>
        <v>0</v>
      </c>
      <c r="X81" s="400"/>
      <c r="Y81" s="400"/>
      <c r="AA81" s="321">
        <f t="shared" si="2"/>
        <v>0</v>
      </c>
      <c r="AB81" s="400"/>
      <c r="AC81" s="400"/>
      <c r="AE81" s="321">
        <f t="shared" si="3"/>
        <v>0</v>
      </c>
      <c r="AF81" s="400"/>
      <c r="AG81" s="400"/>
      <c r="AI81" s="321">
        <f t="shared" si="4"/>
        <v>0</v>
      </c>
    </row>
    <row r="82" spans="1:35" ht="15.75">
      <c r="A82" s="397"/>
      <c r="B82" s="398" t="s">
        <v>352</v>
      </c>
      <c r="C82" s="407">
        <v>0.15</v>
      </c>
      <c r="D82" s="400"/>
      <c r="E82" s="400"/>
      <c r="F82" s="321"/>
      <c r="G82" s="321">
        <f t="shared" si="0"/>
        <v>0</v>
      </c>
      <c r="H82" s="400"/>
      <c r="I82" s="400"/>
      <c r="J82" s="401"/>
      <c r="K82" s="321">
        <f t="shared" si="8"/>
        <v>0</v>
      </c>
      <c r="L82" s="400"/>
      <c r="M82" s="400"/>
      <c r="O82" s="321">
        <f t="shared" si="9"/>
        <v>0</v>
      </c>
      <c r="P82" s="400"/>
      <c r="Q82" s="400"/>
      <c r="R82" s="1"/>
      <c r="S82" s="321">
        <f t="shared" si="5"/>
        <v>0</v>
      </c>
      <c r="T82" s="400"/>
      <c r="U82" s="400"/>
      <c r="W82" s="321">
        <f t="shared" si="1"/>
        <v>0</v>
      </c>
      <c r="X82" s="400"/>
      <c r="Y82" s="400"/>
      <c r="AA82" s="321">
        <f t="shared" si="2"/>
        <v>0</v>
      </c>
      <c r="AB82" s="400"/>
      <c r="AC82" s="400"/>
      <c r="AE82" s="321">
        <f t="shared" si="3"/>
        <v>0</v>
      </c>
      <c r="AF82" s="400"/>
      <c r="AG82" s="400"/>
      <c r="AI82" s="321">
        <f t="shared" si="4"/>
        <v>0</v>
      </c>
    </row>
    <row r="83" spans="1:35" ht="31.5">
      <c r="A83" s="397"/>
      <c r="B83" s="398" t="s">
        <v>353</v>
      </c>
      <c r="C83" s="407">
        <v>0.73</v>
      </c>
      <c r="D83" s="400"/>
      <c r="E83" s="400"/>
      <c r="F83" s="321"/>
      <c r="G83" s="321">
        <f t="shared" si="0"/>
        <v>0</v>
      </c>
      <c r="H83" s="400"/>
      <c r="I83" s="400"/>
      <c r="J83" s="401"/>
      <c r="K83" s="321">
        <f t="shared" si="8"/>
        <v>0</v>
      </c>
      <c r="L83" s="400"/>
      <c r="M83" s="400"/>
      <c r="O83" s="321">
        <f t="shared" si="9"/>
        <v>0</v>
      </c>
      <c r="P83" s="400"/>
      <c r="Q83" s="400"/>
      <c r="R83" s="1"/>
      <c r="S83" s="321">
        <f t="shared" si="5"/>
        <v>0</v>
      </c>
      <c r="T83" s="400"/>
      <c r="U83" s="400"/>
      <c r="W83" s="321">
        <f t="shared" si="1"/>
        <v>0</v>
      </c>
      <c r="X83" s="400"/>
      <c r="Y83" s="400"/>
      <c r="AA83" s="321">
        <f t="shared" si="2"/>
        <v>0</v>
      </c>
      <c r="AB83" s="400"/>
      <c r="AC83" s="400"/>
      <c r="AE83" s="321">
        <f t="shared" si="3"/>
        <v>0</v>
      </c>
      <c r="AF83" s="400"/>
      <c r="AG83" s="400"/>
      <c r="AI83" s="321">
        <f t="shared" si="4"/>
        <v>0</v>
      </c>
    </row>
    <row r="84" spans="1:35" ht="15.75">
      <c r="A84" s="397"/>
      <c r="B84" s="398" t="s">
        <v>354</v>
      </c>
      <c r="C84" s="407">
        <v>1.38</v>
      </c>
      <c r="D84" s="400"/>
      <c r="E84" s="400"/>
      <c r="F84" s="321"/>
      <c r="G84" s="321">
        <f t="shared" si="0"/>
        <v>0</v>
      </c>
      <c r="H84" s="400"/>
      <c r="I84" s="400"/>
      <c r="J84" s="401"/>
      <c r="K84" s="321">
        <f t="shared" si="8"/>
        <v>0</v>
      </c>
      <c r="L84" s="400"/>
      <c r="M84" s="400"/>
      <c r="O84" s="321">
        <f t="shared" si="9"/>
        <v>0</v>
      </c>
      <c r="P84" s="400"/>
      <c r="Q84" s="400"/>
      <c r="R84" s="1"/>
      <c r="S84" s="321">
        <f t="shared" si="5"/>
        <v>0</v>
      </c>
      <c r="T84" s="400"/>
      <c r="U84" s="400"/>
      <c r="W84" s="321">
        <f t="shared" si="1"/>
        <v>0</v>
      </c>
      <c r="X84" s="400"/>
      <c r="Y84" s="400"/>
      <c r="AA84" s="321">
        <f t="shared" si="2"/>
        <v>0</v>
      </c>
      <c r="AB84" s="400"/>
      <c r="AC84" s="400"/>
      <c r="AE84" s="321">
        <f t="shared" si="3"/>
        <v>0</v>
      </c>
      <c r="AF84" s="400"/>
      <c r="AG84" s="400"/>
      <c r="AI84" s="321">
        <f t="shared" si="4"/>
        <v>0</v>
      </c>
    </row>
    <row r="85" spans="1:35" ht="31.5">
      <c r="A85" s="397"/>
      <c r="B85" s="398" t="s">
        <v>355</v>
      </c>
      <c r="C85" s="407">
        <v>1.1299999999999999</v>
      </c>
      <c r="D85" s="400"/>
      <c r="E85" s="400"/>
      <c r="F85" s="321"/>
      <c r="G85" s="321">
        <f t="shared" si="0"/>
        <v>0</v>
      </c>
      <c r="H85" s="400"/>
      <c r="I85" s="400"/>
      <c r="J85" s="401"/>
      <c r="K85" s="321">
        <f t="shared" si="8"/>
        <v>0</v>
      </c>
      <c r="L85" s="400"/>
      <c r="M85" s="400"/>
      <c r="O85" s="321">
        <f t="shared" si="9"/>
        <v>0</v>
      </c>
      <c r="P85" s="400"/>
      <c r="Q85" s="400"/>
      <c r="R85" s="1"/>
      <c r="S85" s="321">
        <f t="shared" si="5"/>
        <v>0</v>
      </c>
      <c r="T85" s="400"/>
      <c r="U85" s="400"/>
      <c r="W85" s="321">
        <f t="shared" si="1"/>
        <v>0</v>
      </c>
      <c r="X85" s="400"/>
      <c r="Y85" s="400"/>
      <c r="AA85" s="321">
        <f t="shared" si="2"/>
        <v>0</v>
      </c>
      <c r="AB85" s="400"/>
      <c r="AC85" s="400"/>
      <c r="AE85" s="321">
        <f t="shared" si="3"/>
        <v>0</v>
      </c>
      <c r="AF85" s="400"/>
      <c r="AG85" s="400"/>
      <c r="AI85" s="321">
        <f t="shared" si="4"/>
        <v>0</v>
      </c>
    </row>
    <row r="86" spans="1:35" ht="31.5">
      <c r="A86" s="397"/>
      <c r="B86" s="398" t="s">
        <v>356</v>
      </c>
      <c r="C86" s="407">
        <v>0.71</v>
      </c>
      <c r="D86" s="400"/>
      <c r="E86" s="400"/>
      <c r="F86" s="321"/>
      <c r="G86" s="321">
        <f t="shared" si="0"/>
        <v>0</v>
      </c>
      <c r="H86" s="400"/>
      <c r="I86" s="400"/>
      <c r="J86" s="401"/>
      <c r="K86" s="321">
        <f t="shared" si="8"/>
        <v>0</v>
      </c>
      <c r="L86" s="400"/>
      <c r="M86" s="400"/>
      <c r="O86" s="321">
        <f t="shared" si="9"/>
        <v>0</v>
      </c>
      <c r="P86" s="400"/>
      <c r="Q86" s="400"/>
      <c r="R86" s="1"/>
      <c r="S86" s="321">
        <f t="shared" si="5"/>
        <v>0</v>
      </c>
      <c r="T86" s="400"/>
      <c r="U86" s="400"/>
      <c r="W86" s="321">
        <f t="shared" si="1"/>
        <v>0</v>
      </c>
      <c r="X86" s="400"/>
      <c r="Y86" s="400"/>
      <c r="AA86" s="321">
        <f t="shared" si="2"/>
        <v>0</v>
      </c>
      <c r="AB86" s="400"/>
      <c r="AC86" s="400"/>
      <c r="AE86" s="321">
        <f t="shared" si="3"/>
        <v>0</v>
      </c>
      <c r="AF86" s="400"/>
      <c r="AG86" s="400"/>
      <c r="AI86" s="321">
        <f t="shared" si="4"/>
        <v>0</v>
      </c>
    </row>
    <row r="87" spans="1:35" ht="31.5">
      <c r="A87" s="397"/>
      <c r="B87" s="398" t="s">
        <v>357</v>
      </c>
      <c r="C87" s="407">
        <v>0.53</v>
      </c>
      <c r="D87" s="400"/>
      <c r="E87" s="400"/>
      <c r="F87" s="321"/>
      <c r="G87" s="321">
        <f t="shared" si="0"/>
        <v>0</v>
      </c>
      <c r="H87" s="400"/>
      <c r="I87" s="400"/>
      <c r="J87" s="401"/>
      <c r="K87" s="321">
        <f t="shared" si="8"/>
        <v>0</v>
      </c>
      <c r="L87" s="400"/>
      <c r="M87" s="400"/>
      <c r="O87" s="321">
        <f t="shared" si="9"/>
        <v>0</v>
      </c>
      <c r="P87" s="400"/>
      <c r="Q87" s="400"/>
      <c r="R87" s="1"/>
      <c r="S87" s="321">
        <f t="shared" si="5"/>
        <v>0</v>
      </c>
      <c r="T87" s="400"/>
      <c r="U87" s="400"/>
      <c r="W87" s="321">
        <f t="shared" si="1"/>
        <v>0</v>
      </c>
      <c r="X87" s="400"/>
      <c r="Y87" s="400"/>
      <c r="AA87" s="321">
        <f t="shared" si="2"/>
        <v>0</v>
      </c>
      <c r="AB87" s="400"/>
      <c r="AC87" s="400"/>
      <c r="AE87" s="321">
        <f t="shared" si="3"/>
        <v>0</v>
      </c>
      <c r="AF87" s="400"/>
      <c r="AG87" s="400"/>
      <c r="AI87" s="321">
        <f t="shared" si="4"/>
        <v>0</v>
      </c>
    </row>
    <row r="88" spans="1:35" ht="15.75">
      <c r="A88" s="397"/>
      <c r="B88" s="398" t="s">
        <v>358</v>
      </c>
      <c r="C88" s="407">
        <v>0.52</v>
      </c>
      <c r="D88" s="400"/>
      <c r="E88" s="400"/>
      <c r="F88" s="321"/>
      <c r="G88" s="321">
        <f t="shared" si="0"/>
        <v>0</v>
      </c>
      <c r="H88" s="400"/>
      <c r="I88" s="400"/>
      <c r="J88" s="401"/>
      <c r="K88" s="321">
        <f t="shared" ref="K88:K119" si="10">$C88*H88/100</f>
        <v>0</v>
      </c>
      <c r="L88" s="400"/>
      <c r="M88" s="400"/>
      <c r="O88" s="321">
        <f t="shared" si="9"/>
        <v>0</v>
      </c>
      <c r="P88" s="400"/>
      <c r="Q88" s="400"/>
      <c r="R88" s="1"/>
      <c r="S88" s="321">
        <f t="shared" si="5"/>
        <v>0</v>
      </c>
      <c r="T88" s="400"/>
      <c r="U88" s="400"/>
      <c r="W88" s="321">
        <f t="shared" si="1"/>
        <v>0</v>
      </c>
      <c r="X88" s="400"/>
      <c r="Y88" s="400"/>
      <c r="AA88" s="321">
        <f t="shared" si="2"/>
        <v>0</v>
      </c>
      <c r="AB88" s="400"/>
      <c r="AC88" s="400"/>
      <c r="AE88" s="321">
        <f t="shared" si="3"/>
        <v>0</v>
      </c>
      <c r="AF88" s="400"/>
      <c r="AG88" s="400"/>
      <c r="AI88" s="321">
        <f t="shared" si="4"/>
        <v>0</v>
      </c>
    </row>
    <row r="89" spans="1:35" ht="31.5">
      <c r="A89" s="397"/>
      <c r="B89" s="398" t="s">
        <v>359</v>
      </c>
      <c r="C89" s="407">
        <v>0.17</v>
      </c>
      <c r="D89" s="400"/>
      <c r="E89" s="400"/>
      <c r="F89" s="321"/>
      <c r="G89" s="321">
        <f t="shared" si="0"/>
        <v>0</v>
      </c>
      <c r="H89" s="400"/>
      <c r="I89" s="400"/>
      <c r="J89" s="401"/>
      <c r="K89" s="321">
        <f t="shared" si="10"/>
        <v>0</v>
      </c>
      <c r="L89" s="400"/>
      <c r="M89" s="400"/>
      <c r="O89" s="321">
        <f t="shared" si="9"/>
        <v>0</v>
      </c>
      <c r="P89" s="400"/>
      <c r="Q89" s="400"/>
      <c r="R89" s="1"/>
      <c r="S89" s="321">
        <f t="shared" si="5"/>
        <v>0</v>
      </c>
      <c r="T89" s="400"/>
      <c r="U89" s="400"/>
      <c r="W89" s="321">
        <f t="shared" si="1"/>
        <v>0</v>
      </c>
      <c r="X89" s="400"/>
      <c r="Y89" s="400"/>
      <c r="AA89" s="321">
        <f t="shared" si="2"/>
        <v>0</v>
      </c>
      <c r="AB89" s="400"/>
      <c r="AC89" s="400"/>
      <c r="AE89" s="321">
        <f t="shared" si="3"/>
        <v>0</v>
      </c>
      <c r="AF89" s="400"/>
      <c r="AG89" s="400"/>
      <c r="AI89" s="321">
        <f t="shared" si="4"/>
        <v>0</v>
      </c>
    </row>
    <row r="90" spans="1:35" ht="31.5">
      <c r="A90" s="397"/>
      <c r="B90" s="398" t="s">
        <v>360</v>
      </c>
      <c r="C90" s="407">
        <v>0.22</v>
      </c>
      <c r="D90" s="400"/>
      <c r="E90" s="400"/>
      <c r="F90" s="321"/>
      <c r="G90" s="321">
        <f t="shared" si="0"/>
        <v>0</v>
      </c>
      <c r="H90" s="400"/>
      <c r="I90" s="400"/>
      <c r="J90" s="401"/>
      <c r="K90" s="321">
        <f t="shared" si="10"/>
        <v>0</v>
      </c>
      <c r="L90" s="400"/>
      <c r="M90" s="400"/>
      <c r="O90" s="321">
        <f t="shared" si="9"/>
        <v>0</v>
      </c>
      <c r="P90" s="400"/>
      <c r="Q90" s="400"/>
      <c r="R90" s="1"/>
      <c r="S90" s="321">
        <f t="shared" si="5"/>
        <v>0</v>
      </c>
      <c r="T90" s="400"/>
      <c r="U90" s="400"/>
      <c r="W90" s="321">
        <f t="shared" si="1"/>
        <v>0</v>
      </c>
      <c r="X90" s="400"/>
      <c r="Y90" s="400"/>
      <c r="AA90" s="321">
        <f t="shared" si="2"/>
        <v>0</v>
      </c>
      <c r="AB90" s="400"/>
      <c r="AC90" s="400"/>
      <c r="AE90" s="321">
        <f t="shared" si="3"/>
        <v>0</v>
      </c>
      <c r="AF90" s="400"/>
      <c r="AG90" s="400"/>
      <c r="AI90" s="321">
        <f t="shared" si="4"/>
        <v>0</v>
      </c>
    </row>
    <row r="91" spans="1:35" ht="15.75">
      <c r="A91" s="397"/>
      <c r="B91" s="398" t="s">
        <v>361</v>
      </c>
      <c r="C91" s="407">
        <v>1.26</v>
      </c>
      <c r="D91" s="400"/>
      <c r="E91" s="400"/>
      <c r="F91" s="321"/>
      <c r="G91" s="321">
        <f t="shared" si="0"/>
        <v>0</v>
      </c>
      <c r="H91" s="400"/>
      <c r="I91" s="400"/>
      <c r="J91" s="401"/>
      <c r="K91" s="321">
        <f t="shared" si="10"/>
        <v>0</v>
      </c>
      <c r="L91" s="400"/>
      <c r="M91" s="400"/>
      <c r="O91" s="321">
        <f t="shared" si="9"/>
        <v>0</v>
      </c>
      <c r="P91" s="400"/>
      <c r="Q91" s="400"/>
      <c r="R91" s="1"/>
      <c r="S91" s="321">
        <f t="shared" si="5"/>
        <v>0</v>
      </c>
      <c r="T91" s="400"/>
      <c r="U91" s="400"/>
      <c r="W91" s="321">
        <f t="shared" si="1"/>
        <v>0</v>
      </c>
      <c r="X91" s="400"/>
      <c r="Y91" s="400"/>
      <c r="AA91" s="321">
        <f t="shared" si="2"/>
        <v>0</v>
      </c>
      <c r="AB91" s="400"/>
      <c r="AC91" s="400"/>
      <c r="AE91" s="321">
        <f t="shared" si="3"/>
        <v>0</v>
      </c>
      <c r="AF91" s="400"/>
      <c r="AG91" s="400"/>
      <c r="AI91" s="321">
        <f t="shared" si="4"/>
        <v>0</v>
      </c>
    </row>
    <row r="92" spans="1:35" ht="15.75">
      <c r="A92" s="397"/>
      <c r="B92" s="398" t="s">
        <v>362</v>
      </c>
      <c r="C92" s="407">
        <v>1.74</v>
      </c>
      <c r="D92" s="400"/>
      <c r="E92" s="400"/>
      <c r="F92" s="321"/>
      <c r="G92" s="321">
        <f t="shared" si="0"/>
        <v>0</v>
      </c>
      <c r="H92" s="400"/>
      <c r="I92" s="400"/>
      <c r="J92" s="401"/>
      <c r="K92" s="321">
        <f t="shared" si="10"/>
        <v>0</v>
      </c>
      <c r="L92" s="400"/>
      <c r="M92" s="400"/>
      <c r="O92" s="321">
        <f t="shared" si="9"/>
        <v>0</v>
      </c>
      <c r="P92" s="400"/>
      <c r="Q92" s="400"/>
      <c r="R92" s="1"/>
      <c r="S92" s="321">
        <f t="shared" si="5"/>
        <v>0</v>
      </c>
      <c r="T92" s="400"/>
      <c r="U92" s="400"/>
      <c r="W92" s="321">
        <f t="shared" si="1"/>
        <v>0</v>
      </c>
      <c r="X92" s="400"/>
      <c r="Y92" s="400"/>
      <c r="AA92" s="321">
        <f t="shared" si="2"/>
        <v>0</v>
      </c>
      <c r="AB92" s="400"/>
      <c r="AC92" s="400"/>
      <c r="AE92" s="321">
        <f t="shared" si="3"/>
        <v>0</v>
      </c>
      <c r="AF92" s="400"/>
      <c r="AG92" s="400"/>
      <c r="AI92" s="321">
        <f t="shared" si="4"/>
        <v>0</v>
      </c>
    </row>
    <row r="93" spans="1:35" ht="15.75">
      <c r="A93" s="397"/>
      <c r="B93" s="398" t="s">
        <v>363</v>
      </c>
      <c r="C93" s="407">
        <v>2</v>
      </c>
      <c r="D93" s="400"/>
      <c r="E93" s="400"/>
      <c r="F93" s="321"/>
      <c r="G93" s="321">
        <f t="shared" si="0"/>
        <v>0</v>
      </c>
      <c r="H93" s="400"/>
      <c r="I93" s="400"/>
      <c r="J93" s="401"/>
      <c r="K93" s="321">
        <f t="shared" si="10"/>
        <v>0</v>
      </c>
      <c r="L93" s="400"/>
      <c r="M93" s="400"/>
      <c r="O93" s="321">
        <f t="shared" si="9"/>
        <v>0</v>
      </c>
      <c r="P93" s="400"/>
      <c r="Q93" s="400"/>
      <c r="R93" s="1"/>
      <c r="S93" s="321">
        <f t="shared" si="5"/>
        <v>0</v>
      </c>
      <c r="T93" s="400"/>
      <c r="U93" s="400"/>
      <c r="W93" s="321">
        <f t="shared" si="1"/>
        <v>0</v>
      </c>
      <c r="X93" s="400"/>
      <c r="Y93" s="400"/>
      <c r="AA93" s="321">
        <f t="shared" si="2"/>
        <v>0</v>
      </c>
      <c r="AB93" s="400"/>
      <c r="AC93" s="400"/>
      <c r="AE93" s="321">
        <f t="shared" si="3"/>
        <v>0</v>
      </c>
      <c r="AF93" s="400"/>
      <c r="AG93" s="400"/>
      <c r="AI93" s="321">
        <f t="shared" si="4"/>
        <v>0</v>
      </c>
    </row>
    <row r="94" spans="1:35" ht="15.75">
      <c r="A94" s="397"/>
      <c r="B94" s="398" t="s">
        <v>534</v>
      </c>
      <c r="C94" s="407">
        <v>1.87</v>
      </c>
      <c r="D94" s="400"/>
      <c r="E94" s="400"/>
      <c r="F94" s="321"/>
      <c r="G94" s="321">
        <f t="shared" si="0"/>
        <v>0</v>
      </c>
      <c r="H94" s="400"/>
      <c r="I94" s="400"/>
      <c r="J94" s="401"/>
      <c r="K94" s="321">
        <f t="shared" si="10"/>
        <v>0</v>
      </c>
      <c r="L94" s="400"/>
      <c r="M94" s="400"/>
      <c r="O94" s="321">
        <f t="shared" si="9"/>
        <v>0</v>
      </c>
      <c r="P94" s="400"/>
      <c r="Q94" s="400"/>
      <c r="R94" s="1"/>
      <c r="S94" s="321">
        <f t="shared" si="5"/>
        <v>0</v>
      </c>
      <c r="T94" s="400"/>
      <c r="U94" s="400"/>
      <c r="W94" s="321">
        <f t="shared" si="1"/>
        <v>0</v>
      </c>
      <c r="X94" s="400"/>
      <c r="Y94" s="400"/>
      <c r="AA94" s="321">
        <f t="shared" si="2"/>
        <v>0</v>
      </c>
      <c r="AB94" s="400"/>
      <c r="AC94" s="400"/>
      <c r="AE94" s="321">
        <f t="shared" si="3"/>
        <v>0</v>
      </c>
      <c r="AF94" s="400"/>
      <c r="AG94" s="400"/>
      <c r="AI94" s="321">
        <f t="shared" si="4"/>
        <v>0</v>
      </c>
    </row>
    <row r="95" spans="1:35" ht="15.75">
      <c r="A95" s="397"/>
      <c r="B95" s="398" t="s">
        <v>535</v>
      </c>
      <c r="C95" s="407">
        <v>1.87</v>
      </c>
      <c r="D95" s="400"/>
      <c r="E95" s="400"/>
      <c r="F95" s="321"/>
      <c r="G95" s="321">
        <f>$C95*F95/100</f>
        <v>0</v>
      </c>
      <c r="H95" s="400"/>
      <c r="I95" s="400"/>
      <c r="J95" s="401"/>
      <c r="K95" s="321">
        <f t="shared" si="10"/>
        <v>0</v>
      </c>
      <c r="L95" s="400"/>
      <c r="M95" s="400"/>
      <c r="O95" s="321">
        <f t="shared" si="9"/>
        <v>0</v>
      </c>
      <c r="P95" s="400"/>
      <c r="Q95" s="400"/>
      <c r="R95" s="1"/>
      <c r="S95" s="321">
        <f>$C95*P95/100</f>
        <v>0</v>
      </c>
      <c r="T95" s="400"/>
      <c r="U95" s="400"/>
      <c r="W95" s="321">
        <f>$C95*V95/100</f>
        <v>0</v>
      </c>
      <c r="X95" s="400"/>
      <c r="Y95" s="400"/>
      <c r="AA95" s="321">
        <f>$C95*Z95/100</f>
        <v>0</v>
      </c>
      <c r="AB95" s="400"/>
      <c r="AC95" s="400"/>
      <c r="AE95" s="321">
        <f>$C95*AD95/100</f>
        <v>0</v>
      </c>
      <c r="AF95" s="400"/>
      <c r="AG95" s="400"/>
      <c r="AI95" s="321">
        <f>$C95*AH95/100</f>
        <v>0</v>
      </c>
    </row>
    <row r="96" spans="1:35" ht="15.75">
      <c r="A96" s="411"/>
      <c r="B96" s="408" t="s">
        <v>366</v>
      </c>
      <c r="C96" s="407"/>
      <c r="D96" s="400"/>
      <c r="E96" s="400"/>
      <c r="F96" s="321"/>
      <c r="G96" s="321">
        <f t="shared" si="0"/>
        <v>0</v>
      </c>
      <c r="H96" s="400"/>
      <c r="I96" s="400"/>
      <c r="J96" s="401"/>
      <c r="K96" s="321">
        <f t="shared" si="10"/>
        <v>0</v>
      </c>
      <c r="L96" s="400"/>
      <c r="M96" s="400"/>
      <c r="O96" s="321">
        <f t="shared" si="9"/>
        <v>0</v>
      </c>
      <c r="P96" s="400"/>
      <c r="Q96" s="400"/>
      <c r="R96" s="1"/>
      <c r="S96" s="321">
        <f t="shared" si="5"/>
        <v>0</v>
      </c>
      <c r="T96" s="400"/>
      <c r="U96" s="400"/>
      <c r="W96" s="321">
        <f t="shared" si="1"/>
        <v>0</v>
      </c>
      <c r="X96" s="400"/>
      <c r="Y96" s="400"/>
      <c r="AA96" s="321">
        <f t="shared" si="2"/>
        <v>0</v>
      </c>
      <c r="AB96" s="400"/>
      <c r="AC96" s="400"/>
      <c r="AE96" s="321">
        <f t="shared" si="3"/>
        <v>0</v>
      </c>
      <c r="AF96" s="400"/>
      <c r="AG96" s="400"/>
      <c r="AI96" s="321">
        <f t="shared" si="4"/>
        <v>0</v>
      </c>
    </row>
    <row r="97" spans="1:35" ht="15.75">
      <c r="A97" s="397"/>
      <c r="B97" s="398" t="s">
        <v>367</v>
      </c>
      <c r="C97" s="407">
        <v>0.26</v>
      </c>
      <c r="D97" s="399">
        <f>MAX(C97:C119)</f>
        <v>2.4900000000000002</v>
      </c>
      <c r="E97" s="400">
        <f>MIN(C97:C119)</f>
        <v>0.12</v>
      </c>
      <c r="F97" s="321"/>
      <c r="G97" s="321">
        <f t="shared" si="0"/>
        <v>0</v>
      </c>
      <c r="H97" s="399">
        <f>MAX(C97:C119)</f>
        <v>2.4900000000000002</v>
      </c>
      <c r="I97" s="400">
        <f>MIN(C97:C119)</f>
        <v>0.12</v>
      </c>
      <c r="J97" s="401"/>
      <c r="K97" s="321">
        <f t="shared" si="10"/>
        <v>6.4739999999999997E-3</v>
      </c>
      <c r="L97" s="399">
        <v>2.4900000000000002</v>
      </c>
      <c r="M97" s="400">
        <v>0.12</v>
      </c>
      <c r="O97" s="321">
        <f t="shared" si="9"/>
        <v>0</v>
      </c>
      <c r="P97" s="399">
        <v>2.4900000000000002</v>
      </c>
      <c r="Q97" s="400">
        <v>0.12</v>
      </c>
      <c r="R97" s="1"/>
      <c r="S97" s="321">
        <f t="shared" si="5"/>
        <v>6.4739999999999997E-3</v>
      </c>
      <c r="T97" s="399">
        <v>2.4900000000000002</v>
      </c>
      <c r="U97" s="400">
        <v>0.12</v>
      </c>
      <c r="W97" s="321">
        <f t="shared" si="1"/>
        <v>0</v>
      </c>
      <c r="X97" s="399">
        <v>2.4900000000000002</v>
      </c>
      <c r="Y97" s="400">
        <v>0.12</v>
      </c>
      <c r="AA97" s="321">
        <f t="shared" si="2"/>
        <v>0</v>
      </c>
      <c r="AB97" s="399">
        <v>2.4900000000000002</v>
      </c>
      <c r="AC97" s="400">
        <v>0.12</v>
      </c>
      <c r="AE97" s="321">
        <f t="shared" si="3"/>
        <v>0</v>
      </c>
      <c r="AF97" s="399">
        <f>MAX(C97:C119)</f>
        <v>2.4900000000000002</v>
      </c>
      <c r="AG97" s="400">
        <f>MIN(C97:C119)</f>
        <v>0.12</v>
      </c>
      <c r="AI97" s="321">
        <f t="shared" si="4"/>
        <v>0</v>
      </c>
    </row>
    <row r="98" spans="1:35" ht="15.75">
      <c r="A98" s="397"/>
      <c r="B98" s="398" t="s">
        <v>461</v>
      </c>
      <c r="C98" s="407">
        <v>0.35</v>
      </c>
      <c r="D98" s="400"/>
      <c r="E98" s="400"/>
      <c r="F98" s="321"/>
      <c r="G98" s="321">
        <f t="shared" si="0"/>
        <v>0</v>
      </c>
      <c r="H98" s="400"/>
      <c r="I98" s="400"/>
      <c r="J98" s="401"/>
      <c r="K98" s="321">
        <f t="shared" si="10"/>
        <v>0</v>
      </c>
      <c r="L98" s="400"/>
      <c r="M98" s="400"/>
      <c r="N98">
        <v>100</v>
      </c>
      <c r="O98" s="321">
        <f t="shared" si="9"/>
        <v>0.35</v>
      </c>
      <c r="P98" s="400"/>
      <c r="Q98" s="400"/>
      <c r="R98" s="1"/>
      <c r="S98" s="321">
        <f t="shared" si="5"/>
        <v>0</v>
      </c>
      <c r="T98" s="400"/>
      <c r="U98" s="400"/>
      <c r="W98" s="321">
        <f t="shared" si="1"/>
        <v>0</v>
      </c>
      <c r="X98" s="400"/>
      <c r="Y98" s="400"/>
      <c r="AA98" s="321">
        <f t="shared" si="2"/>
        <v>0</v>
      </c>
      <c r="AB98" s="400"/>
      <c r="AC98" s="400"/>
      <c r="AE98" s="321">
        <f t="shared" si="3"/>
        <v>0</v>
      </c>
      <c r="AF98" s="400"/>
      <c r="AG98" s="400"/>
      <c r="AI98" s="321">
        <f t="shared" si="4"/>
        <v>0</v>
      </c>
    </row>
    <row r="99" spans="1:35" ht="15.75">
      <c r="A99" s="397"/>
      <c r="B99" s="398" t="s">
        <v>369</v>
      </c>
      <c r="C99" s="407">
        <v>0.12</v>
      </c>
      <c r="D99" s="400"/>
      <c r="E99" s="400"/>
      <c r="F99" s="321"/>
      <c r="G99" s="321">
        <f t="shared" si="0"/>
        <v>0</v>
      </c>
      <c r="H99" s="400"/>
      <c r="I99" s="400"/>
      <c r="J99" s="401"/>
      <c r="K99" s="321">
        <f t="shared" si="10"/>
        <v>0</v>
      </c>
      <c r="L99" s="400"/>
      <c r="M99" s="400"/>
      <c r="O99" s="321">
        <f t="shared" si="9"/>
        <v>0</v>
      </c>
      <c r="P99" s="400"/>
      <c r="Q99" s="400"/>
      <c r="R99" s="1"/>
      <c r="S99" s="321">
        <f t="shared" si="5"/>
        <v>0</v>
      </c>
      <c r="T99" s="400"/>
      <c r="U99" s="400"/>
      <c r="W99" s="321">
        <f t="shared" si="1"/>
        <v>0</v>
      </c>
      <c r="X99" s="400"/>
      <c r="Y99" s="400"/>
      <c r="AA99" s="321">
        <f t="shared" si="2"/>
        <v>0</v>
      </c>
      <c r="AB99" s="400"/>
      <c r="AC99" s="400"/>
      <c r="AE99" s="321">
        <f t="shared" si="3"/>
        <v>0</v>
      </c>
      <c r="AF99" s="400"/>
      <c r="AG99" s="400"/>
      <c r="AI99" s="321">
        <f t="shared" si="4"/>
        <v>0</v>
      </c>
    </row>
    <row r="100" spans="1:35" ht="15.75">
      <c r="A100" s="397"/>
      <c r="B100" s="398" t="s">
        <v>370</v>
      </c>
      <c r="C100" s="407">
        <v>0.15</v>
      </c>
      <c r="D100" s="400"/>
      <c r="E100" s="400"/>
      <c r="F100" s="321"/>
      <c r="G100" s="321">
        <f t="shared" si="0"/>
        <v>0</v>
      </c>
      <c r="H100" s="400"/>
      <c r="I100" s="400"/>
      <c r="J100" s="401"/>
      <c r="K100" s="321">
        <f t="shared" si="10"/>
        <v>0</v>
      </c>
      <c r="L100" s="400"/>
      <c r="M100" s="400"/>
      <c r="O100" s="321">
        <f t="shared" si="9"/>
        <v>0</v>
      </c>
      <c r="P100" s="400"/>
      <c r="Q100" s="400"/>
      <c r="R100" s="1"/>
      <c r="S100" s="321">
        <f t="shared" si="5"/>
        <v>0</v>
      </c>
      <c r="T100" s="400"/>
      <c r="U100" s="400"/>
      <c r="W100" s="321">
        <f t="shared" si="1"/>
        <v>0</v>
      </c>
      <c r="X100" s="400"/>
      <c r="Y100" s="400"/>
      <c r="AA100" s="321">
        <f t="shared" si="2"/>
        <v>0</v>
      </c>
      <c r="AB100" s="400"/>
      <c r="AC100" s="400"/>
      <c r="AE100" s="321">
        <f t="shared" si="3"/>
        <v>0</v>
      </c>
      <c r="AF100" s="400"/>
      <c r="AG100" s="400"/>
      <c r="AI100" s="321">
        <f t="shared" si="4"/>
        <v>0</v>
      </c>
    </row>
    <row r="101" spans="1:35" ht="15.75">
      <c r="A101" s="397"/>
      <c r="B101" s="398" t="s">
        <v>536</v>
      </c>
      <c r="C101" s="407">
        <v>1.82</v>
      </c>
      <c r="D101" s="400"/>
      <c r="E101" s="400"/>
      <c r="F101" s="321"/>
      <c r="G101" s="321">
        <f>$C101*F101/100</f>
        <v>0</v>
      </c>
      <c r="H101" s="400"/>
      <c r="I101" s="400"/>
      <c r="J101" s="401"/>
      <c r="K101" s="321">
        <f t="shared" si="10"/>
        <v>0</v>
      </c>
      <c r="L101" s="400"/>
      <c r="M101" s="400"/>
      <c r="O101" s="321">
        <f t="shared" si="9"/>
        <v>0</v>
      </c>
      <c r="P101" s="400"/>
      <c r="Q101" s="400"/>
      <c r="R101" s="1"/>
      <c r="S101" s="321">
        <f>$C101*P101/100</f>
        <v>0</v>
      </c>
      <c r="T101" s="400"/>
      <c r="U101" s="400"/>
      <c r="W101" s="321">
        <f>$C101*V101/100</f>
        <v>0</v>
      </c>
      <c r="X101" s="400"/>
      <c r="Y101" s="400"/>
      <c r="AA101" s="321">
        <f>$C101*Z101/100</f>
        <v>0</v>
      </c>
      <c r="AB101" s="400"/>
      <c r="AC101" s="400"/>
      <c r="AE101" s="321">
        <f>$C101*AD101/100</f>
        <v>0</v>
      </c>
      <c r="AF101" s="400"/>
      <c r="AG101" s="400"/>
      <c r="AI101" s="321">
        <f>$C101*AH101/100</f>
        <v>0</v>
      </c>
    </row>
    <row r="102" spans="1:35" ht="31.5">
      <c r="A102" s="397"/>
      <c r="B102" s="398" t="s">
        <v>463</v>
      </c>
      <c r="C102" s="407">
        <v>1.67</v>
      </c>
      <c r="D102" s="400"/>
      <c r="E102" s="400"/>
      <c r="F102" s="321"/>
      <c r="G102" s="321">
        <f>$C102*F102/100</f>
        <v>0</v>
      </c>
      <c r="H102" s="400"/>
      <c r="I102" s="400"/>
      <c r="J102" s="401"/>
      <c r="K102" s="321">
        <f t="shared" si="10"/>
        <v>0</v>
      </c>
      <c r="L102" s="400"/>
      <c r="M102" s="400"/>
      <c r="O102" s="321">
        <f t="shared" si="9"/>
        <v>0</v>
      </c>
      <c r="P102" s="400"/>
      <c r="Q102" s="400"/>
      <c r="R102" s="1"/>
      <c r="S102" s="321">
        <f>$C102*P102/100</f>
        <v>0</v>
      </c>
      <c r="T102" s="400"/>
      <c r="U102" s="400"/>
      <c r="W102" s="321">
        <f>$C102*V102/100</f>
        <v>0</v>
      </c>
      <c r="X102" s="400"/>
      <c r="Y102" s="400"/>
      <c r="AA102" s="321">
        <f>$C102*Z102/100</f>
        <v>0</v>
      </c>
      <c r="AB102" s="400"/>
      <c r="AC102" s="400"/>
      <c r="AE102" s="321">
        <f>$C102*AD102/100</f>
        <v>0</v>
      </c>
      <c r="AF102" s="400"/>
      <c r="AG102" s="400"/>
      <c r="AI102" s="321">
        <f>$C102*AH102/100</f>
        <v>0</v>
      </c>
    </row>
    <row r="103" spans="1:35" ht="15.75">
      <c r="A103" s="397"/>
      <c r="B103" s="398" t="s">
        <v>464</v>
      </c>
      <c r="C103" s="407">
        <v>1.67</v>
      </c>
      <c r="D103" s="400"/>
      <c r="E103" s="400"/>
      <c r="F103" s="321"/>
      <c r="G103" s="321">
        <f>$C103*F103/100</f>
        <v>0</v>
      </c>
      <c r="H103" s="400"/>
      <c r="I103" s="400"/>
      <c r="J103" s="401"/>
      <c r="K103" s="321">
        <f t="shared" si="10"/>
        <v>0</v>
      </c>
      <c r="L103" s="400"/>
      <c r="M103" s="400"/>
      <c r="O103" s="321">
        <f t="shared" si="9"/>
        <v>0</v>
      </c>
      <c r="P103" s="400"/>
      <c r="Q103" s="400"/>
      <c r="R103" s="1"/>
      <c r="S103" s="321">
        <f>$C103*P103/100</f>
        <v>0</v>
      </c>
      <c r="T103" s="400"/>
      <c r="U103" s="400"/>
      <c r="W103" s="321">
        <f>$C103*V103/100</f>
        <v>0</v>
      </c>
      <c r="X103" s="400"/>
      <c r="Y103" s="400"/>
      <c r="AA103" s="321">
        <f>$C103*Z103/100</f>
        <v>0</v>
      </c>
      <c r="AB103" s="400"/>
      <c r="AC103" s="400"/>
      <c r="AE103" s="321">
        <f>$C103*AD103/100</f>
        <v>0</v>
      </c>
      <c r="AF103" s="400"/>
      <c r="AG103" s="400"/>
      <c r="AI103" s="321">
        <f>$C103*AH103/100</f>
        <v>0</v>
      </c>
    </row>
    <row r="104" spans="1:35" ht="15.75">
      <c r="A104" s="397"/>
      <c r="B104" s="398" t="s">
        <v>537</v>
      </c>
      <c r="C104" s="407">
        <v>0.19</v>
      </c>
      <c r="D104" s="400"/>
      <c r="E104" s="400"/>
      <c r="F104" s="321"/>
      <c r="G104" s="321">
        <f t="shared" si="0"/>
        <v>0</v>
      </c>
      <c r="H104" s="400"/>
      <c r="I104" s="400"/>
      <c r="J104" s="401"/>
      <c r="K104" s="321">
        <f t="shared" si="10"/>
        <v>0</v>
      </c>
      <c r="L104" s="400"/>
      <c r="M104" s="400"/>
      <c r="O104" s="321">
        <f t="shared" si="9"/>
        <v>0</v>
      </c>
      <c r="P104" s="400"/>
      <c r="Q104" s="400"/>
      <c r="R104" s="1"/>
      <c r="S104" s="321">
        <f t="shared" si="5"/>
        <v>0</v>
      </c>
      <c r="T104" s="400"/>
      <c r="U104" s="400"/>
      <c r="W104" s="321">
        <f t="shared" si="1"/>
        <v>0</v>
      </c>
      <c r="X104" s="400"/>
      <c r="Y104" s="400"/>
      <c r="AA104" s="321">
        <f t="shared" si="2"/>
        <v>0</v>
      </c>
      <c r="AB104" s="400"/>
      <c r="AC104" s="400"/>
      <c r="AE104" s="321">
        <f t="shared" si="3"/>
        <v>0</v>
      </c>
      <c r="AF104" s="400"/>
      <c r="AG104" s="400"/>
      <c r="AI104" s="321">
        <f t="shared" si="4"/>
        <v>0</v>
      </c>
    </row>
    <row r="105" spans="1:35" ht="15.75">
      <c r="A105" s="397"/>
      <c r="B105" s="398" t="s">
        <v>466</v>
      </c>
      <c r="C105" s="407">
        <v>0.26</v>
      </c>
      <c r="D105" s="400"/>
      <c r="E105" s="400"/>
      <c r="F105" s="321"/>
      <c r="G105" s="321">
        <f t="shared" si="0"/>
        <v>0</v>
      </c>
      <c r="H105" s="400"/>
      <c r="I105" s="400"/>
      <c r="J105" s="401"/>
      <c r="K105" s="321">
        <f t="shared" si="10"/>
        <v>0</v>
      </c>
      <c r="L105" s="400"/>
      <c r="M105" s="400"/>
      <c r="O105" s="321">
        <f t="shared" si="9"/>
        <v>0</v>
      </c>
      <c r="P105" s="400"/>
      <c r="Q105" s="400"/>
      <c r="R105" s="1"/>
      <c r="S105" s="321">
        <f t="shared" si="5"/>
        <v>0</v>
      </c>
      <c r="T105" s="400"/>
      <c r="U105" s="400"/>
      <c r="W105" s="321">
        <f t="shared" si="1"/>
        <v>0</v>
      </c>
      <c r="X105" s="400"/>
      <c r="Y105" s="400"/>
      <c r="AA105" s="321">
        <f t="shared" si="2"/>
        <v>0</v>
      </c>
      <c r="AB105" s="400"/>
      <c r="AC105" s="400"/>
      <c r="AE105" s="321">
        <f t="shared" si="3"/>
        <v>0</v>
      </c>
      <c r="AF105" s="400"/>
      <c r="AG105" s="400"/>
      <c r="AI105" s="321">
        <f t="shared" si="4"/>
        <v>0</v>
      </c>
    </row>
    <row r="106" spans="1:35" ht="15.75">
      <c r="A106" s="397"/>
      <c r="B106" s="398" t="s">
        <v>467</v>
      </c>
      <c r="C106" s="407">
        <v>0.35</v>
      </c>
      <c r="D106" s="400"/>
      <c r="E106" s="400"/>
      <c r="F106" s="321"/>
      <c r="G106" s="321">
        <f t="shared" si="0"/>
        <v>0</v>
      </c>
      <c r="H106" s="400"/>
      <c r="I106" s="400"/>
      <c r="J106" s="401"/>
      <c r="K106" s="321">
        <f t="shared" si="10"/>
        <v>0</v>
      </c>
      <c r="L106" s="400"/>
      <c r="M106" s="400"/>
      <c r="O106" s="321">
        <f t="shared" si="9"/>
        <v>0</v>
      </c>
      <c r="P106" s="400"/>
      <c r="Q106" s="400"/>
      <c r="R106" s="1"/>
      <c r="S106" s="321">
        <f t="shared" si="5"/>
        <v>0</v>
      </c>
      <c r="T106" s="400"/>
      <c r="U106" s="400"/>
      <c r="W106" s="321">
        <f t="shared" si="1"/>
        <v>0</v>
      </c>
      <c r="X106" s="400"/>
      <c r="Y106" s="400"/>
      <c r="AA106" s="321">
        <f t="shared" si="2"/>
        <v>0</v>
      </c>
      <c r="AB106" s="400"/>
      <c r="AC106" s="400"/>
      <c r="AE106" s="321">
        <f t="shared" si="3"/>
        <v>0</v>
      </c>
      <c r="AF106" s="400"/>
      <c r="AG106" s="400"/>
      <c r="AI106" s="321">
        <f t="shared" si="4"/>
        <v>0</v>
      </c>
    </row>
    <row r="107" spans="1:35" ht="31.5">
      <c r="A107" s="397"/>
      <c r="B107" s="398" t="s">
        <v>468</v>
      </c>
      <c r="C107" s="407">
        <v>0.9</v>
      </c>
      <c r="D107" s="400"/>
      <c r="E107" s="400"/>
      <c r="F107" s="321"/>
      <c r="G107" s="321">
        <f t="shared" si="0"/>
        <v>0</v>
      </c>
      <c r="H107" s="400"/>
      <c r="I107" s="400"/>
      <c r="J107" s="401"/>
      <c r="K107" s="321">
        <f t="shared" si="10"/>
        <v>0</v>
      </c>
      <c r="L107" s="400"/>
      <c r="M107" s="400"/>
      <c r="O107" s="321">
        <f t="shared" si="9"/>
        <v>0</v>
      </c>
      <c r="P107" s="400"/>
      <c r="Q107" s="400"/>
      <c r="R107" s="1"/>
      <c r="S107" s="321">
        <f t="shared" si="5"/>
        <v>0</v>
      </c>
      <c r="T107" s="400"/>
      <c r="U107" s="400"/>
      <c r="W107" s="321">
        <f t="shared" si="1"/>
        <v>0</v>
      </c>
      <c r="X107" s="400"/>
      <c r="Y107" s="400"/>
      <c r="AA107" s="321">
        <f t="shared" si="2"/>
        <v>0</v>
      </c>
      <c r="AB107" s="400"/>
      <c r="AC107" s="400"/>
      <c r="AE107" s="321">
        <f t="shared" si="3"/>
        <v>0</v>
      </c>
      <c r="AF107" s="400"/>
      <c r="AG107" s="400"/>
      <c r="AI107" s="321">
        <f t="shared" si="4"/>
        <v>0</v>
      </c>
    </row>
    <row r="108" spans="1:35" ht="15.75">
      <c r="A108" s="397"/>
      <c r="B108" s="398" t="s">
        <v>469</v>
      </c>
      <c r="C108" s="407">
        <v>1.71</v>
      </c>
      <c r="D108" s="400"/>
      <c r="E108" s="400"/>
      <c r="F108" s="321"/>
      <c r="G108" s="321">
        <f t="shared" si="0"/>
        <v>0</v>
      </c>
      <c r="H108" s="400"/>
      <c r="I108" s="400"/>
      <c r="J108" s="401"/>
      <c r="K108" s="321">
        <f t="shared" si="10"/>
        <v>0</v>
      </c>
      <c r="L108" s="400"/>
      <c r="M108" s="400"/>
      <c r="O108" s="321">
        <f t="shared" si="9"/>
        <v>0</v>
      </c>
      <c r="P108" s="400"/>
      <c r="Q108" s="400"/>
      <c r="R108" s="1"/>
      <c r="S108" s="321">
        <f t="shared" si="5"/>
        <v>0</v>
      </c>
      <c r="T108" s="400"/>
      <c r="U108" s="400"/>
      <c r="W108" s="321">
        <f t="shared" si="1"/>
        <v>0</v>
      </c>
      <c r="X108" s="400"/>
      <c r="Y108" s="400"/>
      <c r="AA108" s="321">
        <f t="shared" si="2"/>
        <v>0</v>
      </c>
      <c r="AB108" s="400"/>
      <c r="AC108" s="400"/>
      <c r="AE108" s="321">
        <f t="shared" si="3"/>
        <v>0</v>
      </c>
      <c r="AF108" s="400"/>
      <c r="AG108" s="400"/>
      <c r="AI108" s="321">
        <f t="shared" si="4"/>
        <v>0</v>
      </c>
    </row>
    <row r="109" spans="1:35" ht="15.75">
      <c r="A109" s="397"/>
      <c r="B109" s="398" t="s">
        <v>470</v>
      </c>
      <c r="C109" s="407">
        <v>1.41</v>
      </c>
      <c r="D109" s="400"/>
      <c r="E109" s="400"/>
      <c r="F109" s="321"/>
      <c r="G109" s="321">
        <f t="shared" si="0"/>
        <v>0</v>
      </c>
      <c r="H109" s="400"/>
      <c r="I109" s="400"/>
      <c r="J109" s="401"/>
      <c r="K109" s="321">
        <f t="shared" si="10"/>
        <v>0</v>
      </c>
      <c r="L109" s="400"/>
      <c r="M109" s="400"/>
      <c r="O109" s="321">
        <f t="shared" si="9"/>
        <v>0</v>
      </c>
      <c r="P109" s="400"/>
      <c r="Q109" s="400"/>
      <c r="R109" s="1"/>
      <c r="S109" s="321">
        <f t="shared" si="5"/>
        <v>0</v>
      </c>
      <c r="T109" s="400"/>
      <c r="U109" s="400"/>
      <c r="W109" s="321">
        <f t="shared" si="1"/>
        <v>0</v>
      </c>
      <c r="X109" s="400"/>
      <c r="Y109" s="400"/>
      <c r="AA109" s="321">
        <f t="shared" si="2"/>
        <v>0</v>
      </c>
      <c r="AB109" s="400"/>
      <c r="AC109" s="400"/>
      <c r="AE109" s="321">
        <f t="shared" si="3"/>
        <v>0</v>
      </c>
      <c r="AF109" s="400"/>
      <c r="AG109" s="400"/>
      <c r="AI109" s="321">
        <f t="shared" si="4"/>
        <v>0</v>
      </c>
    </row>
    <row r="110" spans="1:35" ht="15.75">
      <c r="A110" s="397"/>
      <c r="B110" s="398" t="s">
        <v>471</v>
      </c>
      <c r="C110" s="407">
        <v>0.89</v>
      </c>
      <c r="D110" s="400"/>
      <c r="E110" s="400"/>
      <c r="F110" s="321"/>
      <c r="G110" s="321">
        <f t="shared" si="0"/>
        <v>0</v>
      </c>
      <c r="H110" s="400"/>
      <c r="I110" s="400"/>
      <c r="J110" s="401"/>
      <c r="K110" s="321">
        <f t="shared" si="10"/>
        <v>0</v>
      </c>
      <c r="L110" s="400"/>
      <c r="M110" s="400"/>
      <c r="O110" s="321">
        <f t="shared" si="9"/>
        <v>0</v>
      </c>
      <c r="P110" s="400"/>
      <c r="Q110" s="400"/>
      <c r="R110" s="1"/>
      <c r="S110" s="321">
        <f t="shared" si="5"/>
        <v>0</v>
      </c>
      <c r="T110" s="400"/>
      <c r="U110" s="400"/>
      <c r="W110" s="321">
        <f t="shared" si="1"/>
        <v>0</v>
      </c>
      <c r="X110" s="400"/>
      <c r="Y110" s="400"/>
      <c r="AA110" s="321">
        <f t="shared" si="2"/>
        <v>0</v>
      </c>
      <c r="AB110" s="400"/>
      <c r="AC110" s="400"/>
      <c r="AE110" s="321">
        <f t="shared" si="3"/>
        <v>0</v>
      </c>
      <c r="AF110" s="400"/>
      <c r="AG110" s="400"/>
      <c r="AI110" s="321">
        <f t="shared" si="4"/>
        <v>0</v>
      </c>
    </row>
    <row r="111" spans="1:35" ht="31.5">
      <c r="A111" s="397"/>
      <c r="B111" s="398" t="s">
        <v>472</v>
      </c>
      <c r="C111" s="407">
        <v>0.65</v>
      </c>
      <c r="D111" s="400"/>
      <c r="E111" s="400"/>
      <c r="F111" s="321"/>
      <c r="G111" s="321">
        <f t="shared" si="0"/>
        <v>0</v>
      </c>
      <c r="H111" s="400"/>
      <c r="I111" s="400"/>
      <c r="J111" s="401"/>
      <c r="K111" s="321">
        <f t="shared" si="10"/>
        <v>0</v>
      </c>
      <c r="L111" s="400"/>
      <c r="M111" s="400"/>
      <c r="O111" s="321">
        <f t="shared" si="9"/>
        <v>0</v>
      </c>
      <c r="P111" s="400"/>
      <c r="Q111" s="400"/>
      <c r="R111" s="1"/>
      <c r="S111" s="321">
        <f t="shared" si="5"/>
        <v>0</v>
      </c>
      <c r="T111" s="400"/>
      <c r="U111" s="400"/>
      <c r="W111" s="321">
        <f t="shared" si="1"/>
        <v>0</v>
      </c>
      <c r="X111" s="400"/>
      <c r="Y111" s="400"/>
      <c r="AA111" s="321">
        <f t="shared" si="2"/>
        <v>0</v>
      </c>
      <c r="AB111" s="400"/>
      <c r="AC111" s="400"/>
      <c r="AE111" s="321">
        <f t="shared" si="3"/>
        <v>0</v>
      </c>
      <c r="AF111" s="400"/>
      <c r="AG111" s="400"/>
      <c r="AI111" s="321">
        <f t="shared" si="4"/>
        <v>0</v>
      </c>
    </row>
    <row r="112" spans="1:35" ht="15.75">
      <c r="A112" s="397"/>
      <c r="B112" s="398" t="s">
        <v>473</v>
      </c>
      <c r="C112" s="407">
        <v>0.64</v>
      </c>
      <c r="D112" s="400"/>
      <c r="E112" s="400"/>
      <c r="F112" s="321"/>
      <c r="G112" s="321">
        <f t="shared" si="0"/>
        <v>0</v>
      </c>
      <c r="H112" s="400"/>
      <c r="I112" s="400"/>
      <c r="J112" s="401"/>
      <c r="K112" s="321">
        <f t="shared" si="10"/>
        <v>0</v>
      </c>
      <c r="L112" s="400"/>
      <c r="M112" s="400"/>
      <c r="O112" s="321">
        <f t="shared" si="9"/>
        <v>0</v>
      </c>
      <c r="P112" s="400"/>
      <c r="Q112" s="400"/>
      <c r="R112" s="1"/>
      <c r="S112" s="321">
        <f t="shared" si="5"/>
        <v>0</v>
      </c>
      <c r="T112" s="400"/>
      <c r="U112" s="400"/>
      <c r="W112" s="321">
        <f t="shared" si="1"/>
        <v>0</v>
      </c>
      <c r="X112" s="400"/>
      <c r="Y112" s="400"/>
      <c r="AA112" s="321">
        <f t="shared" si="2"/>
        <v>0</v>
      </c>
      <c r="AB112" s="400"/>
      <c r="AC112" s="400"/>
      <c r="AE112" s="321">
        <f t="shared" si="3"/>
        <v>0</v>
      </c>
      <c r="AF112" s="400"/>
      <c r="AG112" s="400"/>
      <c r="AI112" s="321">
        <f t="shared" si="4"/>
        <v>0</v>
      </c>
    </row>
    <row r="113" spans="1:35" ht="31.5">
      <c r="A113" s="397"/>
      <c r="B113" s="398" t="s">
        <v>474</v>
      </c>
      <c r="C113" s="407">
        <v>0.21</v>
      </c>
      <c r="D113" s="400"/>
      <c r="E113" s="400"/>
      <c r="F113" s="321"/>
      <c r="G113" s="321">
        <f t="shared" si="0"/>
        <v>0</v>
      </c>
      <c r="H113" s="400"/>
      <c r="I113" s="400"/>
      <c r="J113" s="401"/>
      <c r="K113" s="321">
        <f t="shared" si="10"/>
        <v>0</v>
      </c>
      <c r="L113" s="400"/>
      <c r="M113" s="400"/>
      <c r="O113" s="321">
        <f t="shared" si="9"/>
        <v>0</v>
      </c>
      <c r="P113" s="400"/>
      <c r="Q113" s="400"/>
      <c r="R113" s="1"/>
      <c r="S113" s="321">
        <f t="shared" si="5"/>
        <v>0</v>
      </c>
      <c r="T113" s="400"/>
      <c r="U113" s="400"/>
      <c r="W113" s="321">
        <f t="shared" si="1"/>
        <v>0</v>
      </c>
      <c r="X113" s="400"/>
      <c r="Y113" s="400"/>
      <c r="AA113" s="321">
        <f t="shared" si="2"/>
        <v>0</v>
      </c>
      <c r="AB113" s="400"/>
      <c r="AC113" s="400"/>
      <c r="AE113" s="321">
        <f t="shared" si="3"/>
        <v>0</v>
      </c>
      <c r="AF113" s="400"/>
      <c r="AG113" s="400"/>
      <c r="AI113" s="321">
        <f t="shared" si="4"/>
        <v>0</v>
      </c>
    </row>
    <row r="114" spans="1:35" ht="31.5">
      <c r="A114" s="397"/>
      <c r="B114" s="398" t="s">
        <v>475</v>
      </c>
      <c r="C114" s="407">
        <v>0.28000000000000003</v>
      </c>
      <c r="D114" s="400"/>
      <c r="E114" s="400"/>
      <c r="F114" s="321"/>
      <c r="G114" s="321">
        <f t="shared" si="0"/>
        <v>0</v>
      </c>
      <c r="H114" s="400"/>
      <c r="I114" s="400"/>
      <c r="J114" s="401"/>
      <c r="K114" s="321">
        <f t="shared" si="10"/>
        <v>0</v>
      </c>
      <c r="L114" s="400"/>
      <c r="M114" s="400"/>
      <c r="O114" s="321">
        <f t="shared" si="9"/>
        <v>0</v>
      </c>
      <c r="P114" s="400"/>
      <c r="Q114" s="400"/>
      <c r="R114" s="1"/>
      <c r="S114" s="321">
        <f t="shared" si="5"/>
        <v>0</v>
      </c>
      <c r="T114" s="400"/>
      <c r="U114" s="400"/>
      <c r="W114" s="321">
        <f t="shared" si="1"/>
        <v>0</v>
      </c>
      <c r="X114" s="400"/>
      <c r="Y114" s="400"/>
      <c r="AA114" s="321">
        <f t="shared" si="2"/>
        <v>0</v>
      </c>
      <c r="AB114" s="400"/>
      <c r="AC114" s="400"/>
      <c r="AE114" s="321">
        <f t="shared" si="3"/>
        <v>0</v>
      </c>
      <c r="AF114" s="400"/>
      <c r="AG114" s="400"/>
      <c r="AI114" s="321">
        <f t="shared" si="4"/>
        <v>0</v>
      </c>
    </row>
    <row r="115" spans="1:35" ht="15.75">
      <c r="A115" s="397"/>
      <c r="B115" s="398" t="s">
        <v>476</v>
      </c>
      <c r="C115" s="407">
        <v>1.57</v>
      </c>
      <c r="D115" s="400"/>
      <c r="E115" s="400"/>
      <c r="F115" s="321"/>
      <c r="G115" s="321">
        <f t="shared" si="0"/>
        <v>0</v>
      </c>
      <c r="H115" s="400"/>
      <c r="I115" s="400"/>
      <c r="J115" s="401"/>
      <c r="K115" s="321">
        <f t="shared" si="10"/>
        <v>0</v>
      </c>
      <c r="L115" s="400"/>
      <c r="M115" s="400"/>
      <c r="O115" s="321">
        <f t="shared" si="9"/>
        <v>0</v>
      </c>
      <c r="P115" s="400"/>
      <c r="Q115" s="400"/>
      <c r="R115" s="1"/>
      <c r="S115" s="321">
        <f t="shared" si="5"/>
        <v>0</v>
      </c>
      <c r="T115" s="400"/>
      <c r="U115" s="400"/>
      <c r="W115" s="321">
        <f t="shared" si="1"/>
        <v>0</v>
      </c>
      <c r="X115" s="400"/>
      <c r="Y115" s="400"/>
      <c r="AA115" s="321">
        <f t="shared" si="2"/>
        <v>0</v>
      </c>
      <c r="AB115" s="400"/>
      <c r="AC115" s="400"/>
      <c r="AE115" s="321">
        <f t="shared" si="3"/>
        <v>0</v>
      </c>
      <c r="AF115" s="400"/>
      <c r="AG115" s="400"/>
      <c r="AI115" s="321">
        <f t="shared" si="4"/>
        <v>0</v>
      </c>
    </row>
    <row r="116" spans="1:35" ht="15.75">
      <c r="A116" s="397"/>
      <c r="B116" s="398" t="s">
        <v>477</v>
      </c>
      <c r="C116" s="407">
        <v>2.16</v>
      </c>
      <c r="D116" s="400"/>
      <c r="E116" s="400"/>
      <c r="F116" s="321"/>
      <c r="G116" s="321">
        <f t="shared" si="0"/>
        <v>0</v>
      </c>
      <c r="H116" s="400"/>
      <c r="I116" s="400"/>
      <c r="J116" s="401"/>
      <c r="K116" s="321">
        <f t="shared" si="10"/>
        <v>0</v>
      </c>
      <c r="L116" s="400"/>
      <c r="M116" s="400"/>
      <c r="O116" s="321">
        <f t="shared" si="9"/>
        <v>0</v>
      </c>
      <c r="P116" s="400"/>
      <c r="Q116" s="400"/>
      <c r="R116" s="1"/>
      <c r="S116" s="321">
        <f t="shared" si="5"/>
        <v>0</v>
      </c>
      <c r="T116" s="400"/>
      <c r="U116" s="400"/>
      <c r="W116" s="321">
        <f t="shared" si="1"/>
        <v>0</v>
      </c>
      <c r="X116" s="400"/>
      <c r="Y116" s="400"/>
      <c r="AA116" s="321">
        <f t="shared" si="2"/>
        <v>0</v>
      </c>
      <c r="AB116" s="400"/>
      <c r="AC116" s="400"/>
      <c r="AE116" s="321">
        <f t="shared" si="3"/>
        <v>0</v>
      </c>
      <c r="AF116" s="400"/>
      <c r="AG116" s="400"/>
      <c r="AI116" s="321">
        <f t="shared" si="4"/>
        <v>0</v>
      </c>
    </row>
    <row r="117" spans="1:35" ht="15.75">
      <c r="A117" s="397"/>
      <c r="B117" s="398" t="s">
        <v>478</v>
      </c>
      <c r="C117" s="407">
        <v>2.4900000000000002</v>
      </c>
      <c r="D117" s="400"/>
      <c r="E117" s="400"/>
      <c r="F117" s="321"/>
      <c r="G117" s="321">
        <f t="shared" si="0"/>
        <v>0</v>
      </c>
      <c r="H117" s="400"/>
      <c r="I117" s="400"/>
      <c r="J117" s="401"/>
      <c r="K117" s="321">
        <f t="shared" si="10"/>
        <v>0</v>
      </c>
      <c r="L117" s="400"/>
      <c r="M117" s="400"/>
      <c r="O117" s="321">
        <f t="shared" si="9"/>
        <v>0</v>
      </c>
      <c r="P117" s="400"/>
      <c r="Q117" s="400"/>
      <c r="R117" s="1"/>
      <c r="S117" s="321">
        <f t="shared" si="5"/>
        <v>0</v>
      </c>
      <c r="T117" s="400"/>
      <c r="U117" s="400"/>
      <c r="W117" s="321">
        <f t="shared" si="1"/>
        <v>0</v>
      </c>
      <c r="X117" s="400"/>
      <c r="Y117" s="400"/>
      <c r="AA117" s="321">
        <f t="shared" si="2"/>
        <v>0</v>
      </c>
      <c r="AB117" s="400"/>
      <c r="AC117" s="400"/>
      <c r="AE117" s="321">
        <f t="shared" si="3"/>
        <v>0</v>
      </c>
      <c r="AF117" s="400"/>
      <c r="AG117" s="400"/>
      <c r="AI117" s="321">
        <f t="shared" si="4"/>
        <v>0</v>
      </c>
    </row>
    <row r="118" spans="1:35" ht="15.75">
      <c r="A118" s="397"/>
      <c r="B118" s="398" t="s">
        <v>479</v>
      </c>
      <c r="C118" s="407">
        <v>2.33</v>
      </c>
      <c r="D118" s="400"/>
      <c r="E118" s="400"/>
      <c r="F118" s="321"/>
      <c r="G118" s="321">
        <f t="shared" si="0"/>
        <v>0</v>
      </c>
      <c r="H118" s="400"/>
      <c r="I118" s="400"/>
      <c r="J118" s="401"/>
      <c r="K118" s="321">
        <f t="shared" si="10"/>
        <v>0</v>
      </c>
      <c r="L118" s="400"/>
      <c r="M118" s="400"/>
      <c r="O118" s="321">
        <f t="shared" si="9"/>
        <v>0</v>
      </c>
      <c r="P118" s="400"/>
      <c r="Q118" s="400"/>
      <c r="R118" s="1"/>
      <c r="S118" s="321">
        <f t="shared" si="5"/>
        <v>0</v>
      </c>
      <c r="T118" s="400"/>
      <c r="U118" s="400"/>
      <c r="W118" s="321">
        <f t="shared" si="1"/>
        <v>0</v>
      </c>
      <c r="X118" s="400"/>
      <c r="Y118" s="400"/>
      <c r="AA118" s="321">
        <f t="shared" si="2"/>
        <v>0</v>
      </c>
      <c r="AB118" s="400"/>
      <c r="AC118" s="400"/>
      <c r="AE118" s="321">
        <f t="shared" si="3"/>
        <v>0</v>
      </c>
      <c r="AF118" s="400"/>
      <c r="AG118" s="400"/>
      <c r="AI118" s="321">
        <f t="shared" si="4"/>
        <v>0</v>
      </c>
    </row>
    <row r="119" spans="1:35" ht="15.75">
      <c r="A119" s="397"/>
      <c r="B119" s="398" t="s">
        <v>480</v>
      </c>
      <c r="C119" s="407">
        <v>0.44</v>
      </c>
      <c r="D119" s="400"/>
      <c r="E119" s="400"/>
      <c r="F119" s="321"/>
      <c r="G119" s="321">
        <f t="shared" si="0"/>
        <v>0</v>
      </c>
      <c r="H119" s="400"/>
      <c r="I119" s="400"/>
      <c r="J119" s="401"/>
      <c r="K119" s="321">
        <f t="shared" si="10"/>
        <v>0</v>
      </c>
      <c r="L119" s="400"/>
      <c r="M119" s="400"/>
      <c r="O119" s="321">
        <f t="shared" si="9"/>
        <v>0</v>
      </c>
      <c r="P119" s="400"/>
      <c r="Q119" s="400"/>
      <c r="R119" s="1"/>
      <c r="S119" s="321">
        <f t="shared" si="5"/>
        <v>0</v>
      </c>
      <c r="T119" s="400"/>
      <c r="U119" s="400"/>
      <c r="W119" s="321">
        <f t="shared" si="1"/>
        <v>0</v>
      </c>
      <c r="X119" s="400"/>
      <c r="Y119" s="400"/>
      <c r="AA119" s="321">
        <f t="shared" si="2"/>
        <v>0</v>
      </c>
      <c r="AB119" s="400"/>
      <c r="AC119" s="400"/>
      <c r="AE119" s="321">
        <f t="shared" si="3"/>
        <v>0</v>
      </c>
      <c r="AF119" s="400"/>
      <c r="AG119" s="400"/>
      <c r="AI119" s="321">
        <f t="shared" si="4"/>
        <v>0</v>
      </c>
    </row>
    <row r="120" spans="1:35" ht="15.75">
      <c r="A120" s="321">
        <v>9</v>
      </c>
      <c r="B120" s="408" t="s">
        <v>242</v>
      </c>
      <c r="C120" s="407"/>
      <c r="D120" s="400"/>
      <c r="E120" s="400"/>
      <c r="F120" s="321"/>
      <c r="G120" s="321">
        <f t="shared" si="0"/>
        <v>0</v>
      </c>
      <c r="H120" s="400"/>
      <c r="I120" s="400"/>
      <c r="J120" s="401"/>
      <c r="K120" s="321">
        <f t="shared" ref="K120:K142" si="11">$C120*H120/100</f>
        <v>0</v>
      </c>
      <c r="L120" s="400"/>
      <c r="M120" s="400"/>
      <c r="O120" s="321">
        <f t="shared" si="9"/>
        <v>0</v>
      </c>
      <c r="P120" s="400"/>
      <c r="Q120" s="400"/>
      <c r="R120" s="1"/>
      <c r="S120" s="321">
        <f t="shared" si="5"/>
        <v>0</v>
      </c>
      <c r="T120" s="400"/>
      <c r="U120" s="400"/>
      <c r="W120" s="321">
        <f t="shared" si="1"/>
        <v>0</v>
      </c>
      <c r="X120" s="400"/>
      <c r="Y120" s="400"/>
      <c r="AA120" s="321">
        <f t="shared" si="2"/>
        <v>0</v>
      </c>
      <c r="AB120" s="400"/>
      <c r="AC120" s="400"/>
      <c r="AE120" s="321">
        <f t="shared" si="3"/>
        <v>0</v>
      </c>
      <c r="AF120" s="400"/>
      <c r="AG120" s="400"/>
      <c r="AI120" s="321">
        <f t="shared" si="4"/>
        <v>0</v>
      </c>
    </row>
    <row r="121" spans="1:35" ht="35.25" customHeight="1">
      <c r="A121" s="397"/>
      <c r="B121" s="398" t="s">
        <v>395</v>
      </c>
      <c r="C121" s="407">
        <v>0.3</v>
      </c>
      <c r="D121" s="399">
        <f>MAX(C121:C138)</f>
        <v>3.56</v>
      </c>
      <c r="E121" s="400">
        <f>MIN(C121:C138)</f>
        <v>0.19</v>
      </c>
      <c r="F121" s="321"/>
      <c r="G121" s="321">
        <f t="shared" si="0"/>
        <v>0</v>
      </c>
      <c r="H121" s="399">
        <f>MAX(C121:C138)</f>
        <v>3.56</v>
      </c>
      <c r="I121" s="400">
        <f>MIN(C121:C138)</f>
        <v>0.19</v>
      </c>
      <c r="J121" s="401"/>
      <c r="K121" s="321">
        <f t="shared" si="11"/>
        <v>1.068E-2</v>
      </c>
      <c r="L121" s="399">
        <v>3.56</v>
      </c>
      <c r="M121" s="400">
        <v>0.19</v>
      </c>
      <c r="O121" s="321">
        <f t="shared" si="9"/>
        <v>0</v>
      </c>
      <c r="P121" s="399">
        <v>3.56</v>
      </c>
      <c r="Q121" s="400">
        <v>0.19</v>
      </c>
      <c r="R121" s="1"/>
      <c r="S121" s="321">
        <f t="shared" si="5"/>
        <v>1.068E-2</v>
      </c>
      <c r="T121" s="399">
        <v>3.56</v>
      </c>
      <c r="U121" s="400">
        <v>0.19</v>
      </c>
      <c r="W121" s="321">
        <f t="shared" si="1"/>
        <v>0</v>
      </c>
      <c r="X121" s="399">
        <v>3.56</v>
      </c>
      <c r="Y121" s="400">
        <v>0.19</v>
      </c>
      <c r="AA121" s="321">
        <f t="shared" si="2"/>
        <v>0</v>
      </c>
      <c r="AB121" s="399">
        <v>3.56</v>
      </c>
      <c r="AC121" s="400">
        <v>0.19</v>
      </c>
      <c r="AE121" s="321">
        <f t="shared" si="3"/>
        <v>0</v>
      </c>
      <c r="AF121" s="399">
        <f>MAX(C121:C138)</f>
        <v>3.56</v>
      </c>
      <c r="AG121" s="400">
        <f>MIN(C121:C138)</f>
        <v>0.19</v>
      </c>
      <c r="AI121" s="321">
        <f t="shared" si="4"/>
        <v>0</v>
      </c>
    </row>
    <row r="122" spans="1:35" ht="35.25" customHeight="1">
      <c r="A122" s="397"/>
      <c r="B122" s="398" t="s">
        <v>396</v>
      </c>
      <c r="C122" s="407">
        <v>0.54</v>
      </c>
      <c r="D122" s="400"/>
      <c r="E122" s="400"/>
      <c r="F122" s="321"/>
      <c r="G122" s="321">
        <f t="shared" si="0"/>
        <v>0</v>
      </c>
      <c r="H122" s="400"/>
      <c r="I122" s="400"/>
      <c r="J122" s="401"/>
      <c r="K122" s="321">
        <f t="shared" si="11"/>
        <v>0</v>
      </c>
      <c r="L122" s="400"/>
      <c r="M122" s="400"/>
      <c r="O122" s="321">
        <f t="shared" si="9"/>
        <v>0</v>
      </c>
      <c r="P122" s="400"/>
      <c r="Q122" s="400"/>
      <c r="R122" s="1"/>
      <c r="S122" s="321">
        <f t="shared" si="5"/>
        <v>0</v>
      </c>
      <c r="T122" s="400"/>
      <c r="U122" s="400"/>
      <c r="W122" s="321">
        <f t="shared" si="1"/>
        <v>0</v>
      </c>
      <c r="X122" s="400"/>
      <c r="Y122" s="400"/>
      <c r="AA122" s="321">
        <f t="shared" si="2"/>
        <v>0</v>
      </c>
      <c r="AB122" s="400"/>
      <c r="AC122" s="400"/>
      <c r="AE122" s="321">
        <f t="shared" si="3"/>
        <v>0</v>
      </c>
      <c r="AF122" s="400"/>
      <c r="AG122" s="400"/>
      <c r="AI122" s="321">
        <f t="shared" si="4"/>
        <v>0</v>
      </c>
    </row>
    <row r="123" spans="1:35" ht="35.25" customHeight="1">
      <c r="A123" s="397"/>
      <c r="B123" s="398" t="s">
        <v>397</v>
      </c>
      <c r="C123" s="407">
        <v>0.19</v>
      </c>
      <c r="D123" s="400"/>
      <c r="E123" s="400"/>
      <c r="F123" s="321"/>
      <c r="G123" s="321">
        <f t="shared" si="0"/>
        <v>0</v>
      </c>
      <c r="H123" s="400"/>
      <c r="I123" s="400"/>
      <c r="J123" s="401"/>
      <c r="K123" s="321">
        <f t="shared" si="11"/>
        <v>0</v>
      </c>
      <c r="L123" s="400"/>
      <c r="M123" s="400"/>
      <c r="O123" s="321">
        <f t="shared" si="9"/>
        <v>0</v>
      </c>
      <c r="P123" s="400"/>
      <c r="Q123" s="400"/>
      <c r="R123" s="1"/>
      <c r="S123" s="321">
        <f t="shared" si="5"/>
        <v>0</v>
      </c>
      <c r="T123" s="400"/>
      <c r="U123" s="400"/>
      <c r="W123" s="321">
        <f t="shared" si="1"/>
        <v>0</v>
      </c>
      <c r="X123" s="400"/>
      <c r="Y123" s="400"/>
      <c r="AA123" s="321">
        <f t="shared" si="2"/>
        <v>0</v>
      </c>
      <c r="AB123" s="400"/>
      <c r="AC123" s="400"/>
      <c r="AE123" s="321">
        <f t="shared" si="3"/>
        <v>0</v>
      </c>
      <c r="AF123" s="400"/>
      <c r="AG123" s="400"/>
      <c r="AI123" s="321">
        <f t="shared" si="4"/>
        <v>0</v>
      </c>
    </row>
    <row r="124" spans="1:35" ht="35.25" customHeight="1">
      <c r="A124" s="397"/>
      <c r="B124" s="398" t="s">
        <v>398</v>
      </c>
      <c r="C124" s="407">
        <v>0.43</v>
      </c>
      <c r="D124" s="400"/>
      <c r="E124" s="400"/>
      <c r="F124" s="321"/>
      <c r="G124" s="321">
        <f t="shared" si="0"/>
        <v>0</v>
      </c>
      <c r="H124" s="400"/>
      <c r="I124" s="400"/>
      <c r="J124" s="401"/>
      <c r="K124" s="321">
        <f t="shared" si="11"/>
        <v>0</v>
      </c>
      <c r="L124" s="400"/>
      <c r="M124" s="400"/>
      <c r="O124" s="321">
        <f t="shared" si="9"/>
        <v>0</v>
      </c>
      <c r="P124" s="400"/>
      <c r="Q124" s="400"/>
      <c r="R124" s="1"/>
      <c r="S124" s="321">
        <f t="shared" si="5"/>
        <v>0</v>
      </c>
      <c r="T124" s="400"/>
      <c r="U124" s="400"/>
      <c r="W124" s="321">
        <f t="shared" si="1"/>
        <v>0</v>
      </c>
      <c r="X124" s="400"/>
      <c r="Y124" s="400"/>
      <c r="AA124" s="321">
        <f t="shared" si="2"/>
        <v>0</v>
      </c>
      <c r="AB124" s="400"/>
      <c r="AC124" s="400"/>
      <c r="AE124" s="321">
        <f t="shared" si="3"/>
        <v>0</v>
      </c>
      <c r="AF124" s="400"/>
      <c r="AG124" s="400"/>
      <c r="AI124" s="321">
        <f t="shared" si="4"/>
        <v>0</v>
      </c>
    </row>
    <row r="125" spans="1:35" ht="35.25" customHeight="1">
      <c r="A125" s="397"/>
      <c r="B125" s="398" t="s">
        <v>399</v>
      </c>
      <c r="C125" s="407">
        <v>0.41</v>
      </c>
      <c r="D125" s="400"/>
      <c r="E125" s="400"/>
      <c r="F125" s="321"/>
      <c r="G125" s="321">
        <f t="shared" si="0"/>
        <v>0</v>
      </c>
      <c r="H125" s="400"/>
      <c r="I125" s="400"/>
      <c r="J125" s="401"/>
      <c r="K125" s="321">
        <f t="shared" si="11"/>
        <v>0</v>
      </c>
      <c r="L125" s="400"/>
      <c r="M125" s="400"/>
      <c r="O125" s="321">
        <f t="shared" si="9"/>
        <v>0</v>
      </c>
      <c r="P125" s="400"/>
      <c r="Q125" s="400"/>
      <c r="R125" s="1"/>
      <c r="S125" s="321">
        <f t="shared" si="5"/>
        <v>0</v>
      </c>
      <c r="T125" s="400"/>
      <c r="U125" s="400"/>
      <c r="W125" s="321">
        <f t="shared" si="1"/>
        <v>0</v>
      </c>
      <c r="X125" s="400"/>
      <c r="Y125" s="400"/>
      <c r="AA125" s="321">
        <f t="shared" si="2"/>
        <v>0</v>
      </c>
      <c r="AB125" s="400"/>
      <c r="AC125" s="400"/>
      <c r="AE125" s="321">
        <f t="shared" si="3"/>
        <v>0</v>
      </c>
      <c r="AF125" s="400"/>
      <c r="AG125" s="400"/>
      <c r="AI125" s="321">
        <f t="shared" si="4"/>
        <v>0</v>
      </c>
    </row>
    <row r="126" spans="1:35" ht="35.25" customHeight="1">
      <c r="A126" s="397"/>
      <c r="B126" s="398" t="s">
        <v>400</v>
      </c>
      <c r="C126" s="407">
        <v>0.52</v>
      </c>
      <c r="D126" s="400"/>
      <c r="E126" s="400"/>
      <c r="F126" s="321"/>
      <c r="G126" s="321">
        <f t="shared" si="0"/>
        <v>0</v>
      </c>
      <c r="H126" s="400"/>
      <c r="I126" s="400"/>
      <c r="J126" s="401"/>
      <c r="K126" s="321">
        <f t="shared" si="11"/>
        <v>0</v>
      </c>
      <c r="L126" s="400"/>
      <c r="M126" s="400"/>
      <c r="O126" s="321">
        <f t="shared" si="9"/>
        <v>0</v>
      </c>
      <c r="P126" s="400"/>
      <c r="Q126" s="400"/>
      <c r="R126" s="1"/>
      <c r="S126" s="321">
        <f t="shared" si="5"/>
        <v>0</v>
      </c>
      <c r="T126" s="400"/>
      <c r="U126" s="400"/>
      <c r="W126" s="321">
        <f t="shared" si="1"/>
        <v>0</v>
      </c>
      <c r="X126" s="400"/>
      <c r="Y126" s="400"/>
      <c r="AA126" s="321">
        <f t="shared" si="2"/>
        <v>0</v>
      </c>
      <c r="AB126" s="400"/>
      <c r="AC126" s="400"/>
      <c r="AE126" s="321">
        <f t="shared" si="3"/>
        <v>0</v>
      </c>
      <c r="AF126" s="400"/>
      <c r="AG126" s="400"/>
      <c r="AI126" s="321">
        <f t="shared" si="4"/>
        <v>0</v>
      </c>
    </row>
    <row r="127" spans="1:35" ht="35.25" customHeight="1">
      <c r="A127" s="397"/>
      <c r="B127" s="398" t="s">
        <v>401</v>
      </c>
      <c r="C127" s="407">
        <v>1.21</v>
      </c>
      <c r="D127" s="400"/>
      <c r="E127" s="400"/>
      <c r="F127" s="321"/>
      <c r="G127" s="321">
        <f t="shared" si="0"/>
        <v>0</v>
      </c>
      <c r="H127" s="400"/>
      <c r="I127" s="400"/>
      <c r="J127" s="401"/>
      <c r="K127" s="321">
        <f t="shared" si="11"/>
        <v>0</v>
      </c>
      <c r="L127" s="400"/>
      <c r="M127" s="400"/>
      <c r="O127" s="321">
        <f t="shared" si="9"/>
        <v>0</v>
      </c>
      <c r="P127" s="400"/>
      <c r="Q127" s="400"/>
      <c r="R127" s="1"/>
      <c r="S127" s="321">
        <f t="shared" si="5"/>
        <v>0</v>
      </c>
      <c r="T127" s="400"/>
      <c r="U127" s="400"/>
      <c r="W127" s="321">
        <f t="shared" si="1"/>
        <v>0</v>
      </c>
      <c r="X127" s="400"/>
      <c r="Y127" s="400"/>
      <c r="AA127" s="321">
        <f t="shared" si="2"/>
        <v>0</v>
      </c>
      <c r="AB127" s="400"/>
      <c r="AC127" s="400"/>
      <c r="AE127" s="321">
        <f t="shared" si="3"/>
        <v>0</v>
      </c>
      <c r="AF127" s="400"/>
      <c r="AG127" s="400"/>
      <c r="AI127" s="321">
        <f t="shared" si="4"/>
        <v>0</v>
      </c>
    </row>
    <row r="128" spans="1:35" ht="35.25" customHeight="1">
      <c r="A128" s="397"/>
      <c r="B128" s="398" t="s">
        <v>538</v>
      </c>
      <c r="C128" s="407">
        <v>0.75</v>
      </c>
      <c r="D128" s="400"/>
      <c r="E128" s="400"/>
      <c r="F128" s="321"/>
      <c r="G128" s="321">
        <f t="shared" si="0"/>
        <v>0</v>
      </c>
      <c r="H128" s="400"/>
      <c r="I128" s="400"/>
      <c r="J128" s="401"/>
      <c r="K128" s="321">
        <f t="shared" si="11"/>
        <v>0</v>
      </c>
      <c r="L128" s="400"/>
      <c r="M128" s="400"/>
      <c r="O128" s="321">
        <f t="shared" si="9"/>
        <v>0</v>
      </c>
      <c r="P128" s="400"/>
      <c r="Q128" s="400"/>
      <c r="R128" s="1"/>
      <c r="S128" s="321">
        <f t="shared" si="5"/>
        <v>0</v>
      </c>
      <c r="T128" s="400"/>
      <c r="U128" s="400"/>
      <c r="W128" s="321">
        <f t="shared" si="1"/>
        <v>0</v>
      </c>
      <c r="X128" s="400"/>
      <c r="Y128" s="400"/>
      <c r="AA128" s="321">
        <f t="shared" si="2"/>
        <v>0</v>
      </c>
      <c r="AB128" s="400"/>
      <c r="AC128" s="400"/>
      <c r="AE128" s="321">
        <f t="shared" si="3"/>
        <v>0</v>
      </c>
      <c r="AF128" s="400"/>
      <c r="AG128" s="400"/>
      <c r="AI128" s="321">
        <f t="shared" si="4"/>
        <v>0</v>
      </c>
    </row>
    <row r="129" spans="1:35" ht="35.25" customHeight="1">
      <c r="A129" s="397"/>
      <c r="B129" s="398" t="s">
        <v>403</v>
      </c>
      <c r="C129" s="407">
        <v>1.04</v>
      </c>
      <c r="D129" s="400"/>
      <c r="E129" s="400"/>
      <c r="F129" s="321"/>
      <c r="G129" s="321">
        <f t="shared" si="0"/>
        <v>0</v>
      </c>
      <c r="H129" s="400"/>
      <c r="I129" s="400"/>
      <c r="J129" s="401"/>
      <c r="K129" s="321">
        <f t="shared" si="11"/>
        <v>0</v>
      </c>
      <c r="L129" s="400"/>
      <c r="M129" s="400"/>
      <c r="O129" s="321">
        <f t="shared" si="9"/>
        <v>0</v>
      </c>
      <c r="P129" s="400"/>
      <c r="Q129" s="400"/>
      <c r="R129" s="1"/>
      <c r="S129" s="321">
        <f t="shared" si="5"/>
        <v>0</v>
      </c>
      <c r="T129" s="400"/>
      <c r="U129" s="400"/>
      <c r="W129" s="321">
        <f t="shared" si="1"/>
        <v>0</v>
      </c>
      <c r="X129" s="400"/>
      <c r="Y129" s="400"/>
      <c r="AA129" s="321">
        <f t="shared" si="2"/>
        <v>0</v>
      </c>
      <c r="AB129" s="400"/>
      <c r="AC129" s="400"/>
      <c r="AE129" s="321">
        <f t="shared" si="3"/>
        <v>0</v>
      </c>
      <c r="AF129" s="400"/>
      <c r="AG129" s="400"/>
      <c r="AI129" s="321">
        <f t="shared" si="4"/>
        <v>0</v>
      </c>
    </row>
    <row r="130" spans="1:35" ht="35.25" customHeight="1">
      <c r="A130" s="397"/>
      <c r="B130" s="398" t="s">
        <v>404</v>
      </c>
      <c r="C130" s="407">
        <v>1.0900000000000001</v>
      </c>
      <c r="D130" s="400"/>
      <c r="E130" s="400"/>
      <c r="F130" s="321"/>
      <c r="G130" s="321">
        <f t="shared" si="0"/>
        <v>0</v>
      </c>
      <c r="H130" s="400"/>
      <c r="I130" s="400"/>
      <c r="J130" s="401"/>
      <c r="K130" s="321">
        <f t="shared" si="11"/>
        <v>0</v>
      </c>
      <c r="L130" s="400"/>
      <c r="M130" s="400"/>
      <c r="O130" s="321">
        <f t="shared" si="9"/>
        <v>0</v>
      </c>
      <c r="P130" s="400"/>
      <c r="Q130" s="400"/>
      <c r="R130" s="1"/>
      <c r="S130" s="321">
        <f t="shared" si="5"/>
        <v>0</v>
      </c>
      <c r="T130" s="400"/>
      <c r="U130" s="400"/>
      <c r="W130" s="321">
        <f t="shared" si="1"/>
        <v>0</v>
      </c>
      <c r="X130" s="400"/>
      <c r="Y130" s="400"/>
      <c r="AA130" s="321">
        <f t="shared" si="2"/>
        <v>0</v>
      </c>
      <c r="AB130" s="400"/>
      <c r="AC130" s="400"/>
      <c r="AE130" s="321">
        <f t="shared" si="3"/>
        <v>0</v>
      </c>
      <c r="AF130" s="400"/>
      <c r="AG130" s="400"/>
      <c r="AI130" s="321">
        <f t="shared" si="4"/>
        <v>0</v>
      </c>
    </row>
    <row r="131" spans="1:35" ht="35.25" customHeight="1">
      <c r="A131" s="397"/>
      <c r="B131" s="398" t="s">
        <v>405</v>
      </c>
      <c r="C131" s="407">
        <v>1.1200000000000001</v>
      </c>
      <c r="D131" s="400"/>
      <c r="E131" s="400"/>
      <c r="F131" s="321"/>
      <c r="G131" s="321">
        <f t="shared" si="0"/>
        <v>0</v>
      </c>
      <c r="H131" s="400"/>
      <c r="I131" s="400"/>
      <c r="J131" s="401"/>
      <c r="K131" s="321">
        <f t="shared" si="11"/>
        <v>0</v>
      </c>
      <c r="L131" s="400"/>
      <c r="M131" s="400"/>
      <c r="O131" s="321">
        <f t="shared" si="9"/>
        <v>0</v>
      </c>
      <c r="P131" s="400"/>
      <c r="Q131" s="400"/>
      <c r="R131" s="1"/>
      <c r="S131" s="321">
        <f t="shared" si="5"/>
        <v>0</v>
      </c>
      <c r="T131" s="400"/>
      <c r="U131" s="400"/>
      <c r="W131" s="321">
        <f t="shared" si="1"/>
        <v>0</v>
      </c>
      <c r="X131" s="400"/>
      <c r="Y131" s="400"/>
      <c r="AA131" s="321">
        <f t="shared" si="2"/>
        <v>0</v>
      </c>
      <c r="AB131" s="400"/>
      <c r="AC131" s="400"/>
      <c r="AE131" s="321">
        <f t="shared" si="3"/>
        <v>0</v>
      </c>
      <c r="AF131" s="400"/>
      <c r="AG131" s="400"/>
      <c r="AI131" s="321">
        <f t="shared" si="4"/>
        <v>0</v>
      </c>
    </row>
    <row r="132" spans="1:35" ht="35.25" customHeight="1">
      <c r="A132" s="397"/>
      <c r="B132" s="398" t="s">
        <v>406</v>
      </c>
      <c r="C132" s="407">
        <v>3.56</v>
      </c>
      <c r="D132" s="400"/>
      <c r="E132" s="400"/>
      <c r="F132" s="321"/>
      <c r="G132" s="321">
        <f t="shared" si="0"/>
        <v>0</v>
      </c>
      <c r="H132" s="400"/>
      <c r="I132" s="400"/>
      <c r="J132" s="401"/>
      <c r="K132" s="321">
        <f t="shared" si="11"/>
        <v>0</v>
      </c>
      <c r="L132" s="400"/>
      <c r="M132" s="400"/>
      <c r="O132" s="321">
        <f t="shared" si="9"/>
        <v>0</v>
      </c>
      <c r="P132" s="400"/>
      <c r="Q132" s="400"/>
      <c r="R132" s="1"/>
      <c r="S132" s="321">
        <f t="shared" si="5"/>
        <v>0</v>
      </c>
      <c r="T132" s="400"/>
      <c r="U132" s="400"/>
      <c r="W132" s="321">
        <f t="shared" si="1"/>
        <v>0</v>
      </c>
      <c r="X132" s="400"/>
      <c r="Y132" s="400"/>
      <c r="AA132" s="321">
        <f t="shared" si="2"/>
        <v>0</v>
      </c>
      <c r="AB132" s="400"/>
      <c r="AC132" s="400"/>
      <c r="AE132" s="321">
        <f t="shared" si="3"/>
        <v>0</v>
      </c>
      <c r="AF132" s="400"/>
      <c r="AG132" s="400"/>
      <c r="AI132" s="321">
        <f t="shared" si="4"/>
        <v>0</v>
      </c>
    </row>
    <row r="133" spans="1:35" ht="35.25" customHeight="1">
      <c r="A133" s="397"/>
      <c r="B133" s="398" t="s">
        <v>407</v>
      </c>
      <c r="C133" s="407">
        <v>1.19</v>
      </c>
      <c r="D133" s="400"/>
      <c r="E133" s="400"/>
      <c r="F133" s="321"/>
      <c r="G133" s="321">
        <f t="shared" si="0"/>
        <v>0</v>
      </c>
      <c r="H133" s="400"/>
      <c r="I133" s="400"/>
      <c r="J133" s="401"/>
      <c r="K133" s="321">
        <f t="shared" si="11"/>
        <v>0</v>
      </c>
      <c r="L133" s="400"/>
      <c r="M133" s="400"/>
      <c r="O133" s="321">
        <f t="shared" si="9"/>
        <v>0</v>
      </c>
      <c r="P133" s="400"/>
      <c r="Q133" s="400"/>
      <c r="R133" s="1"/>
      <c r="S133" s="321">
        <f t="shared" si="5"/>
        <v>0</v>
      </c>
      <c r="T133" s="400"/>
      <c r="U133" s="400"/>
      <c r="W133" s="321">
        <f t="shared" si="1"/>
        <v>0</v>
      </c>
      <c r="X133" s="400"/>
      <c r="Y133" s="400"/>
      <c r="AA133" s="321">
        <f t="shared" si="2"/>
        <v>0</v>
      </c>
      <c r="AB133" s="400"/>
      <c r="AC133" s="400"/>
      <c r="AE133" s="321">
        <f t="shared" si="3"/>
        <v>0</v>
      </c>
      <c r="AF133" s="400"/>
      <c r="AG133" s="400"/>
      <c r="AI133" s="321">
        <f t="shared" si="4"/>
        <v>0</v>
      </c>
    </row>
    <row r="134" spans="1:35" ht="35.25" customHeight="1">
      <c r="A134" s="397"/>
      <c r="B134" s="398" t="s">
        <v>539</v>
      </c>
      <c r="C134" s="407">
        <v>0.31</v>
      </c>
      <c r="D134" s="400"/>
      <c r="E134" s="400"/>
      <c r="F134" s="321"/>
      <c r="G134" s="321">
        <f t="shared" si="0"/>
        <v>0</v>
      </c>
      <c r="H134" s="400"/>
      <c r="I134" s="400"/>
      <c r="J134" s="401"/>
      <c r="K134" s="321">
        <f t="shared" si="11"/>
        <v>0</v>
      </c>
      <c r="L134" s="400"/>
      <c r="M134" s="400"/>
      <c r="O134" s="321">
        <f t="shared" si="9"/>
        <v>0</v>
      </c>
      <c r="P134" s="400"/>
      <c r="Q134" s="400"/>
      <c r="R134" s="1"/>
      <c r="S134" s="321">
        <f t="shared" si="5"/>
        <v>0</v>
      </c>
      <c r="T134" s="400"/>
      <c r="U134" s="400"/>
      <c r="W134" s="321">
        <f t="shared" si="1"/>
        <v>0</v>
      </c>
      <c r="X134" s="400"/>
      <c r="Y134" s="400"/>
      <c r="AA134" s="321">
        <f t="shared" si="2"/>
        <v>0</v>
      </c>
      <c r="AB134" s="400"/>
      <c r="AC134" s="400"/>
      <c r="AE134" s="321">
        <f t="shared" si="3"/>
        <v>0</v>
      </c>
      <c r="AF134" s="400"/>
      <c r="AG134" s="400"/>
      <c r="AI134" s="321">
        <f t="shared" si="4"/>
        <v>0</v>
      </c>
    </row>
    <row r="135" spans="1:35" ht="35.25" customHeight="1">
      <c r="A135" s="397"/>
      <c r="B135" s="398" t="s">
        <v>540</v>
      </c>
      <c r="C135" s="407">
        <v>1.08</v>
      </c>
      <c r="D135" s="400"/>
      <c r="E135" s="400"/>
      <c r="F135" s="321"/>
      <c r="G135" s="321">
        <f t="shared" si="0"/>
        <v>0</v>
      </c>
      <c r="H135" s="400"/>
      <c r="I135" s="400"/>
      <c r="J135" s="401"/>
      <c r="K135" s="321">
        <f t="shared" si="11"/>
        <v>0</v>
      </c>
      <c r="L135" s="400"/>
      <c r="M135" s="400"/>
      <c r="O135" s="321">
        <f t="shared" si="9"/>
        <v>0</v>
      </c>
      <c r="P135" s="400"/>
      <c r="Q135" s="400"/>
      <c r="R135" s="1"/>
      <c r="S135" s="321">
        <f t="shared" si="5"/>
        <v>0</v>
      </c>
      <c r="T135" s="400"/>
      <c r="U135" s="400"/>
      <c r="W135" s="321">
        <f t="shared" si="1"/>
        <v>0</v>
      </c>
      <c r="X135" s="400"/>
      <c r="Y135" s="400"/>
      <c r="AA135" s="321">
        <f t="shared" si="2"/>
        <v>0</v>
      </c>
      <c r="AB135" s="400"/>
      <c r="AC135" s="400"/>
      <c r="AE135" s="321">
        <f t="shared" si="3"/>
        <v>0</v>
      </c>
      <c r="AF135" s="400"/>
      <c r="AG135" s="400"/>
      <c r="AI135" s="321">
        <f t="shared" si="4"/>
        <v>0</v>
      </c>
    </row>
    <row r="136" spans="1:35" ht="35.25" customHeight="1">
      <c r="A136" s="397"/>
      <c r="B136" s="398" t="s">
        <v>541</v>
      </c>
      <c r="C136" s="407">
        <v>0.42</v>
      </c>
      <c r="D136" s="400"/>
      <c r="E136" s="400"/>
      <c r="F136" s="321"/>
      <c r="G136" s="321">
        <f t="shared" si="0"/>
        <v>0</v>
      </c>
      <c r="H136" s="400"/>
      <c r="I136" s="400"/>
      <c r="J136" s="401"/>
      <c r="K136" s="321">
        <f t="shared" si="11"/>
        <v>0</v>
      </c>
      <c r="L136" s="400"/>
      <c r="M136" s="400"/>
      <c r="O136" s="321">
        <f t="shared" si="9"/>
        <v>0</v>
      </c>
      <c r="P136" s="400"/>
      <c r="Q136" s="400"/>
      <c r="R136" s="1"/>
      <c r="S136" s="321">
        <f t="shared" si="5"/>
        <v>0</v>
      </c>
      <c r="T136" s="400"/>
      <c r="U136" s="400"/>
      <c r="W136" s="321">
        <f t="shared" si="1"/>
        <v>0</v>
      </c>
      <c r="X136" s="400"/>
      <c r="Y136" s="400"/>
      <c r="AA136" s="321">
        <f t="shared" si="2"/>
        <v>0</v>
      </c>
      <c r="AB136" s="400"/>
      <c r="AC136" s="400"/>
      <c r="AE136" s="321">
        <f t="shared" si="3"/>
        <v>0</v>
      </c>
      <c r="AF136" s="400"/>
      <c r="AG136" s="400"/>
      <c r="AI136" s="321">
        <f t="shared" si="4"/>
        <v>0</v>
      </c>
    </row>
    <row r="137" spans="1:35" ht="35.25" customHeight="1">
      <c r="A137" s="397"/>
      <c r="B137" s="398" t="s">
        <v>542</v>
      </c>
      <c r="C137" s="407">
        <v>0.47</v>
      </c>
      <c r="D137" s="400"/>
      <c r="E137" s="400"/>
      <c r="F137" s="321"/>
      <c r="G137" s="321">
        <f t="shared" si="0"/>
        <v>0</v>
      </c>
      <c r="H137" s="400"/>
      <c r="I137" s="400"/>
      <c r="J137" s="401"/>
      <c r="K137" s="321">
        <f t="shared" si="11"/>
        <v>0</v>
      </c>
      <c r="L137" s="400"/>
      <c r="M137" s="400"/>
      <c r="O137" s="321">
        <f t="shared" si="9"/>
        <v>0</v>
      </c>
      <c r="P137" s="400"/>
      <c r="Q137" s="400"/>
      <c r="R137" s="1"/>
      <c r="S137" s="321">
        <f t="shared" si="5"/>
        <v>0</v>
      </c>
      <c r="T137" s="400"/>
      <c r="U137" s="400"/>
      <c r="W137" s="321">
        <f t="shared" si="1"/>
        <v>0</v>
      </c>
      <c r="X137" s="400"/>
      <c r="Y137" s="400"/>
      <c r="AA137" s="321">
        <f t="shared" si="2"/>
        <v>0</v>
      </c>
      <c r="AB137" s="400"/>
      <c r="AC137" s="400"/>
      <c r="AE137" s="321">
        <f t="shared" si="3"/>
        <v>0</v>
      </c>
      <c r="AF137" s="400"/>
      <c r="AG137" s="400"/>
      <c r="AI137" s="321">
        <f t="shared" si="4"/>
        <v>0</v>
      </c>
    </row>
    <row r="138" spans="1:35" ht="35.25" customHeight="1">
      <c r="A138" s="397"/>
      <c r="B138" s="398" t="s">
        <v>543</v>
      </c>
      <c r="C138" s="407">
        <v>0.57999999999999996</v>
      </c>
      <c r="D138" s="400"/>
      <c r="E138" s="400"/>
      <c r="F138" s="321"/>
      <c r="G138" s="321">
        <f t="shared" si="0"/>
        <v>0</v>
      </c>
      <c r="H138" s="400"/>
      <c r="I138" s="400"/>
      <c r="J138" s="401"/>
      <c r="K138" s="321">
        <f t="shared" si="11"/>
        <v>0</v>
      </c>
      <c r="L138" s="400"/>
      <c r="M138" s="400"/>
      <c r="O138" s="321">
        <f t="shared" si="9"/>
        <v>0</v>
      </c>
      <c r="P138" s="400"/>
      <c r="Q138" s="400"/>
      <c r="R138" s="1"/>
      <c r="S138" s="321">
        <f t="shared" si="5"/>
        <v>0</v>
      </c>
      <c r="T138" s="400"/>
      <c r="U138" s="400"/>
      <c r="W138" s="321">
        <f t="shared" si="1"/>
        <v>0</v>
      </c>
      <c r="X138" s="400"/>
      <c r="Y138" s="400"/>
      <c r="AA138" s="321">
        <f t="shared" si="2"/>
        <v>0</v>
      </c>
      <c r="AB138" s="400"/>
      <c r="AC138" s="400"/>
      <c r="AE138" s="321">
        <f t="shared" si="3"/>
        <v>0</v>
      </c>
      <c r="AF138" s="400"/>
      <c r="AG138" s="400"/>
      <c r="AI138" s="321">
        <f t="shared" si="4"/>
        <v>0</v>
      </c>
    </row>
    <row r="139" spans="1:35" ht="15.75">
      <c r="A139" s="321">
        <v>10</v>
      </c>
      <c r="B139" s="408" t="s">
        <v>248</v>
      </c>
      <c r="C139" s="407"/>
      <c r="D139" s="400"/>
      <c r="E139" s="400"/>
      <c r="F139" s="321"/>
      <c r="G139" s="321">
        <f t="shared" si="0"/>
        <v>0</v>
      </c>
      <c r="H139" s="400"/>
      <c r="I139" s="400"/>
      <c r="J139" s="401"/>
      <c r="K139" s="321">
        <f t="shared" si="11"/>
        <v>0</v>
      </c>
      <c r="L139" s="400"/>
      <c r="M139" s="400"/>
      <c r="O139" s="321">
        <f t="shared" si="9"/>
        <v>0</v>
      </c>
      <c r="P139" s="400"/>
      <c r="Q139" s="400"/>
      <c r="R139" s="1"/>
      <c r="S139" s="321">
        <f t="shared" si="5"/>
        <v>0</v>
      </c>
      <c r="T139" s="400"/>
      <c r="U139" s="400"/>
      <c r="W139" s="321">
        <f t="shared" si="1"/>
        <v>0</v>
      </c>
      <c r="X139" s="400"/>
      <c r="Y139" s="400"/>
      <c r="AA139" s="321">
        <f t="shared" si="2"/>
        <v>0</v>
      </c>
      <c r="AB139" s="400"/>
      <c r="AC139" s="400"/>
      <c r="AE139" s="321">
        <f t="shared" si="3"/>
        <v>0</v>
      </c>
      <c r="AF139" s="400"/>
      <c r="AG139" s="400"/>
      <c r="AI139" s="321">
        <f t="shared" si="4"/>
        <v>0</v>
      </c>
    </row>
    <row r="140" spans="1:35" ht="15.75">
      <c r="A140" s="397"/>
      <c r="B140" s="398" t="s">
        <v>415</v>
      </c>
      <c r="C140" s="407">
        <v>0.18</v>
      </c>
      <c r="D140" s="399">
        <f>MAX(C140:C143)</f>
        <v>0.36</v>
      </c>
      <c r="E140" s="400">
        <f>MIN(C140:C143)</f>
        <v>0.18</v>
      </c>
      <c r="F140" s="321"/>
      <c r="G140" s="321">
        <f t="shared" si="0"/>
        <v>0</v>
      </c>
      <c r="H140" s="399">
        <f>MAX(C140:C143)</f>
        <v>0.36</v>
      </c>
      <c r="I140" s="400">
        <f>MIN(C140:C143)</f>
        <v>0.18</v>
      </c>
      <c r="J140" s="401"/>
      <c r="K140" s="321">
        <f t="shared" si="11"/>
        <v>6.4800000000000003E-4</v>
      </c>
      <c r="L140" s="399">
        <v>0.36</v>
      </c>
      <c r="M140" s="400">
        <v>0.18</v>
      </c>
      <c r="O140" s="321">
        <f t="shared" si="9"/>
        <v>0</v>
      </c>
      <c r="P140" s="399">
        <v>0.36</v>
      </c>
      <c r="Q140" s="400">
        <v>0.18</v>
      </c>
      <c r="R140" s="1"/>
      <c r="S140" s="321">
        <f t="shared" si="5"/>
        <v>6.4800000000000003E-4</v>
      </c>
      <c r="T140" s="399">
        <v>0.36</v>
      </c>
      <c r="U140" s="400">
        <v>0.18</v>
      </c>
      <c r="W140" s="321">
        <f t="shared" si="1"/>
        <v>0</v>
      </c>
      <c r="X140" s="399">
        <v>0.36</v>
      </c>
      <c r="Y140" s="400">
        <v>0.18</v>
      </c>
      <c r="AA140" s="321">
        <f t="shared" si="2"/>
        <v>0</v>
      </c>
      <c r="AB140" s="399">
        <v>0.36</v>
      </c>
      <c r="AC140" s="400">
        <v>0.18</v>
      </c>
      <c r="AE140" s="321">
        <f t="shared" si="3"/>
        <v>0</v>
      </c>
      <c r="AF140" s="399">
        <f>MAX(C140:C143)</f>
        <v>0.36</v>
      </c>
      <c r="AG140" s="400">
        <f>MIN(C140:C143)</f>
        <v>0.18</v>
      </c>
      <c r="AI140" s="321">
        <f t="shared" si="4"/>
        <v>0</v>
      </c>
    </row>
    <row r="141" spans="1:35" ht="15.75">
      <c r="A141" s="397"/>
      <c r="B141" s="398" t="s">
        <v>416</v>
      </c>
      <c r="C141" s="407">
        <v>0.21</v>
      </c>
      <c r="D141" s="400"/>
      <c r="E141" s="400"/>
      <c r="F141" s="321"/>
      <c r="G141" s="321">
        <f t="shared" si="0"/>
        <v>0</v>
      </c>
      <c r="H141" s="400"/>
      <c r="I141" s="400"/>
      <c r="J141" s="401"/>
      <c r="K141" s="321">
        <f t="shared" si="11"/>
        <v>0</v>
      </c>
      <c r="L141" s="400"/>
      <c r="M141" s="400"/>
      <c r="O141" s="321">
        <f t="shared" si="9"/>
        <v>0</v>
      </c>
      <c r="P141" s="400"/>
      <c r="Q141" s="400"/>
      <c r="R141" s="1"/>
      <c r="S141" s="321">
        <f t="shared" si="5"/>
        <v>0</v>
      </c>
      <c r="T141" s="400"/>
      <c r="U141" s="400"/>
      <c r="W141" s="321">
        <f t="shared" si="1"/>
        <v>0</v>
      </c>
      <c r="X141" s="400"/>
      <c r="Y141" s="400"/>
      <c r="AA141" s="321">
        <f t="shared" si="2"/>
        <v>0</v>
      </c>
      <c r="AB141" s="400"/>
      <c r="AC141" s="400"/>
      <c r="AE141" s="321">
        <f t="shared" si="3"/>
        <v>0</v>
      </c>
      <c r="AF141" s="400"/>
      <c r="AG141" s="400"/>
      <c r="AI141" s="321">
        <f t="shared" si="4"/>
        <v>0</v>
      </c>
    </row>
    <row r="142" spans="1:35" ht="15.75">
      <c r="A142" s="397"/>
      <c r="B142" s="398" t="s">
        <v>417</v>
      </c>
      <c r="C142" s="407">
        <v>0.32</v>
      </c>
      <c r="D142" s="400"/>
      <c r="E142" s="400"/>
      <c r="F142" s="321"/>
      <c r="G142" s="321">
        <f t="shared" si="0"/>
        <v>0</v>
      </c>
      <c r="H142" s="400"/>
      <c r="I142" s="400"/>
      <c r="J142" s="401"/>
      <c r="K142" s="321">
        <f t="shared" si="11"/>
        <v>0</v>
      </c>
      <c r="L142" s="400"/>
      <c r="M142" s="400"/>
      <c r="O142" s="321">
        <f t="shared" si="9"/>
        <v>0</v>
      </c>
      <c r="P142" s="400"/>
      <c r="Q142" s="400"/>
      <c r="R142" s="1"/>
      <c r="S142" s="321">
        <f t="shared" si="5"/>
        <v>0</v>
      </c>
      <c r="T142" s="400"/>
      <c r="U142" s="400"/>
      <c r="W142" s="321">
        <f t="shared" si="1"/>
        <v>0</v>
      </c>
      <c r="X142" s="400"/>
      <c r="Y142" s="400"/>
      <c r="AA142" s="321">
        <f t="shared" si="2"/>
        <v>0</v>
      </c>
      <c r="AB142" s="400"/>
      <c r="AC142" s="400"/>
      <c r="AE142" s="321">
        <f t="shared" si="3"/>
        <v>0</v>
      </c>
      <c r="AF142" s="400"/>
      <c r="AG142" s="400"/>
      <c r="AI142" s="321">
        <f t="shared" si="4"/>
        <v>0</v>
      </c>
    </row>
    <row r="143" spans="1:35" ht="15.75">
      <c r="A143" s="397"/>
      <c r="B143" s="398" t="s">
        <v>418</v>
      </c>
      <c r="C143" s="407">
        <v>0.36</v>
      </c>
      <c r="D143" s="400"/>
      <c r="E143" s="400"/>
      <c r="F143" s="321"/>
      <c r="G143" s="321">
        <f t="shared" si="0"/>
        <v>0</v>
      </c>
      <c r="H143" s="400"/>
      <c r="I143" s="400"/>
      <c r="J143" s="401"/>
      <c r="K143" s="321">
        <f t="shared" ref="K143:K148" si="12">$C143*H143/100</f>
        <v>0</v>
      </c>
      <c r="L143" s="400"/>
      <c r="M143" s="400"/>
      <c r="O143" s="321">
        <f t="shared" ref="O143:O148" si="13">$C143*N143/100</f>
        <v>0</v>
      </c>
      <c r="P143" s="400"/>
      <c r="Q143" s="400"/>
      <c r="R143" s="1"/>
      <c r="S143" s="321">
        <f t="shared" si="5"/>
        <v>0</v>
      </c>
      <c r="T143" s="400"/>
      <c r="U143" s="400"/>
      <c r="W143" s="321">
        <f t="shared" si="1"/>
        <v>0</v>
      </c>
      <c r="X143" s="400"/>
      <c r="Y143" s="400"/>
      <c r="AA143" s="321">
        <f t="shared" si="2"/>
        <v>0</v>
      </c>
      <c r="AB143" s="400"/>
      <c r="AC143" s="400"/>
      <c r="AE143" s="321">
        <f t="shared" si="3"/>
        <v>0</v>
      </c>
      <c r="AF143" s="400"/>
      <c r="AG143" s="400"/>
      <c r="AI143" s="321">
        <f t="shared" si="4"/>
        <v>0</v>
      </c>
    </row>
    <row r="144" spans="1:35" ht="15.75">
      <c r="A144" s="397">
        <v>11</v>
      </c>
      <c r="B144" s="408" t="s">
        <v>419</v>
      </c>
      <c r="C144" s="407"/>
      <c r="D144" s="400"/>
      <c r="E144" s="400"/>
      <c r="F144" s="321"/>
      <c r="G144" s="321">
        <f t="shared" si="0"/>
        <v>0</v>
      </c>
      <c r="H144" s="400"/>
      <c r="I144" s="400"/>
      <c r="J144" s="401"/>
      <c r="K144" s="321">
        <f t="shared" si="12"/>
        <v>0</v>
      </c>
      <c r="L144" s="400"/>
      <c r="M144" s="400"/>
      <c r="O144" s="321">
        <f t="shared" si="13"/>
        <v>0</v>
      </c>
      <c r="P144" s="400"/>
      <c r="Q144" s="400"/>
      <c r="R144" s="1"/>
      <c r="S144" s="321">
        <f t="shared" si="5"/>
        <v>0</v>
      </c>
      <c r="T144" s="400"/>
      <c r="U144" s="400"/>
      <c r="W144" s="321">
        <f t="shared" si="1"/>
        <v>0</v>
      </c>
      <c r="X144" s="400"/>
      <c r="Y144" s="400"/>
      <c r="AA144" s="321">
        <f t="shared" si="2"/>
        <v>0</v>
      </c>
      <c r="AB144" s="400"/>
      <c r="AC144" s="400"/>
      <c r="AE144" s="321">
        <f t="shared" si="3"/>
        <v>0</v>
      </c>
      <c r="AF144" s="400"/>
      <c r="AG144" s="400"/>
      <c r="AI144" s="321">
        <f t="shared" si="4"/>
        <v>0</v>
      </c>
    </row>
    <row r="145" spans="1:35" ht="15.75">
      <c r="A145" s="397"/>
      <c r="B145" s="398" t="s">
        <v>420</v>
      </c>
      <c r="C145" s="407">
        <v>1.62</v>
      </c>
      <c r="D145" s="399">
        <f>MAX(C145:C148)</f>
        <v>1.79</v>
      </c>
      <c r="E145" s="400">
        <f>MIN(C145:C148)</f>
        <v>1.62</v>
      </c>
      <c r="F145" s="321"/>
      <c r="G145" s="321">
        <f t="shared" si="0"/>
        <v>0</v>
      </c>
      <c r="H145" s="399">
        <f>MAX(C145:C148)</f>
        <v>1.79</v>
      </c>
      <c r="I145" s="400">
        <f>MIN(C145:C148)</f>
        <v>1.62</v>
      </c>
      <c r="J145" s="401"/>
      <c r="K145" s="321">
        <f t="shared" si="12"/>
        <v>2.8997999999999999E-2</v>
      </c>
      <c r="L145" s="399">
        <v>1.79</v>
      </c>
      <c r="M145" s="400">
        <v>1.62</v>
      </c>
      <c r="O145" s="321">
        <f t="shared" si="13"/>
        <v>0</v>
      </c>
      <c r="P145" s="399">
        <v>1.79</v>
      </c>
      <c r="Q145" s="400">
        <v>1.62</v>
      </c>
      <c r="R145" s="1"/>
      <c r="S145" s="321">
        <f t="shared" si="5"/>
        <v>2.8997999999999999E-2</v>
      </c>
      <c r="T145" s="399">
        <v>1.79</v>
      </c>
      <c r="U145" s="400">
        <v>1.62</v>
      </c>
      <c r="W145" s="321">
        <f t="shared" si="1"/>
        <v>0</v>
      </c>
      <c r="X145" s="399">
        <v>1.79</v>
      </c>
      <c r="Y145" s="400">
        <v>1.62</v>
      </c>
      <c r="AA145" s="321">
        <f t="shared" si="2"/>
        <v>0</v>
      </c>
      <c r="AB145" s="399">
        <v>1.79</v>
      </c>
      <c r="AC145" s="400">
        <v>1.62</v>
      </c>
      <c r="AE145" s="321">
        <f t="shared" si="3"/>
        <v>0</v>
      </c>
      <c r="AF145" s="399">
        <f>MAX(C145:C148)</f>
        <v>1.79</v>
      </c>
      <c r="AG145" s="400">
        <f>MIN(C145:C148)</f>
        <v>1.62</v>
      </c>
      <c r="AI145" s="321">
        <f t="shared" si="4"/>
        <v>0</v>
      </c>
    </row>
    <row r="146" spans="1:35" ht="15.75">
      <c r="A146" s="397"/>
      <c r="B146" s="398" t="s">
        <v>421</v>
      </c>
      <c r="C146" s="407">
        <v>1.7</v>
      </c>
      <c r="D146" s="400"/>
      <c r="E146" s="400"/>
      <c r="F146" s="321"/>
      <c r="G146" s="321">
        <f t="shared" si="0"/>
        <v>0</v>
      </c>
      <c r="H146" s="400"/>
      <c r="I146" s="400"/>
      <c r="J146" s="401"/>
      <c r="K146" s="321">
        <f t="shared" si="12"/>
        <v>0</v>
      </c>
      <c r="L146" s="400"/>
      <c r="M146" s="400"/>
      <c r="O146" s="321">
        <f t="shared" si="13"/>
        <v>0</v>
      </c>
      <c r="P146" s="400"/>
      <c r="Q146" s="400"/>
      <c r="R146" s="1"/>
      <c r="S146" s="321">
        <f t="shared" si="5"/>
        <v>0</v>
      </c>
      <c r="T146" s="400"/>
      <c r="U146" s="400"/>
      <c r="W146" s="321">
        <f t="shared" si="1"/>
        <v>0</v>
      </c>
      <c r="X146" s="400"/>
      <c r="Y146" s="400"/>
      <c r="AA146" s="321">
        <f t="shared" si="2"/>
        <v>0</v>
      </c>
      <c r="AB146" s="400"/>
      <c r="AC146" s="400"/>
      <c r="AE146" s="321">
        <f t="shared" si="3"/>
        <v>0</v>
      </c>
      <c r="AF146" s="400"/>
      <c r="AG146" s="400"/>
      <c r="AI146" s="321">
        <f t="shared" si="4"/>
        <v>0</v>
      </c>
    </row>
    <row r="147" spans="1:35" ht="15.75">
      <c r="A147" s="397"/>
      <c r="B147" s="398" t="s">
        <v>422</v>
      </c>
      <c r="C147" s="407">
        <v>1.73</v>
      </c>
      <c r="D147" s="400"/>
      <c r="E147" s="400"/>
      <c r="F147" s="321"/>
      <c r="G147" s="321">
        <f t="shared" si="0"/>
        <v>0</v>
      </c>
      <c r="H147" s="400"/>
      <c r="I147" s="400"/>
      <c r="J147" s="401"/>
      <c r="K147" s="321">
        <f t="shared" si="12"/>
        <v>0</v>
      </c>
      <c r="L147" s="400"/>
      <c r="M147" s="400"/>
      <c r="O147" s="321">
        <f t="shared" si="13"/>
        <v>0</v>
      </c>
      <c r="P147" s="400"/>
      <c r="Q147" s="400"/>
      <c r="R147" s="1"/>
      <c r="S147" s="321">
        <f t="shared" si="5"/>
        <v>0</v>
      </c>
      <c r="T147" s="400"/>
      <c r="U147" s="400"/>
      <c r="W147" s="321">
        <f t="shared" si="1"/>
        <v>0</v>
      </c>
      <c r="X147" s="400"/>
      <c r="Y147" s="400"/>
      <c r="AA147" s="321">
        <f t="shared" si="2"/>
        <v>0</v>
      </c>
      <c r="AB147" s="400"/>
      <c r="AC147" s="400"/>
      <c r="AE147" s="321">
        <f t="shared" si="3"/>
        <v>0</v>
      </c>
      <c r="AF147" s="400"/>
      <c r="AG147" s="400"/>
      <c r="AI147" s="321">
        <f t="shared" si="4"/>
        <v>0</v>
      </c>
    </row>
    <row r="148" spans="1:35" ht="15.75">
      <c r="A148" s="397"/>
      <c r="B148" s="398" t="s">
        <v>423</v>
      </c>
      <c r="C148" s="407">
        <v>1.79</v>
      </c>
      <c r="D148" s="400"/>
      <c r="E148" s="400"/>
      <c r="F148" s="321"/>
      <c r="G148" s="321">
        <f t="shared" si="0"/>
        <v>0</v>
      </c>
      <c r="H148" s="400"/>
      <c r="I148" s="400"/>
      <c r="J148" s="401"/>
      <c r="K148" s="321">
        <f t="shared" si="12"/>
        <v>0</v>
      </c>
      <c r="L148" s="400"/>
      <c r="M148" s="400"/>
      <c r="O148" s="321">
        <f t="shared" si="13"/>
        <v>0</v>
      </c>
      <c r="P148" s="400"/>
      <c r="Q148" s="400"/>
      <c r="R148" s="1"/>
      <c r="S148" s="321">
        <f t="shared" si="5"/>
        <v>0</v>
      </c>
      <c r="T148" s="400"/>
      <c r="U148" s="400"/>
      <c r="W148" s="321">
        <f t="shared" si="1"/>
        <v>0</v>
      </c>
      <c r="X148" s="400"/>
      <c r="Y148" s="400"/>
      <c r="AA148" s="321">
        <f t="shared" si="2"/>
        <v>0</v>
      </c>
      <c r="AB148" s="400"/>
      <c r="AC148" s="400"/>
      <c r="AE148" s="321">
        <f t="shared" si="3"/>
        <v>0</v>
      </c>
      <c r="AF148" s="400"/>
      <c r="AG148" s="400"/>
      <c r="AI148" s="321">
        <f t="shared" si="4"/>
        <v>0</v>
      </c>
    </row>
    <row r="149" spans="1:35" ht="15.75">
      <c r="A149" s="397"/>
      <c r="B149" s="398"/>
      <c r="C149" s="407"/>
      <c r="D149" s="400"/>
      <c r="E149" s="400"/>
      <c r="F149" s="321"/>
      <c r="G149" s="321"/>
      <c r="H149" s="400"/>
      <c r="I149" s="400"/>
      <c r="J149" s="412"/>
      <c r="K149" s="321"/>
      <c r="L149" s="400"/>
      <c r="M149" s="400"/>
      <c r="O149" s="321"/>
      <c r="P149" s="400"/>
      <c r="Q149" s="400"/>
      <c r="S149" s="321"/>
      <c r="T149" s="400"/>
      <c r="U149" s="400"/>
      <c r="W149" s="321"/>
      <c r="X149" s="400"/>
      <c r="Y149" s="400"/>
      <c r="AA149" s="321"/>
      <c r="AB149" s="400"/>
      <c r="AC149" s="400"/>
      <c r="AE149" s="321"/>
      <c r="AF149" s="400"/>
      <c r="AG149" s="400"/>
      <c r="AI149" s="321"/>
    </row>
    <row r="150" spans="1:35" ht="15.75">
      <c r="A150" s="321"/>
      <c r="B150" s="413" t="s">
        <v>254</v>
      </c>
      <c r="C150" s="414">
        <f>ROUND(SUM(C5:C148),2)</f>
        <v>210.5</v>
      </c>
      <c r="D150" s="414">
        <f t="shared" ref="D150:AI150" si="14">ROUND(SUM(D5:D148),2)</f>
        <v>50.38</v>
      </c>
      <c r="E150" s="414">
        <f t="shared" si="14"/>
        <v>9.27</v>
      </c>
      <c r="F150" s="414">
        <f t="shared" si="14"/>
        <v>0</v>
      </c>
      <c r="G150" s="414">
        <f t="shared" si="14"/>
        <v>0</v>
      </c>
      <c r="H150" s="414">
        <f t="shared" si="14"/>
        <v>50.38</v>
      </c>
      <c r="I150" s="414">
        <f t="shared" si="14"/>
        <v>9.27</v>
      </c>
      <c r="J150" s="414"/>
      <c r="K150" s="414">
        <f t="shared" si="14"/>
        <v>0.94</v>
      </c>
      <c r="L150" s="414">
        <f t="shared" si="14"/>
        <v>50.38</v>
      </c>
      <c r="M150" s="414">
        <f t="shared" si="14"/>
        <v>9.27</v>
      </c>
      <c r="N150" s="414"/>
      <c r="O150" s="414">
        <f t="shared" si="14"/>
        <v>22.91</v>
      </c>
      <c r="P150" s="414">
        <f t="shared" si="14"/>
        <v>50.38</v>
      </c>
      <c r="Q150" s="414">
        <f t="shared" si="14"/>
        <v>9.27</v>
      </c>
      <c r="R150" s="414"/>
      <c r="S150" s="414">
        <f t="shared" si="14"/>
        <v>0.94</v>
      </c>
      <c r="T150" s="414">
        <f t="shared" si="14"/>
        <v>50.38</v>
      </c>
      <c r="U150" s="414">
        <f t="shared" si="14"/>
        <v>9.27</v>
      </c>
      <c r="V150" s="414">
        <f t="shared" si="14"/>
        <v>0</v>
      </c>
      <c r="W150" s="414">
        <f t="shared" si="14"/>
        <v>0</v>
      </c>
      <c r="X150" s="414">
        <f t="shared" si="14"/>
        <v>50.38</v>
      </c>
      <c r="Y150" s="414">
        <f t="shared" si="14"/>
        <v>9.27</v>
      </c>
      <c r="Z150" s="414">
        <f t="shared" si="14"/>
        <v>0</v>
      </c>
      <c r="AA150" s="414">
        <f t="shared" si="14"/>
        <v>0</v>
      </c>
      <c r="AB150" s="414">
        <f t="shared" si="14"/>
        <v>50.38</v>
      </c>
      <c r="AC150" s="414">
        <f t="shared" si="14"/>
        <v>9.27</v>
      </c>
      <c r="AD150" s="414">
        <f t="shared" si="14"/>
        <v>0</v>
      </c>
      <c r="AE150" s="414">
        <f t="shared" si="14"/>
        <v>0</v>
      </c>
      <c r="AF150" s="414">
        <f t="shared" si="14"/>
        <v>50.38</v>
      </c>
      <c r="AG150" s="414">
        <f t="shared" si="14"/>
        <v>9.27</v>
      </c>
      <c r="AH150" s="414">
        <f t="shared" si="14"/>
        <v>0</v>
      </c>
      <c r="AI150" s="414">
        <f t="shared" si="14"/>
        <v>0</v>
      </c>
    </row>
    <row r="151" spans="1:35" ht="31.5">
      <c r="A151" s="321"/>
      <c r="B151" s="413" t="s">
        <v>255</v>
      </c>
      <c r="C151" s="415"/>
      <c r="D151" s="416">
        <f>IF(D150&gt;0,(1160.27*D150+968.39),0)</f>
        <v>59422.792600000001</v>
      </c>
      <c r="E151" s="416">
        <f>IF(E150&gt;0,(1160.27*E150+968.39),0)</f>
        <v>11724.0929</v>
      </c>
      <c r="F151" s="415">
        <f>IF(F150&gt;0,(1160.27*F150+968.39),0)</f>
        <v>0</v>
      </c>
      <c r="G151" s="415">
        <f>IF(G150&gt;0,(1160.27*G150+968.39),0)</f>
        <v>0</v>
      </c>
      <c r="H151" s="416">
        <f>IF(H150&gt;0,(337.42*H150+216.77),0)</f>
        <v>17215.989600000001</v>
      </c>
      <c r="I151" s="416">
        <f>IF(I150&gt;0,(337.42*I150+216.77),0)</f>
        <v>3344.6534000000001</v>
      </c>
      <c r="J151" s="415"/>
      <c r="K151" s="415">
        <f>IF(K150&gt;0,(337.42*K150+216.77),0)</f>
        <v>533.94479999999999</v>
      </c>
      <c r="L151" s="416">
        <f>IF(L150&gt;0,(31.6*L150+193.28),0)</f>
        <v>1785.288</v>
      </c>
      <c r="M151" s="416">
        <f>IF(M150&gt;0,(31.6*M150+193.28),0)</f>
        <v>486.21199999999999</v>
      </c>
      <c r="N151" s="415"/>
      <c r="O151" s="415">
        <f>IF(O150&gt;0,(31.6*O150+193.28),0)</f>
        <v>917.23599999999999</v>
      </c>
      <c r="P151" s="416">
        <f>IF(P150&gt;0,(28.04*P150+165.66),0)</f>
        <v>1578.3152</v>
      </c>
      <c r="Q151" s="416">
        <f>IF(Q150&gt;0,(28.04*Q150+165.66),0)</f>
        <v>425.5908</v>
      </c>
      <c r="R151" s="415"/>
      <c r="S151" s="415">
        <f>IF(S150&gt;0,(28.04*S150+165.66),0)</f>
        <v>192.01759999999999</v>
      </c>
      <c r="T151" s="416">
        <f>IF(T150&gt;0,(24.45*T150+133.06),0)</f>
        <v>1364.8510000000001</v>
      </c>
      <c r="U151" s="416">
        <f>IF(U150&gt;0,(24.45*U150+133.06),0)</f>
        <v>359.7115</v>
      </c>
      <c r="V151" s="415"/>
      <c r="W151" s="415">
        <f>IF(W150&gt;0,(24.45*W150+133.06),0)</f>
        <v>0</v>
      </c>
      <c r="X151" s="416">
        <f>IF(X150&gt;0,(23.49*X150+114.15),0)</f>
        <v>1297.5762</v>
      </c>
      <c r="Y151" s="416">
        <f>IF(Y150&gt;0,(23.49*Y150+114.15),0)</f>
        <v>331.90230000000003</v>
      </c>
      <c r="Z151" s="415"/>
      <c r="AA151" s="415">
        <f>IF(AA150&gt;0,(23.49*AA150+114.15),0)</f>
        <v>0</v>
      </c>
      <c r="AB151" s="416">
        <f>IF(AB150&gt;0,(21.1*AB150+115.36),0)</f>
        <v>1178.3779999999999</v>
      </c>
      <c r="AC151" s="416">
        <f>IF(AC150&gt;0,(21.1*AC150+115.36),0)</f>
        <v>310.95699999999999</v>
      </c>
      <c r="AD151" s="415"/>
      <c r="AE151" s="415">
        <f>IF(AE150&gt;0,(21.1*AE150+155.36),0)</f>
        <v>0</v>
      </c>
      <c r="AF151" s="416">
        <f>IF(AF150&gt;0,(20.3*AF150+105.08),0)</f>
        <v>1127.7940000000001</v>
      </c>
      <c r="AG151" s="416">
        <f>IF(AG150&gt;0,(20.3*AG150+105.08),0)</f>
        <v>293.26100000000002</v>
      </c>
      <c r="AH151" s="415"/>
      <c r="AI151" s="415">
        <f>IF(AI150&gt;0,(20.3*AI150+105.08),0)</f>
        <v>0</v>
      </c>
    </row>
    <row r="152" spans="1:35" ht="15.75">
      <c r="A152" s="321"/>
      <c r="B152" s="413" t="s">
        <v>256</v>
      </c>
      <c r="C152" s="415"/>
      <c r="D152" s="394"/>
      <c r="E152" s="394"/>
      <c r="F152" s="415"/>
      <c r="G152" s="415"/>
      <c r="H152" s="415"/>
      <c r="I152" s="415"/>
      <c r="J152" s="415"/>
      <c r="K152" s="415"/>
      <c r="L152" s="415"/>
      <c r="M152" s="415"/>
      <c r="N152" s="415"/>
      <c r="O152" s="415"/>
      <c r="P152" s="415"/>
      <c r="Q152" s="415"/>
      <c r="R152" s="415"/>
      <c r="S152" s="415"/>
      <c r="T152" s="415"/>
      <c r="U152" s="415"/>
      <c r="V152" s="415"/>
      <c r="W152" s="415"/>
      <c r="X152" s="415"/>
      <c r="Y152" s="415"/>
      <c r="Z152" s="415"/>
      <c r="AA152" s="415"/>
      <c r="AB152" s="415"/>
      <c r="AC152" s="415"/>
      <c r="AD152" s="415"/>
      <c r="AE152" s="415"/>
      <c r="AF152" s="415"/>
      <c r="AG152" s="415"/>
      <c r="AH152" s="415"/>
      <c r="AI152" s="415"/>
    </row>
    <row r="153" spans="1:35" ht="31.5">
      <c r="A153" s="321"/>
      <c r="B153" s="413" t="s">
        <v>255</v>
      </c>
      <c r="C153" s="415"/>
      <c r="D153" s="394"/>
      <c r="E153" s="394"/>
      <c r="F153" s="415"/>
      <c r="G153" s="415">
        <f>(1-F152%)*G151</f>
        <v>0</v>
      </c>
      <c r="H153" s="415">
        <f>(1-G152%)*H151</f>
        <v>17215.989600000001</v>
      </c>
      <c r="I153" s="415"/>
      <c r="J153" s="415"/>
      <c r="K153" s="415">
        <f>(1-H152%)*K151</f>
        <v>533.94479999999999</v>
      </c>
      <c r="L153" s="415">
        <f>(1-K152%)*L151</f>
        <v>1785.288</v>
      </c>
      <c r="M153" s="415"/>
      <c r="N153" s="415"/>
      <c r="O153" s="416">
        <f>(1-L152%)*O151</f>
        <v>917.23599999999999</v>
      </c>
      <c r="P153" s="415">
        <f>(1-O152%)*P151</f>
        <v>1578.3152</v>
      </c>
      <c r="Q153" s="415"/>
      <c r="R153" s="415"/>
      <c r="S153" s="415">
        <f>(1-P152%)*S151</f>
        <v>192.01759999999999</v>
      </c>
      <c r="T153" s="415"/>
      <c r="U153" s="415"/>
      <c r="V153" s="415">
        <f>(1-S152%)*V151</f>
        <v>0</v>
      </c>
      <c r="W153" s="415">
        <f>(1-V152%)*W151</f>
        <v>0</v>
      </c>
      <c r="X153" s="415"/>
      <c r="Y153" s="415"/>
      <c r="Z153" s="415">
        <f>(1-W152%)*Z151</f>
        <v>0</v>
      </c>
      <c r="AA153" s="415">
        <f>(1-Z152%)*AA151</f>
        <v>0</v>
      </c>
      <c r="AB153" s="415"/>
      <c r="AC153" s="415"/>
      <c r="AD153" s="415">
        <f>(1-AA152%)*AD151</f>
        <v>0</v>
      </c>
      <c r="AE153" s="415">
        <f>(1-AD152%)*AE151</f>
        <v>0</v>
      </c>
      <c r="AF153" s="415"/>
      <c r="AG153" s="415"/>
      <c r="AH153" s="415">
        <f>(1-AE152%)*AH151</f>
        <v>0</v>
      </c>
      <c r="AI153" s="415">
        <f>(1-AH152%)*AI151</f>
        <v>0</v>
      </c>
    </row>
    <row r="154" spans="1:35" ht="15.75">
      <c r="A154" s="321"/>
      <c r="B154" s="413" t="s">
        <v>257</v>
      </c>
      <c r="C154" s="415"/>
      <c r="D154" s="394"/>
      <c r="E154" s="394"/>
      <c r="F154" s="415"/>
      <c r="G154" s="415"/>
      <c r="H154" s="415"/>
      <c r="I154" s="415"/>
      <c r="J154" s="415"/>
      <c r="K154" s="415"/>
      <c r="L154" s="415"/>
      <c r="M154" s="415"/>
      <c r="N154" s="415"/>
      <c r="O154" s="417" t="e">
        <f>#REF!</f>
        <v>#REF!</v>
      </c>
      <c r="P154" s="415"/>
      <c r="Q154" s="415"/>
      <c r="R154" s="415"/>
      <c r="S154" s="415"/>
      <c r="T154" s="415"/>
      <c r="U154" s="415"/>
      <c r="V154" s="415"/>
      <c r="W154" s="415"/>
      <c r="X154" s="415"/>
      <c r="Y154" s="415"/>
      <c r="Z154" s="415"/>
      <c r="AA154" s="415"/>
      <c r="AB154" s="415"/>
      <c r="AC154" s="415"/>
      <c r="AD154" s="415"/>
      <c r="AE154" s="415"/>
      <c r="AF154" s="415"/>
      <c r="AG154" s="415"/>
      <c r="AH154" s="415"/>
      <c r="AI154" s="415"/>
    </row>
    <row r="155" spans="1:35">
      <c r="A155" s="321"/>
      <c r="B155" s="415" t="s">
        <v>258</v>
      </c>
      <c r="C155" s="415"/>
      <c r="D155" s="394"/>
      <c r="E155" s="394"/>
      <c r="F155" s="415"/>
      <c r="G155" s="415">
        <f>G153*G154</f>
        <v>0</v>
      </c>
      <c r="H155" s="415">
        <f t="shared" ref="H155:AI155" si="15">H153*H154</f>
        <v>0</v>
      </c>
      <c r="I155" s="415"/>
      <c r="J155" s="415"/>
      <c r="K155" s="415">
        <f t="shared" si="15"/>
        <v>0</v>
      </c>
      <c r="L155" s="415">
        <f t="shared" si="15"/>
        <v>0</v>
      </c>
      <c r="M155" s="415"/>
      <c r="N155" s="415"/>
      <c r="O155" s="416" t="e">
        <f t="shared" si="15"/>
        <v>#REF!</v>
      </c>
      <c r="P155" s="415">
        <f t="shared" si="15"/>
        <v>0</v>
      </c>
      <c r="Q155" s="415"/>
      <c r="R155" s="415"/>
      <c r="S155" s="415">
        <f t="shared" si="15"/>
        <v>0</v>
      </c>
      <c r="T155" s="415"/>
      <c r="U155" s="415"/>
      <c r="V155" s="415">
        <f t="shared" si="15"/>
        <v>0</v>
      </c>
      <c r="W155" s="415">
        <f t="shared" si="15"/>
        <v>0</v>
      </c>
      <c r="X155" s="415"/>
      <c r="Y155" s="415"/>
      <c r="Z155" s="415">
        <f t="shared" si="15"/>
        <v>0</v>
      </c>
      <c r="AA155" s="415">
        <f t="shared" si="15"/>
        <v>0</v>
      </c>
      <c r="AB155" s="415"/>
      <c r="AC155" s="415"/>
      <c r="AD155" s="415">
        <f t="shared" si="15"/>
        <v>0</v>
      </c>
      <c r="AE155" s="415">
        <f t="shared" si="15"/>
        <v>0</v>
      </c>
      <c r="AF155" s="415"/>
      <c r="AG155" s="415"/>
      <c r="AH155" s="415">
        <f t="shared" si="15"/>
        <v>0</v>
      </c>
      <c r="AI155" s="415">
        <f t="shared" si="15"/>
        <v>0</v>
      </c>
    </row>
    <row r="156" spans="1:35" ht="15.75">
      <c r="B156" s="418" t="s">
        <v>490</v>
      </c>
      <c r="C156" s="142" t="e">
        <f>G155+K155+O155+S155+W155+AA155+AE155+AI155</f>
        <v>#REF!</v>
      </c>
    </row>
    <row r="157" spans="1:35">
      <c r="N157">
        <f>3738+1618</f>
        <v>5356</v>
      </c>
      <c r="O157" s="91" t="e">
        <f>N158*O154</f>
        <v>#REF!</v>
      </c>
      <c r="R157">
        <f>3374+1123</f>
        <v>4497</v>
      </c>
    </row>
    <row r="158" spans="1:35">
      <c r="N158" s="142">
        <f>N157/2</f>
        <v>2678</v>
      </c>
      <c r="O158" s="91" t="e">
        <f>O154*R158</f>
        <v>#REF!</v>
      </c>
      <c r="R158">
        <f>R157/2</f>
        <v>2248.5</v>
      </c>
    </row>
    <row r="160" spans="1:35">
      <c r="F160">
        <f>3374+1123</f>
        <v>4497</v>
      </c>
    </row>
    <row r="161" spans="6:7">
      <c r="F161">
        <f>F160/2</f>
        <v>2248.5</v>
      </c>
      <c r="G161" s="91" t="e">
        <f>F161*O154</f>
        <v>#REF!</v>
      </c>
    </row>
  </sheetData>
  <mergeCells count="23">
    <mergeCell ref="B2:AI2"/>
    <mergeCell ref="C6:C7"/>
    <mergeCell ref="C8:C13"/>
    <mergeCell ref="F6:F7"/>
    <mergeCell ref="F8:F13"/>
    <mergeCell ref="G6:G7"/>
    <mergeCell ref="G8:G13"/>
    <mergeCell ref="K6:K7"/>
    <mergeCell ref="K8:K13"/>
    <mergeCell ref="N6:N7"/>
    <mergeCell ref="N8:N13"/>
    <mergeCell ref="O6:O7"/>
    <mergeCell ref="O8:O13"/>
    <mergeCell ref="S6:S7"/>
    <mergeCell ref="S8:S13"/>
    <mergeCell ref="W6:W7"/>
    <mergeCell ref="AI6:AI7"/>
    <mergeCell ref="AI8:AI13"/>
    <mergeCell ref="W8:W13"/>
    <mergeCell ref="AA6:AA7"/>
    <mergeCell ref="AA8:AA13"/>
    <mergeCell ref="AE6:AE7"/>
    <mergeCell ref="AE8:AE13"/>
  </mergeCells>
  <pageMargins left="0.7" right="0.7" top="0.75" bottom="0.75" header="0.3" footer="0.3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AF57"/>
  <sheetViews>
    <sheetView topLeftCell="A4" workbookViewId="0">
      <selection activeCell="L11" sqref="L11"/>
    </sheetView>
  </sheetViews>
  <sheetFormatPr defaultColWidth="9" defaultRowHeight="15"/>
  <cols>
    <col min="4" max="5" width="9.7109375" customWidth="1"/>
    <col min="7" max="7" width="11.28515625" customWidth="1"/>
    <col min="9" max="9" width="10" customWidth="1"/>
  </cols>
  <sheetData>
    <row r="1" spans="2:8">
      <c r="B1" t="s">
        <v>544</v>
      </c>
      <c r="D1" t="s">
        <v>545</v>
      </c>
    </row>
    <row r="2" spans="2:8">
      <c r="B2">
        <v>1</v>
      </c>
      <c r="D2" s="383" t="s">
        <v>546</v>
      </c>
      <c r="E2" s="383"/>
    </row>
    <row r="3" spans="2:8">
      <c r="B3">
        <v>2</v>
      </c>
      <c r="D3" s="384" t="s">
        <v>547</v>
      </c>
      <c r="E3" s="384"/>
    </row>
    <row r="4" spans="2:8">
      <c r="B4">
        <v>3</v>
      </c>
      <c r="D4" s="384" t="s">
        <v>548</v>
      </c>
      <c r="E4" s="384"/>
    </row>
    <row r="5" spans="2:8">
      <c r="B5">
        <v>4</v>
      </c>
      <c r="D5" s="384" t="s">
        <v>549</v>
      </c>
      <c r="E5" s="384"/>
    </row>
    <row r="6" spans="2:8">
      <c r="B6">
        <v>5</v>
      </c>
      <c r="D6" s="384" t="s">
        <v>550</v>
      </c>
      <c r="E6" s="384"/>
    </row>
    <row r="7" spans="2:8">
      <c r="B7">
        <v>6</v>
      </c>
      <c r="D7" s="384" t="s">
        <v>551</v>
      </c>
      <c r="E7" s="384"/>
    </row>
    <row r="8" spans="2:8">
      <c r="B8">
        <v>7</v>
      </c>
      <c r="D8" s="384" t="s">
        <v>552</v>
      </c>
      <c r="E8" s="384"/>
    </row>
    <row r="9" spans="2:8">
      <c r="B9">
        <v>8</v>
      </c>
      <c r="D9" s="384" t="s">
        <v>553</v>
      </c>
      <c r="E9" s="384"/>
    </row>
    <row r="10" spans="2:8">
      <c r="B10">
        <v>9</v>
      </c>
      <c r="D10" s="384" t="s">
        <v>554</v>
      </c>
      <c r="E10" s="384"/>
    </row>
    <row r="11" spans="2:8">
      <c r="B11">
        <v>10</v>
      </c>
      <c r="D11" s="384" t="s">
        <v>555</v>
      </c>
      <c r="E11" s="384"/>
    </row>
    <row r="12" spans="2:8">
      <c r="B12">
        <v>11</v>
      </c>
      <c r="D12" s="384" t="s">
        <v>556</v>
      </c>
      <c r="E12" s="384"/>
    </row>
    <row r="13" spans="2:8">
      <c r="B13">
        <v>12</v>
      </c>
      <c r="D13" s="384" t="s">
        <v>557</v>
      </c>
      <c r="E13" s="384"/>
    </row>
    <row r="14" spans="2:8">
      <c r="B14">
        <v>13</v>
      </c>
      <c r="D14" s="384" t="s">
        <v>558</v>
      </c>
      <c r="E14" s="384"/>
    </row>
    <row r="15" spans="2:8">
      <c r="B15">
        <v>14</v>
      </c>
      <c r="D15" s="384" t="s">
        <v>559</v>
      </c>
      <c r="E15" s="384"/>
      <c r="G15" s="497">
        <v>1000097015264</v>
      </c>
      <c r="H15" s="497"/>
    </row>
    <row r="16" spans="2:8">
      <c r="B16">
        <v>15</v>
      </c>
      <c r="D16" s="384" t="s">
        <v>560</v>
      </c>
      <c r="E16" s="384"/>
      <c r="G16">
        <v>1000059902702</v>
      </c>
      <c r="H16" t="s">
        <v>561</v>
      </c>
    </row>
    <row r="17" spans="2:32">
      <c r="D17" s="384"/>
      <c r="E17" s="384"/>
    </row>
    <row r="18" spans="2:32">
      <c r="B18" s="321"/>
      <c r="C18" s="321"/>
      <c r="D18" s="385" t="s">
        <v>546</v>
      </c>
      <c r="E18" s="385"/>
      <c r="F18" s="386" t="s">
        <v>547</v>
      </c>
      <c r="G18" s="386"/>
      <c r="H18" s="386" t="s">
        <v>548</v>
      </c>
      <c r="I18" s="386"/>
      <c r="J18" s="386" t="s">
        <v>549</v>
      </c>
      <c r="K18" s="386"/>
      <c r="L18" s="386" t="s">
        <v>550</v>
      </c>
      <c r="M18" s="386"/>
      <c r="N18" s="386" t="s">
        <v>551</v>
      </c>
      <c r="O18" s="386"/>
      <c r="P18" s="386" t="s">
        <v>552</v>
      </c>
      <c r="Q18" s="386"/>
      <c r="R18" s="386" t="s">
        <v>553</v>
      </c>
      <c r="S18" s="386"/>
      <c r="T18" s="386" t="s">
        <v>554</v>
      </c>
      <c r="U18" s="386"/>
      <c r="V18" s="386" t="s">
        <v>555</v>
      </c>
      <c r="W18" s="386"/>
      <c r="X18" s="386" t="s">
        <v>556</v>
      </c>
      <c r="Y18" s="386"/>
      <c r="Z18" s="386" t="s">
        <v>557</v>
      </c>
      <c r="AA18" s="386"/>
      <c r="AB18" s="386" t="s">
        <v>558</v>
      </c>
      <c r="AC18" s="386"/>
      <c r="AD18" s="386" t="s">
        <v>559</v>
      </c>
      <c r="AE18" s="386"/>
      <c r="AF18" s="386" t="s">
        <v>560</v>
      </c>
    </row>
    <row r="19" spans="2:32">
      <c r="B19" s="321"/>
      <c r="C19" s="321"/>
      <c r="D19" s="385">
        <v>1</v>
      </c>
      <c r="E19" s="385"/>
      <c r="F19" s="385">
        <v>2</v>
      </c>
      <c r="G19" s="385"/>
      <c r="H19" s="385">
        <v>3</v>
      </c>
      <c r="I19" s="385"/>
      <c r="J19" s="385">
        <v>4</v>
      </c>
      <c r="K19" s="385"/>
      <c r="L19" s="385">
        <v>5</v>
      </c>
      <c r="M19" s="385"/>
      <c r="N19" s="385">
        <v>6</v>
      </c>
      <c r="O19" s="385"/>
      <c r="P19" s="385">
        <v>7</v>
      </c>
      <c r="Q19" s="385"/>
      <c r="R19" s="385">
        <v>8</v>
      </c>
      <c r="S19" s="385"/>
      <c r="T19" s="385">
        <v>9</v>
      </c>
      <c r="U19" s="385"/>
      <c r="V19" s="385">
        <v>10</v>
      </c>
      <c r="W19" s="385"/>
      <c r="X19" s="385">
        <v>11</v>
      </c>
      <c r="Y19" s="385"/>
      <c r="Z19" s="385">
        <v>12</v>
      </c>
      <c r="AA19" s="385"/>
      <c r="AB19" s="385">
        <v>13</v>
      </c>
      <c r="AC19" s="385"/>
      <c r="AD19" s="385">
        <v>14</v>
      </c>
      <c r="AE19" s="385"/>
      <c r="AF19" s="385">
        <v>15</v>
      </c>
    </row>
    <row r="20" spans="2:32">
      <c r="B20" s="321" t="s">
        <v>562</v>
      </c>
      <c r="C20" s="321">
        <v>100</v>
      </c>
      <c r="D20" s="321">
        <v>67844</v>
      </c>
      <c r="E20" s="321">
        <f>$C$20*D20</f>
        <v>6784400</v>
      </c>
      <c r="F20" s="321">
        <v>44355</v>
      </c>
      <c r="G20" s="321">
        <f>$C$20*F20</f>
        <v>4435500</v>
      </c>
      <c r="H20" s="321">
        <v>35523</v>
      </c>
      <c r="I20" s="321">
        <f>$C$20*H20</f>
        <v>3552300</v>
      </c>
      <c r="J20" s="321">
        <v>30912</v>
      </c>
      <c r="K20" s="321">
        <f>$C$20*J20</f>
        <v>3091200</v>
      </c>
      <c r="L20" s="321">
        <v>26368</v>
      </c>
      <c r="M20" s="321">
        <f>$C$20*L20</f>
        <v>2636800</v>
      </c>
      <c r="N20" s="321">
        <v>23599</v>
      </c>
      <c r="O20" s="321">
        <f>$C$20*N20</f>
        <v>2359900</v>
      </c>
      <c r="P20" s="321">
        <v>21576</v>
      </c>
      <c r="Q20" s="321">
        <f>$C$20*P20</f>
        <v>2157600</v>
      </c>
      <c r="R20" s="321">
        <v>20351</v>
      </c>
      <c r="S20" s="321">
        <f>$C$20*R20</f>
        <v>2035100</v>
      </c>
      <c r="T20" s="321">
        <v>17283</v>
      </c>
      <c r="U20" s="321">
        <f>$C$20*T20</f>
        <v>1728300</v>
      </c>
      <c r="V20" s="321">
        <v>16267</v>
      </c>
      <c r="W20" s="321">
        <f>$C$20*V20</f>
        <v>1626700</v>
      </c>
      <c r="X20" s="321">
        <v>15202</v>
      </c>
      <c r="Y20" s="321">
        <f>$C$20*X20</f>
        <v>1520200</v>
      </c>
      <c r="Z20" s="321">
        <v>14559</v>
      </c>
      <c r="AA20" s="321">
        <f>$C$20*Z20</f>
        <v>1455900</v>
      </c>
      <c r="AB20" s="321">
        <v>14168</v>
      </c>
      <c r="AC20" s="321">
        <f>$C$20*AB20</f>
        <v>1416800</v>
      </c>
      <c r="AD20" s="321">
        <v>13275</v>
      </c>
      <c r="AE20" s="321">
        <f>$C$20*AD20</f>
        <v>1327500</v>
      </c>
      <c r="AF20" s="321">
        <v>126888</v>
      </c>
    </row>
    <row r="21" spans="2:32">
      <c r="B21" s="321" t="s">
        <v>563</v>
      </c>
      <c r="C21" s="321">
        <v>200</v>
      </c>
      <c r="D21" s="321">
        <v>62975</v>
      </c>
      <c r="E21" s="321">
        <f>E20+((C21-C20)*D21)</f>
        <v>13081900</v>
      </c>
      <c r="F21" s="321">
        <v>43454</v>
      </c>
      <c r="G21" s="321">
        <f>G20+((C21-C20)*F21)</f>
        <v>8780900</v>
      </c>
      <c r="H21" s="321">
        <v>345992</v>
      </c>
      <c r="I21" s="321">
        <f>I20+((C21-C20)*H21)</f>
        <v>38151500</v>
      </c>
      <c r="J21" s="321">
        <v>30521</v>
      </c>
      <c r="K21" s="321">
        <f>K20+((C21-C20)*J21)</f>
        <v>6143300</v>
      </c>
      <c r="L21" s="321">
        <v>26031</v>
      </c>
      <c r="M21" s="321">
        <f>M20+((C21-C20)*L21)</f>
        <v>5239900</v>
      </c>
      <c r="N21" s="321">
        <v>23069</v>
      </c>
      <c r="O21" s="321">
        <f>O20+((C21-C20)*N21)</f>
        <v>4666800</v>
      </c>
      <c r="P21" s="321">
        <v>20104</v>
      </c>
      <c r="Q21" s="321">
        <f>Q20+((C21-C20)*P21)</f>
        <v>4168000</v>
      </c>
      <c r="R21" s="321">
        <v>18420</v>
      </c>
      <c r="S21" s="321">
        <f>S20+((C21-C20)*R21)</f>
        <v>3877100</v>
      </c>
      <c r="T21" s="321">
        <v>17082</v>
      </c>
      <c r="U21" s="321">
        <f>U20+((C21-C20)*T21)</f>
        <v>3436500</v>
      </c>
      <c r="V21" s="321">
        <v>15588</v>
      </c>
      <c r="W21" s="321">
        <f>W20+((C21-C20)*V21)</f>
        <v>3185500</v>
      </c>
      <c r="X21" s="321">
        <v>14625</v>
      </c>
      <c r="Y21" s="321">
        <f>Y20+((C21-C20)*X21)</f>
        <v>2982700</v>
      </c>
      <c r="Z21" s="321">
        <v>14104</v>
      </c>
      <c r="AA21" s="321">
        <f>AA20+((C21-C20)*Z21)</f>
        <v>2866300</v>
      </c>
      <c r="AB21" s="321">
        <v>13800</v>
      </c>
      <c r="AC21" s="321">
        <f>AC20+((C21-C20)*AB21)</f>
        <v>2796800</v>
      </c>
      <c r="AD21" s="321">
        <v>12537</v>
      </c>
      <c r="AE21" s="321">
        <f>AE20+((C21-C20)*AD21)</f>
        <v>2581200</v>
      </c>
      <c r="AF21" s="321">
        <v>11933</v>
      </c>
    </row>
    <row r="22" spans="2:32">
      <c r="B22" s="321" t="s">
        <v>564</v>
      </c>
      <c r="C22" s="321">
        <v>300</v>
      </c>
      <c r="D22" s="321">
        <v>58106</v>
      </c>
      <c r="E22" s="321">
        <f t="shared" ref="E22:E45" si="0">E21+((C22-C21)*D22)</f>
        <v>18892500</v>
      </c>
      <c r="F22" s="321">
        <v>42553</v>
      </c>
      <c r="G22" s="321">
        <f t="shared" ref="G22:G45" si="1">G21+((C22-C21)*F22)</f>
        <v>13036200</v>
      </c>
      <c r="H22" s="321">
        <v>34261</v>
      </c>
      <c r="I22" s="321">
        <f t="shared" ref="I22:I45" si="2">I21+((C22-C21)*H22)</f>
        <v>41577600</v>
      </c>
      <c r="J22" s="321">
        <v>30130</v>
      </c>
      <c r="K22" s="321">
        <f t="shared" ref="K22:K45" si="3">K21+((C22-C21)*J22)</f>
        <v>9156300</v>
      </c>
      <c r="L22" s="321">
        <v>25694</v>
      </c>
      <c r="M22" s="321">
        <f t="shared" ref="M22:M45" si="4">M21+((C22-C21)*L22)</f>
        <v>7809300</v>
      </c>
      <c r="N22" s="321">
        <v>22539</v>
      </c>
      <c r="O22" s="321">
        <f t="shared" ref="O22:O45" si="5">O21+((C22-C21)*N22)</f>
        <v>6920700</v>
      </c>
      <c r="P22" s="321">
        <v>19022</v>
      </c>
      <c r="Q22" s="321">
        <f t="shared" ref="Q22:Q45" si="6">Q21+((C22-C21)*P22)</f>
        <v>6070200</v>
      </c>
      <c r="R22" s="321">
        <v>17315</v>
      </c>
      <c r="S22" s="321">
        <f t="shared" ref="S22:S45" si="7">S21+((C22-C21)*R22)</f>
        <v>5608600</v>
      </c>
      <c r="T22" s="321">
        <v>16898</v>
      </c>
      <c r="U22" s="321">
        <f t="shared" ref="U22:U45" si="8">U21+((C22-C21)*T22)</f>
        <v>5126300</v>
      </c>
      <c r="V22" s="321">
        <v>14991</v>
      </c>
      <c r="W22" s="321">
        <f t="shared" ref="W22:W45" si="9">W21+((C22-C21)*V22)</f>
        <v>4684600</v>
      </c>
      <c r="X22" s="321">
        <v>14128</v>
      </c>
      <c r="Y22" s="321">
        <f t="shared" ref="Y22:Y45" si="10">Y21+((C22-C21)*X22)</f>
        <v>4395500</v>
      </c>
      <c r="Z22" s="321">
        <v>13518</v>
      </c>
      <c r="AA22" s="321">
        <f t="shared" ref="AA22:AA45" si="11">AA21+((C22-C21)*Z22)</f>
        <v>4218100</v>
      </c>
      <c r="AB22" s="321">
        <v>13622</v>
      </c>
      <c r="AC22" s="321">
        <f t="shared" ref="AC22:AC45" si="12">AC21+((C22-C21)*AB22)</f>
        <v>4159000</v>
      </c>
      <c r="AD22" s="321">
        <v>11799</v>
      </c>
      <c r="AE22" s="321">
        <f t="shared" ref="AE22:AE45" si="13">AE21+((C22-C21)*AD22)</f>
        <v>3761100</v>
      </c>
      <c r="AF22" s="321">
        <v>11318</v>
      </c>
    </row>
    <row r="23" spans="2:32">
      <c r="B23" s="321" t="s">
        <v>565</v>
      </c>
      <c r="C23" s="321">
        <v>400</v>
      </c>
      <c r="D23" s="321">
        <v>54919</v>
      </c>
      <c r="E23" s="321">
        <f t="shared" si="0"/>
        <v>24384400</v>
      </c>
      <c r="F23" s="321">
        <v>41705</v>
      </c>
      <c r="G23" s="321">
        <f t="shared" si="1"/>
        <v>17206700</v>
      </c>
      <c r="H23" s="321">
        <v>33805</v>
      </c>
      <c r="I23" s="321">
        <f t="shared" si="2"/>
        <v>44958100</v>
      </c>
      <c r="J23" s="321">
        <v>29745</v>
      </c>
      <c r="K23" s="321">
        <f t="shared" si="3"/>
        <v>12130800</v>
      </c>
      <c r="L23" s="321">
        <v>25445</v>
      </c>
      <c r="M23" s="321">
        <f t="shared" si="4"/>
        <v>10353800</v>
      </c>
      <c r="N23" s="321">
        <v>22284</v>
      </c>
      <c r="O23" s="321">
        <f t="shared" si="5"/>
        <v>9149100</v>
      </c>
      <c r="P23" s="321">
        <v>18829</v>
      </c>
      <c r="Q23" s="321">
        <f t="shared" si="6"/>
        <v>7953100</v>
      </c>
      <c r="R23" s="321">
        <v>17146</v>
      </c>
      <c r="S23" s="321">
        <f t="shared" si="7"/>
        <v>7323200</v>
      </c>
      <c r="T23" s="321">
        <v>16726</v>
      </c>
      <c r="U23" s="321">
        <f t="shared" si="8"/>
        <v>6798900</v>
      </c>
      <c r="V23" s="321">
        <v>14541</v>
      </c>
      <c r="W23" s="321">
        <f t="shared" si="9"/>
        <v>6138700</v>
      </c>
      <c r="X23" s="321">
        <v>13986</v>
      </c>
      <c r="Y23" s="321">
        <f t="shared" si="10"/>
        <v>5794100</v>
      </c>
      <c r="Z23" s="321">
        <v>13385</v>
      </c>
      <c r="AA23" s="321">
        <f t="shared" si="11"/>
        <v>5556600</v>
      </c>
      <c r="AB23" s="321">
        <v>13487</v>
      </c>
      <c r="AC23" s="321">
        <f t="shared" si="12"/>
        <v>5507700</v>
      </c>
      <c r="AD23" s="321">
        <v>11644</v>
      </c>
      <c r="AE23" s="321">
        <f t="shared" si="13"/>
        <v>4925500</v>
      </c>
      <c r="AF23" s="321">
        <v>11197</v>
      </c>
    </row>
    <row r="24" spans="2:32">
      <c r="B24" s="321" t="s">
        <v>566</v>
      </c>
      <c r="C24" s="321">
        <v>500</v>
      </c>
      <c r="D24" s="321">
        <v>54358</v>
      </c>
      <c r="E24" s="321">
        <f t="shared" si="0"/>
        <v>29820200</v>
      </c>
      <c r="F24" s="321">
        <v>41283</v>
      </c>
      <c r="G24" s="321">
        <f t="shared" si="1"/>
        <v>21335000</v>
      </c>
      <c r="H24" s="321">
        <v>33463</v>
      </c>
      <c r="I24" s="321">
        <f t="shared" si="2"/>
        <v>48304400</v>
      </c>
      <c r="J24" s="321">
        <v>29444</v>
      </c>
      <c r="K24" s="321">
        <f t="shared" si="3"/>
        <v>15075200</v>
      </c>
      <c r="L24" s="321">
        <v>25195</v>
      </c>
      <c r="M24" s="321">
        <f t="shared" si="4"/>
        <v>12873300</v>
      </c>
      <c r="N24" s="321">
        <v>22048</v>
      </c>
      <c r="O24" s="321">
        <f t="shared" si="5"/>
        <v>11353900</v>
      </c>
      <c r="P24" s="321">
        <v>18636</v>
      </c>
      <c r="Q24" s="321">
        <f t="shared" si="6"/>
        <v>9816700</v>
      </c>
      <c r="R24" s="321">
        <v>16977</v>
      </c>
      <c r="S24" s="321">
        <f t="shared" si="7"/>
        <v>9020900</v>
      </c>
      <c r="T24" s="321">
        <v>16554</v>
      </c>
      <c r="U24" s="321">
        <f t="shared" si="8"/>
        <v>8454300</v>
      </c>
      <c r="V24" s="321">
        <v>14691</v>
      </c>
      <c r="W24" s="321">
        <f t="shared" si="9"/>
        <v>7607800</v>
      </c>
      <c r="X24" s="321">
        <v>13844</v>
      </c>
      <c r="Y24" s="321">
        <f t="shared" si="10"/>
        <v>7178500</v>
      </c>
      <c r="Z24" s="321">
        <v>13252</v>
      </c>
      <c r="AA24" s="321">
        <f t="shared" si="11"/>
        <v>6881800</v>
      </c>
      <c r="AB24" s="321">
        <v>13352</v>
      </c>
      <c r="AC24" s="321">
        <f t="shared" si="12"/>
        <v>6842900</v>
      </c>
      <c r="AD24" s="321">
        <v>11513</v>
      </c>
      <c r="AE24" s="321">
        <f t="shared" si="13"/>
        <v>6076800</v>
      </c>
      <c r="AF24" s="321">
        <v>11076</v>
      </c>
    </row>
    <row r="25" spans="2:32">
      <c r="B25" s="321" t="s">
        <v>567</v>
      </c>
      <c r="C25" s="321">
        <v>600</v>
      </c>
      <c r="D25" s="321">
        <v>20732</v>
      </c>
      <c r="E25" s="321">
        <f t="shared" si="0"/>
        <v>31893400</v>
      </c>
      <c r="F25" s="321">
        <v>18639</v>
      </c>
      <c r="G25" s="321">
        <f t="shared" si="1"/>
        <v>23198900</v>
      </c>
      <c r="H25" s="321">
        <v>17813</v>
      </c>
      <c r="I25" s="321">
        <f t="shared" si="2"/>
        <v>50085700</v>
      </c>
      <c r="J25" s="321">
        <v>18643</v>
      </c>
      <c r="K25" s="321">
        <f t="shared" si="3"/>
        <v>16939500</v>
      </c>
      <c r="L25" s="321">
        <v>16694</v>
      </c>
      <c r="M25" s="321">
        <f t="shared" si="4"/>
        <v>14542700</v>
      </c>
      <c r="N25" s="321">
        <v>14505</v>
      </c>
      <c r="O25" s="321">
        <f t="shared" si="5"/>
        <v>12804400</v>
      </c>
      <c r="P25" s="321">
        <v>14141</v>
      </c>
      <c r="Q25" s="321">
        <f t="shared" si="6"/>
        <v>11230800</v>
      </c>
      <c r="R25" s="321">
        <v>12909</v>
      </c>
      <c r="S25" s="321">
        <f t="shared" si="7"/>
        <v>10311800</v>
      </c>
      <c r="T25" s="321">
        <v>11677</v>
      </c>
      <c r="U25" s="321">
        <f t="shared" si="8"/>
        <v>9622000</v>
      </c>
      <c r="V25" s="321">
        <v>11071</v>
      </c>
      <c r="W25" s="321">
        <f t="shared" si="9"/>
        <v>8714900</v>
      </c>
      <c r="X25" s="321">
        <v>10703</v>
      </c>
      <c r="Y25" s="321">
        <f t="shared" si="10"/>
        <v>8248800</v>
      </c>
      <c r="Z25" s="321">
        <v>9812</v>
      </c>
      <c r="AA25" s="321">
        <f t="shared" si="11"/>
        <v>7863000</v>
      </c>
      <c r="AB25" s="321">
        <v>7311</v>
      </c>
      <c r="AC25" s="321">
        <f t="shared" si="12"/>
        <v>7574000</v>
      </c>
      <c r="AD25" s="321">
        <v>7239</v>
      </c>
      <c r="AE25" s="321">
        <f t="shared" si="13"/>
        <v>6800700</v>
      </c>
      <c r="AF25" s="321">
        <v>6212</v>
      </c>
    </row>
    <row r="26" spans="2:32">
      <c r="B26" s="321" t="s">
        <v>568</v>
      </c>
      <c r="C26" s="321">
        <v>700</v>
      </c>
      <c r="D26" s="321">
        <v>20477</v>
      </c>
      <c r="E26" s="321">
        <f t="shared" si="0"/>
        <v>33941100</v>
      </c>
      <c r="F26" s="321">
        <v>18351</v>
      </c>
      <c r="G26" s="321">
        <f t="shared" si="1"/>
        <v>25034000</v>
      </c>
      <c r="H26" s="321">
        <v>17591</v>
      </c>
      <c r="I26" s="321">
        <f t="shared" si="2"/>
        <v>51844800</v>
      </c>
      <c r="J26" s="321">
        <v>16832</v>
      </c>
      <c r="K26" s="321">
        <f t="shared" si="3"/>
        <v>18622700</v>
      </c>
      <c r="L26" s="321">
        <v>16408</v>
      </c>
      <c r="M26" s="321">
        <f t="shared" si="4"/>
        <v>16183500</v>
      </c>
      <c r="N26" s="321">
        <v>14318</v>
      </c>
      <c r="O26" s="321">
        <f t="shared" si="5"/>
        <v>14236200</v>
      </c>
      <c r="P26" s="321">
        <v>13946</v>
      </c>
      <c r="Q26" s="321">
        <f t="shared" si="6"/>
        <v>12625400</v>
      </c>
      <c r="R26" s="321">
        <v>12612</v>
      </c>
      <c r="S26" s="321">
        <f t="shared" si="7"/>
        <v>11573000</v>
      </c>
      <c r="T26" s="321">
        <v>11545</v>
      </c>
      <c r="U26" s="321">
        <f t="shared" si="8"/>
        <v>10776500</v>
      </c>
      <c r="V26" s="321">
        <v>11006</v>
      </c>
      <c r="W26" s="321">
        <f t="shared" si="9"/>
        <v>9815500</v>
      </c>
      <c r="X26" s="321">
        <v>10551</v>
      </c>
      <c r="Y26" s="321">
        <f t="shared" si="10"/>
        <v>9303900</v>
      </c>
      <c r="Z26" s="321">
        <v>9731</v>
      </c>
      <c r="AA26" s="321">
        <f t="shared" si="11"/>
        <v>8836100</v>
      </c>
      <c r="AB26" s="321">
        <v>7221</v>
      </c>
      <c r="AC26" s="321">
        <f t="shared" si="12"/>
        <v>8296100</v>
      </c>
      <c r="AD26" s="321">
        <v>7215</v>
      </c>
      <c r="AE26" s="321">
        <f t="shared" si="13"/>
        <v>7522200</v>
      </c>
      <c r="AF26" s="321">
        <v>6167</v>
      </c>
    </row>
    <row r="27" spans="2:32">
      <c r="B27" s="321" t="s">
        <v>569</v>
      </c>
      <c r="C27" s="321">
        <v>800</v>
      </c>
      <c r="D27" s="321">
        <v>20213</v>
      </c>
      <c r="E27" s="321">
        <f t="shared" si="0"/>
        <v>35962400</v>
      </c>
      <c r="F27" s="321">
        <v>18501</v>
      </c>
      <c r="G27" s="321">
        <f t="shared" si="1"/>
        <v>26884100</v>
      </c>
      <c r="H27" s="321">
        <v>18739</v>
      </c>
      <c r="I27" s="321">
        <f t="shared" si="2"/>
        <v>53718700</v>
      </c>
      <c r="J27" s="321">
        <v>18220</v>
      </c>
      <c r="K27" s="321">
        <f t="shared" si="3"/>
        <v>20444700</v>
      </c>
      <c r="L27" s="321">
        <v>16394</v>
      </c>
      <c r="M27" s="321">
        <f t="shared" si="4"/>
        <v>17822900</v>
      </c>
      <c r="N27" s="321">
        <v>14154</v>
      </c>
      <c r="O27" s="321">
        <f t="shared" si="5"/>
        <v>15651600</v>
      </c>
      <c r="P27" s="321">
        <v>13967</v>
      </c>
      <c r="Q27" s="321">
        <f t="shared" si="6"/>
        <v>14022100</v>
      </c>
      <c r="R27" s="321">
        <v>13388</v>
      </c>
      <c r="S27" s="321">
        <f t="shared" si="7"/>
        <v>12911800</v>
      </c>
      <c r="T27" s="321">
        <v>12804</v>
      </c>
      <c r="U27" s="321">
        <f t="shared" si="8"/>
        <v>12056900</v>
      </c>
      <c r="V27" s="321">
        <v>12348</v>
      </c>
      <c r="W27" s="321">
        <f t="shared" si="9"/>
        <v>11050300</v>
      </c>
      <c r="X27" s="321">
        <v>11897</v>
      </c>
      <c r="Y27" s="321">
        <f t="shared" si="10"/>
        <v>10493600</v>
      </c>
      <c r="Z27" s="321">
        <v>10044</v>
      </c>
      <c r="AA27" s="321">
        <f t="shared" si="11"/>
        <v>9840500</v>
      </c>
      <c r="AB27" s="321">
        <v>8936</v>
      </c>
      <c r="AC27" s="321">
        <f t="shared" si="12"/>
        <v>9189700</v>
      </c>
      <c r="AD27" s="321">
        <v>7184</v>
      </c>
      <c r="AE27" s="321">
        <f t="shared" si="13"/>
        <v>8240600</v>
      </c>
      <c r="AF27" s="321">
        <v>6118</v>
      </c>
    </row>
    <row r="28" spans="2:32">
      <c r="B28" s="321" t="s">
        <v>570</v>
      </c>
      <c r="C28" s="321">
        <v>900</v>
      </c>
      <c r="D28" s="321">
        <v>25258</v>
      </c>
      <c r="E28" s="321">
        <f t="shared" si="0"/>
        <v>38488200</v>
      </c>
      <c r="F28" s="321">
        <v>23415</v>
      </c>
      <c r="G28" s="321">
        <f t="shared" si="1"/>
        <v>29225600</v>
      </c>
      <c r="H28" s="321">
        <v>23415</v>
      </c>
      <c r="I28" s="321">
        <f t="shared" si="2"/>
        <v>56060200</v>
      </c>
      <c r="J28" s="321">
        <v>22656</v>
      </c>
      <c r="K28" s="321">
        <f t="shared" si="3"/>
        <v>22710300</v>
      </c>
      <c r="L28" s="321">
        <v>21508</v>
      </c>
      <c r="M28" s="321">
        <f t="shared" si="4"/>
        <v>19973700</v>
      </c>
      <c r="N28" s="321">
        <v>20158</v>
      </c>
      <c r="O28" s="321">
        <f t="shared" si="5"/>
        <v>17667400</v>
      </c>
      <c r="P28" s="321">
        <v>20107</v>
      </c>
      <c r="Q28" s="321">
        <f t="shared" si="6"/>
        <v>16032800</v>
      </c>
      <c r="R28" s="321">
        <v>19988</v>
      </c>
      <c r="S28" s="321">
        <f t="shared" si="7"/>
        <v>14910600</v>
      </c>
      <c r="T28" s="321">
        <v>19861</v>
      </c>
      <c r="U28" s="321">
        <f t="shared" si="8"/>
        <v>14043000</v>
      </c>
      <c r="V28" s="321">
        <v>19614</v>
      </c>
      <c r="W28" s="321">
        <f t="shared" si="9"/>
        <v>13011700</v>
      </c>
      <c r="X28" s="321">
        <v>19382</v>
      </c>
      <c r="Y28" s="321">
        <f t="shared" si="10"/>
        <v>12431800</v>
      </c>
      <c r="Z28" s="321">
        <v>16111</v>
      </c>
      <c r="AA28" s="321">
        <f t="shared" si="11"/>
        <v>11451600</v>
      </c>
      <c r="AB28" s="321">
        <v>14026</v>
      </c>
      <c r="AC28" s="321">
        <f t="shared" si="12"/>
        <v>10592300</v>
      </c>
      <c r="AD28" s="321">
        <v>7158</v>
      </c>
      <c r="AE28" s="321">
        <f t="shared" si="13"/>
        <v>8956400</v>
      </c>
      <c r="AF28" s="321">
        <v>6062</v>
      </c>
    </row>
    <row r="29" spans="2:32">
      <c r="B29" s="321" t="s">
        <v>571</v>
      </c>
      <c r="C29" s="321">
        <v>1000</v>
      </c>
      <c r="D29" s="321">
        <v>25001</v>
      </c>
      <c r="E29" s="321">
        <f t="shared" si="0"/>
        <v>40988300</v>
      </c>
      <c r="F29" s="321">
        <v>23190</v>
      </c>
      <c r="G29" s="321">
        <f t="shared" si="1"/>
        <v>31544600</v>
      </c>
      <c r="H29" s="321">
        <v>23190</v>
      </c>
      <c r="I29" s="321">
        <f t="shared" si="2"/>
        <v>58379200</v>
      </c>
      <c r="J29" s="321">
        <v>23332</v>
      </c>
      <c r="K29" s="321">
        <f t="shared" si="3"/>
        <v>25043500</v>
      </c>
      <c r="L29" s="321">
        <v>21968</v>
      </c>
      <c r="M29" s="321">
        <f t="shared" si="4"/>
        <v>22170500</v>
      </c>
      <c r="N29" s="321">
        <v>21622</v>
      </c>
      <c r="O29" s="321">
        <f t="shared" si="5"/>
        <v>19829600</v>
      </c>
      <c r="P29" s="321">
        <v>20783</v>
      </c>
      <c r="Q29" s="321">
        <f t="shared" si="6"/>
        <v>18111100</v>
      </c>
      <c r="R29" s="321">
        <v>20366</v>
      </c>
      <c r="S29" s="321">
        <f t="shared" si="7"/>
        <v>16947200</v>
      </c>
      <c r="T29" s="321">
        <v>19943</v>
      </c>
      <c r="U29" s="321">
        <f t="shared" si="8"/>
        <v>16037300</v>
      </c>
      <c r="V29" s="321">
        <v>19871</v>
      </c>
      <c r="W29" s="321">
        <f t="shared" si="9"/>
        <v>14998800</v>
      </c>
      <c r="X29" s="321">
        <v>19249</v>
      </c>
      <c r="Y29" s="321">
        <f t="shared" si="10"/>
        <v>14356700</v>
      </c>
      <c r="Z29" s="321">
        <v>18181</v>
      </c>
      <c r="AA29" s="321">
        <f t="shared" si="11"/>
        <v>13269700</v>
      </c>
      <c r="AB29" s="321">
        <v>16066</v>
      </c>
      <c r="AC29" s="321">
        <f t="shared" si="12"/>
        <v>12198900</v>
      </c>
      <c r="AD29" s="321">
        <v>7130</v>
      </c>
      <c r="AE29" s="321">
        <f t="shared" si="13"/>
        <v>9669400</v>
      </c>
      <c r="AF29" s="321">
        <v>6011</v>
      </c>
    </row>
    <row r="30" spans="2:32">
      <c r="B30" s="321" t="s">
        <v>572</v>
      </c>
      <c r="C30" s="321">
        <v>1100</v>
      </c>
      <c r="D30" s="321">
        <v>24751</v>
      </c>
      <c r="E30" s="321">
        <f t="shared" si="0"/>
        <v>43463400</v>
      </c>
      <c r="F30" s="321">
        <v>22575</v>
      </c>
      <c r="G30" s="321">
        <f t="shared" si="1"/>
        <v>33802100</v>
      </c>
      <c r="H30" s="321">
        <v>21758</v>
      </c>
      <c r="I30" s="321">
        <f t="shared" si="2"/>
        <v>60555000</v>
      </c>
      <c r="J30" s="321">
        <v>21064</v>
      </c>
      <c r="K30" s="321">
        <f t="shared" si="3"/>
        <v>27149900</v>
      </c>
      <c r="L30" s="321">
        <v>20168</v>
      </c>
      <c r="M30" s="321">
        <f t="shared" si="4"/>
        <v>24187300</v>
      </c>
      <c r="N30" s="321">
        <v>19825</v>
      </c>
      <c r="O30" s="321">
        <f t="shared" si="5"/>
        <v>21812100</v>
      </c>
      <c r="P30" s="321">
        <v>18009</v>
      </c>
      <c r="Q30" s="321">
        <f t="shared" si="6"/>
        <v>19912000</v>
      </c>
      <c r="R30" s="321">
        <v>17165</v>
      </c>
      <c r="S30" s="321">
        <f t="shared" si="7"/>
        <v>18663700</v>
      </c>
      <c r="T30" s="321">
        <v>16316</v>
      </c>
      <c r="U30" s="321">
        <f t="shared" si="8"/>
        <v>17668900</v>
      </c>
      <c r="V30" s="321">
        <v>7699</v>
      </c>
      <c r="W30" s="321">
        <f t="shared" si="9"/>
        <v>15768700</v>
      </c>
      <c r="X30" s="321">
        <v>7486</v>
      </c>
      <c r="Y30" s="321">
        <f t="shared" si="10"/>
        <v>15105300</v>
      </c>
      <c r="Z30" s="321">
        <v>7412</v>
      </c>
      <c r="AA30" s="321">
        <f t="shared" si="11"/>
        <v>14010900</v>
      </c>
      <c r="AB30" s="321">
        <v>7340</v>
      </c>
      <c r="AC30" s="321">
        <f t="shared" si="12"/>
        <v>12932900</v>
      </c>
      <c r="AD30" s="321">
        <v>6600</v>
      </c>
      <c r="AE30" s="321">
        <f t="shared" si="13"/>
        <v>10329400</v>
      </c>
      <c r="AF30" s="321">
        <v>5966</v>
      </c>
    </row>
    <row r="31" spans="2:32">
      <c r="B31" s="321" t="s">
        <v>573</v>
      </c>
      <c r="C31" s="321">
        <v>1200</v>
      </c>
      <c r="D31" s="321">
        <v>26991</v>
      </c>
      <c r="E31" s="321">
        <f t="shared" si="0"/>
        <v>46162500</v>
      </c>
      <c r="F31" s="321">
        <v>25943</v>
      </c>
      <c r="G31" s="321">
        <f t="shared" si="1"/>
        <v>36396400</v>
      </c>
      <c r="H31" s="321">
        <v>21050</v>
      </c>
      <c r="I31" s="321">
        <f t="shared" si="2"/>
        <v>62660000</v>
      </c>
      <c r="J31" s="321">
        <v>20390</v>
      </c>
      <c r="K31" s="321">
        <f t="shared" si="3"/>
        <v>29188900</v>
      </c>
      <c r="L31" s="321">
        <v>19852</v>
      </c>
      <c r="M31" s="321">
        <f t="shared" si="4"/>
        <v>26172500</v>
      </c>
      <c r="N31" s="321">
        <v>19488</v>
      </c>
      <c r="O31" s="321">
        <f t="shared" si="5"/>
        <v>23760900</v>
      </c>
      <c r="P31" s="321">
        <v>17803</v>
      </c>
      <c r="Q31" s="321">
        <f t="shared" si="6"/>
        <v>21692300</v>
      </c>
      <c r="R31" s="321">
        <v>16905</v>
      </c>
      <c r="S31" s="321">
        <f t="shared" si="7"/>
        <v>20354200</v>
      </c>
      <c r="T31" s="321">
        <v>15843</v>
      </c>
      <c r="U31" s="321">
        <f t="shared" si="8"/>
        <v>19253200</v>
      </c>
      <c r="V31" s="321">
        <v>7623</v>
      </c>
      <c r="W31" s="321">
        <f t="shared" si="9"/>
        <v>16531000</v>
      </c>
      <c r="X31" s="321">
        <v>7335</v>
      </c>
      <c r="Y31" s="321">
        <f t="shared" si="10"/>
        <v>15838800</v>
      </c>
      <c r="Z31" s="321">
        <v>7276</v>
      </c>
      <c r="AA31" s="321">
        <f t="shared" si="11"/>
        <v>14738500</v>
      </c>
      <c r="AB31" s="321">
        <v>7249</v>
      </c>
      <c r="AC31" s="321">
        <f t="shared" si="12"/>
        <v>13657800</v>
      </c>
      <c r="AD31" s="321">
        <v>6545</v>
      </c>
      <c r="AE31" s="321">
        <f t="shared" si="13"/>
        <v>10983900</v>
      </c>
      <c r="AF31" s="321">
        <v>5916</v>
      </c>
    </row>
    <row r="32" spans="2:32">
      <c r="B32" s="321" t="s">
        <v>574</v>
      </c>
      <c r="C32" s="321">
        <v>1300</v>
      </c>
      <c r="D32" s="321">
        <v>26638</v>
      </c>
      <c r="E32" s="321">
        <f t="shared" si="0"/>
        <v>48826300</v>
      </c>
      <c r="F32" s="321">
        <v>25605</v>
      </c>
      <c r="G32" s="321">
        <f t="shared" si="1"/>
        <v>38956900</v>
      </c>
      <c r="H32" s="321">
        <v>17908</v>
      </c>
      <c r="I32" s="321">
        <f t="shared" si="2"/>
        <v>64450800</v>
      </c>
      <c r="J32" s="321">
        <v>17269</v>
      </c>
      <c r="K32" s="321">
        <f t="shared" si="3"/>
        <v>30915800</v>
      </c>
      <c r="L32" s="321">
        <v>16881</v>
      </c>
      <c r="M32" s="321">
        <f t="shared" si="4"/>
        <v>27860600</v>
      </c>
      <c r="N32" s="321">
        <v>16517</v>
      </c>
      <c r="O32" s="321">
        <f t="shared" si="5"/>
        <v>25412600</v>
      </c>
      <c r="P32" s="321">
        <v>15951</v>
      </c>
      <c r="Q32" s="321">
        <f t="shared" si="6"/>
        <v>23287400</v>
      </c>
      <c r="R32" s="321">
        <v>16558</v>
      </c>
      <c r="S32" s="321">
        <f t="shared" si="7"/>
        <v>22010000</v>
      </c>
      <c r="T32" s="321">
        <v>15382</v>
      </c>
      <c r="U32" s="321">
        <f t="shared" si="8"/>
        <v>20791400</v>
      </c>
      <c r="V32" s="321">
        <v>7699</v>
      </c>
      <c r="W32" s="321">
        <f t="shared" si="9"/>
        <v>17300900</v>
      </c>
      <c r="X32" s="321">
        <v>7184</v>
      </c>
      <c r="Y32" s="321">
        <f t="shared" si="10"/>
        <v>16557200</v>
      </c>
      <c r="Z32" s="321">
        <v>7148</v>
      </c>
      <c r="AA32" s="321">
        <f t="shared" si="11"/>
        <v>15453300</v>
      </c>
      <c r="AB32" s="321">
        <v>7099</v>
      </c>
      <c r="AC32" s="321">
        <f t="shared" si="12"/>
        <v>14367700</v>
      </c>
      <c r="AD32" s="321">
        <v>5361</v>
      </c>
      <c r="AE32" s="321">
        <f t="shared" si="13"/>
        <v>11520000</v>
      </c>
      <c r="AF32" s="321">
        <v>5875</v>
      </c>
    </row>
    <row r="33" spans="2:32">
      <c r="B33" s="321" t="s">
        <v>575</v>
      </c>
      <c r="C33" s="321">
        <v>1400</v>
      </c>
      <c r="D33" s="321">
        <v>26280</v>
      </c>
      <c r="E33" s="321">
        <f t="shared" si="0"/>
        <v>51454300</v>
      </c>
      <c r="F33" s="321">
        <v>25270</v>
      </c>
      <c r="G33" s="321">
        <f t="shared" si="1"/>
        <v>41483900</v>
      </c>
      <c r="H33" s="321">
        <v>17502</v>
      </c>
      <c r="I33" s="321">
        <f t="shared" si="2"/>
        <v>66201000</v>
      </c>
      <c r="J33" s="321">
        <v>16887</v>
      </c>
      <c r="K33" s="321">
        <f t="shared" si="3"/>
        <v>32604500</v>
      </c>
      <c r="L33" s="321">
        <v>166524</v>
      </c>
      <c r="M33" s="321">
        <f t="shared" si="4"/>
        <v>44513000</v>
      </c>
      <c r="N33" s="321">
        <v>16185</v>
      </c>
      <c r="O33" s="321">
        <f t="shared" si="5"/>
        <v>27031100</v>
      </c>
      <c r="P33" s="321">
        <v>15774</v>
      </c>
      <c r="Q33" s="321">
        <f t="shared" si="6"/>
        <v>24864800</v>
      </c>
      <c r="R33" s="321">
        <v>15345</v>
      </c>
      <c r="S33" s="321">
        <f t="shared" si="7"/>
        <v>23544500</v>
      </c>
      <c r="T33" s="321">
        <v>14917</v>
      </c>
      <c r="U33" s="321">
        <f t="shared" si="8"/>
        <v>22283100</v>
      </c>
      <c r="V33" s="321">
        <v>7637</v>
      </c>
      <c r="W33" s="321">
        <f t="shared" si="9"/>
        <v>18064600</v>
      </c>
      <c r="X33" s="321">
        <v>7034</v>
      </c>
      <c r="Y33" s="321">
        <f t="shared" si="10"/>
        <v>17260600</v>
      </c>
      <c r="Z33" s="321">
        <v>7020</v>
      </c>
      <c r="AA33" s="321">
        <f t="shared" si="11"/>
        <v>16155300</v>
      </c>
      <c r="AB33" s="321">
        <v>6998</v>
      </c>
      <c r="AC33" s="321">
        <f t="shared" si="12"/>
        <v>15067500</v>
      </c>
      <c r="AD33" s="321">
        <v>5310</v>
      </c>
      <c r="AE33" s="321">
        <f t="shared" si="13"/>
        <v>12051000</v>
      </c>
      <c r="AF33" s="321">
        <v>5806</v>
      </c>
    </row>
    <row r="34" spans="2:32">
      <c r="B34" s="321" t="s">
        <v>576</v>
      </c>
      <c r="C34" s="321">
        <v>1500</v>
      </c>
      <c r="D34" s="321">
        <v>25927</v>
      </c>
      <c r="E34" s="321">
        <f t="shared" si="0"/>
        <v>54047000</v>
      </c>
      <c r="F34" s="321">
        <v>24932</v>
      </c>
      <c r="G34" s="321">
        <f t="shared" si="1"/>
        <v>43977100</v>
      </c>
      <c r="H34" s="321">
        <v>24569</v>
      </c>
      <c r="I34" s="321">
        <f t="shared" si="2"/>
        <v>68657900</v>
      </c>
      <c r="J34" s="321">
        <v>24203</v>
      </c>
      <c r="K34" s="321">
        <f t="shared" si="3"/>
        <v>35024800</v>
      </c>
      <c r="L34" s="321">
        <v>22284</v>
      </c>
      <c r="M34" s="321">
        <f t="shared" si="4"/>
        <v>46741400</v>
      </c>
      <c r="N34" s="321">
        <v>15195</v>
      </c>
      <c r="O34" s="321">
        <f t="shared" si="5"/>
        <v>28550600</v>
      </c>
      <c r="P34" s="321">
        <v>14783</v>
      </c>
      <c r="Q34" s="321">
        <f t="shared" si="6"/>
        <v>26343100</v>
      </c>
      <c r="R34" s="321">
        <v>14556</v>
      </c>
      <c r="S34" s="321">
        <f t="shared" si="7"/>
        <v>25000100</v>
      </c>
      <c r="T34" s="321">
        <v>14324</v>
      </c>
      <c r="U34" s="321">
        <f t="shared" si="8"/>
        <v>23715500</v>
      </c>
      <c r="V34" s="321">
        <v>13866</v>
      </c>
      <c r="W34" s="321">
        <f t="shared" si="9"/>
        <v>19451200</v>
      </c>
      <c r="X34" s="321">
        <v>12164</v>
      </c>
      <c r="Y34" s="321">
        <f t="shared" si="10"/>
        <v>18477000</v>
      </c>
      <c r="Z34" s="321">
        <v>12001</v>
      </c>
      <c r="AA34" s="321">
        <f t="shared" si="11"/>
        <v>17355400</v>
      </c>
      <c r="AB34" s="321">
        <v>11841</v>
      </c>
      <c r="AC34" s="321">
        <f t="shared" si="12"/>
        <v>16251600</v>
      </c>
      <c r="AD34" s="321">
        <v>5373</v>
      </c>
      <c r="AE34" s="321">
        <f t="shared" si="13"/>
        <v>12588300</v>
      </c>
      <c r="AF34" s="321">
        <v>5761</v>
      </c>
    </row>
    <row r="35" spans="2:32">
      <c r="B35" s="321" t="s">
        <v>577</v>
      </c>
      <c r="C35" s="321">
        <v>1600</v>
      </c>
      <c r="D35" s="321">
        <v>23803</v>
      </c>
      <c r="E35" s="321">
        <f t="shared" si="0"/>
        <v>56427300</v>
      </c>
      <c r="F35" s="321">
        <v>23210</v>
      </c>
      <c r="G35" s="321">
        <f t="shared" si="1"/>
        <v>46298100</v>
      </c>
      <c r="H35" s="321">
        <v>16856</v>
      </c>
      <c r="I35" s="321">
        <f t="shared" si="2"/>
        <v>70343500</v>
      </c>
      <c r="J35" s="321">
        <v>15938</v>
      </c>
      <c r="K35" s="321">
        <f t="shared" si="3"/>
        <v>36618600</v>
      </c>
      <c r="L35" s="321">
        <v>15528</v>
      </c>
      <c r="M35" s="321">
        <f t="shared" si="4"/>
        <v>48294200</v>
      </c>
      <c r="N35" s="321">
        <v>15113</v>
      </c>
      <c r="O35" s="321">
        <f t="shared" si="5"/>
        <v>30061900</v>
      </c>
      <c r="P35" s="321">
        <v>14505</v>
      </c>
      <c r="Q35" s="321">
        <f t="shared" si="6"/>
        <v>27793600</v>
      </c>
      <c r="R35" s="321">
        <v>14209</v>
      </c>
      <c r="S35" s="321">
        <f t="shared" si="7"/>
        <v>26421000</v>
      </c>
      <c r="T35" s="321">
        <v>13912</v>
      </c>
      <c r="U35" s="321">
        <f t="shared" si="8"/>
        <v>25106700</v>
      </c>
      <c r="V35" s="321">
        <v>13452</v>
      </c>
      <c r="W35" s="321">
        <f t="shared" si="9"/>
        <v>20796400</v>
      </c>
      <c r="X35" s="321">
        <v>12033</v>
      </c>
      <c r="Y35" s="321">
        <f t="shared" si="10"/>
        <v>19680300</v>
      </c>
      <c r="Z35" s="321">
        <v>11924</v>
      </c>
      <c r="AA35" s="321">
        <f t="shared" si="11"/>
        <v>18547800</v>
      </c>
      <c r="AB35" s="321">
        <v>11700</v>
      </c>
      <c r="AC35" s="321">
        <f t="shared" si="12"/>
        <v>17421600</v>
      </c>
      <c r="AD35" s="321">
        <v>5241</v>
      </c>
      <c r="AE35" s="321">
        <f t="shared" si="13"/>
        <v>13112400</v>
      </c>
      <c r="AF35" s="321">
        <v>5533</v>
      </c>
    </row>
    <row r="36" spans="2:32">
      <c r="B36" s="321" t="s">
        <v>578</v>
      </c>
      <c r="C36" s="321">
        <v>1700</v>
      </c>
      <c r="D36" s="321">
        <v>23866</v>
      </c>
      <c r="E36" s="321">
        <f t="shared" si="0"/>
        <v>58813900</v>
      </c>
      <c r="F36" s="321">
        <v>23095</v>
      </c>
      <c r="G36" s="321">
        <f t="shared" si="1"/>
        <v>48607600</v>
      </c>
      <c r="H36" s="321">
        <v>16554</v>
      </c>
      <c r="I36" s="321">
        <f t="shared" si="2"/>
        <v>71998900</v>
      </c>
      <c r="J36" s="321">
        <v>15815</v>
      </c>
      <c r="K36" s="321">
        <f t="shared" si="3"/>
        <v>38200100</v>
      </c>
      <c r="L36" s="321">
        <v>15039</v>
      </c>
      <c r="M36" s="321">
        <f t="shared" si="4"/>
        <v>49798100</v>
      </c>
      <c r="N36" s="321">
        <v>15035</v>
      </c>
      <c r="O36" s="321">
        <f t="shared" si="5"/>
        <v>31565400</v>
      </c>
      <c r="P36" s="321">
        <v>13593</v>
      </c>
      <c r="Q36" s="321">
        <f t="shared" si="6"/>
        <v>29152900</v>
      </c>
      <c r="R36" s="321">
        <v>13544</v>
      </c>
      <c r="S36" s="321">
        <f t="shared" si="7"/>
        <v>27775400</v>
      </c>
      <c r="T36" s="321">
        <v>13498</v>
      </c>
      <c r="U36" s="321">
        <f t="shared" si="8"/>
        <v>26456500</v>
      </c>
      <c r="V36" s="321">
        <v>13041</v>
      </c>
      <c r="W36" s="321">
        <f t="shared" si="9"/>
        <v>22100500</v>
      </c>
      <c r="X36" s="321">
        <v>11901</v>
      </c>
      <c r="Y36" s="321">
        <f t="shared" si="10"/>
        <v>20870400</v>
      </c>
      <c r="Z36" s="321">
        <v>11792</v>
      </c>
      <c r="AA36" s="321">
        <f t="shared" si="11"/>
        <v>19727000</v>
      </c>
      <c r="AB36" s="321">
        <v>11560</v>
      </c>
      <c r="AC36" s="321">
        <f t="shared" si="12"/>
        <v>18577600</v>
      </c>
      <c r="AD36" s="321">
        <v>5081</v>
      </c>
      <c r="AE36" s="321">
        <f t="shared" si="13"/>
        <v>13620500</v>
      </c>
      <c r="AF36" s="321">
        <v>5317</v>
      </c>
    </row>
    <row r="37" spans="2:32">
      <c r="B37" s="321" t="s">
        <v>579</v>
      </c>
      <c r="C37" s="321">
        <v>1800</v>
      </c>
      <c r="D37" s="321">
        <v>23803</v>
      </c>
      <c r="E37" s="321">
        <f t="shared" si="0"/>
        <v>61194200</v>
      </c>
      <c r="F37" s="321">
        <v>22908</v>
      </c>
      <c r="G37" s="321">
        <f t="shared" si="1"/>
        <v>50898400</v>
      </c>
      <c r="H37" s="321">
        <v>16253</v>
      </c>
      <c r="I37" s="321">
        <f t="shared" si="2"/>
        <v>73624200</v>
      </c>
      <c r="J37" s="321">
        <v>15683</v>
      </c>
      <c r="K37" s="321">
        <f t="shared" si="3"/>
        <v>39768400</v>
      </c>
      <c r="L37" s="321">
        <v>15321</v>
      </c>
      <c r="M37" s="321">
        <f t="shared" si="4"/>
        <v>51330200</v>
      </c>
      <c r="N37" s="321">
        <v>14958</v>
      </c>
      <c r="O37" s="321">
        <f t="shared" si="5"/>
        <v>33061200</v>
      </c>
      <c r="P37" s="321">
        <v>13347</v>
      </c>
      <c r="Q37" s="321">
        <f t="shared" si="6"/>
        <v>30487600</v>
      </c>
      <c r="R37" s="321">
        <v>13287</v>
      </c>
      <c r="S37" s="321">
        <f t="shared" si="7"/>
        <v>29104100</v>
      </c>
      <c r="T37" s="321">
        <v>12882</v>
      </c>
      <c r="U37" s="321">
        <f t="shared" si="8"/>
        <v>27744700</v>
      </c>
      <c r="V37" s="321">
        <v>12632</v>
      </c>
      <c r="W37" s="321">
        <f t="shared" si="9"/>
        <v>23363700</v>
      </c>
      <c r="X37" s="321">
        <v>11796</v>
      </c>
      <c r="Y37" s="321">
        <f t="shared" si="10"/>
        <v>22050000</v>
      </c>
      <c r="Z37" s="321">
        <v>11715</v>
      </c>
      <c r="AA37" s="321">
        <f t="shared" si="11"/>
        <v>20898500</v>
      </c>
      <c r="AB37" s="321">
        <v>11428</v>
      </c>
      <c r="AC37" s="321">
        <f t="shared" si="12"/>
        <v>19720400</v>
      </c>
      <c r="AD37" s="321">
        <v>5789</v>
      </c>
      <c r="AE37" s="321">
        <f t="shared" si="13"/>
        <v>14199400</v>
      </c>
      <c r="AF37" s="321">
        <v>5210</v>
      </c>
    </row>
    <row r="38" spans="2:32">
      <c r="B38" s="321" t="s">
        <v>580</v>
      </c>
      <c r="C38" s="321">
        <v>1900</v>
      </c>
      <c r="D38" s="321">
        <v>25576</v>
      </c>
      <c r="E38" s="321">
        <f t="shared" si="0"/>
        <v>63751800</v>
      </c>
      <c r="F38" s="321">
        <v>23929</v>
      </c>
      <c r="G38" s="321">
        <f t="shared" si="1"/>
        <v>53291300</v>
      </c>
      <c r="H38" s="321">
        <v>16517</v>
      </c>
      <c r="I38" s="321">
        <f t="shared" si="2"/>
        <v>75275900</v>
      </c>
      <c r="J38" s="321">
        <v>15603</v>
      </c>
      <c r="K38" s="321">
        <f t="shared" si="3"/>
        <v>41328700</v>
      </c>
      <c r="L38" s="321">
        <v>14834</v>
      </c>
      <c r="M38" s="321">
        <f t="shared" si="4"/>
        <v>52813600</v>
      </c>
      <c r="N38" s="321">
        <v>14679</v>
      </c>
      <c r="O38" s="321">
        <f t="shared" si="5"/>
        <v>34529100</v>
      </c>
      <c r="P38" s="321">
        <v>13069</v>
      </c>
      <c r="Q38" s="321">
        <f t="shared" si="6"/>
        <v>31794500</v>
      </c>
      <c r="R38" s="321">
        <v>12996</v>
      </c>
      <c r="S38" s="321">
        <f t="shared" si="7"/>
        <v>30403700</v>
      </c>
      <c r="T38" s="321">
        <v>12472</v>
      </c>
      <c r="U38" s="321">
        <f t="shared" si="8"/>
        <v>28991900</v>
      </c>
      <c r="V38" s="321">
        <v>12220</v>
      </c>
      <c r="W38" s="321">
        <f t="shared" si="9"/>
        <v>24585700</v>
      </c>
      <c r="X38" s="321">
        <v>11916</v>
      </c>
      <c r="Y38" s="321">
        <f t="shared" si="10"/>
        <v>23241600</v>
      </c>
      <c r="Z38" s="321">
        <v>11619</v>
      </c>
      <c r="AA38" s="321">
        <f t="shared" si="11"/>
        <v>22060400</v>
      </c>
      <c r="AB38" s="321">
        <v>11289</v>
      </c>
      <c r="AC38" s="321">
        <f t="shared" si="12"/>
        <v>20849300</v>
      </c>
      <c r="AD38" s="321">
        <v>5286</v>
      </c>
      <c r="AE38" s="321">
        <f t="shared" si="13"/>
        <v>14728000</v>
      </c>
      <c r="AF38" s="321">
        <v>5091</v>
      </c>
    </row>
    <row r="39" spans="2:32">
      <c r="B39" s="321" t="s">
        <v>581</v>
      </c>
      <c r="C39" s="321">
        <v>2000</v>
      </c>
      <c r="D39" s="321">
        <v>25001</v>
      </c>
      <c r="E39" s="321">
        <f t="shared" si="0"/>
        <v>66251900</v>
      </c>
      <c r="F39" s="321">
        <v>23411</v>
      </c>
      <c r="G39" s="321">
        <f t="shared" si="1"/>
        <v>55632400</v>
      </c>
      <c r="H39" s="321">
        <v>16056</v>
      </c>
      <c r="I39" s="321">
        <f t="shared" si="2"/>
        <v>76881500</v>
      </c>
      <c r="J39" s="321">
        <v>14601</v>
      </c>
      <c r="K39" s="321">
        <f t="shared" si="3"/>
        <v>42788800</v>
      </c>
      <c r="L39" s="321">
        <v>144429</v>
      </c>
      <c r="M39" s="321">
        <f t="shared" si="4"/>
        <v>67256500</v>
      </c>
      <c r="N39" s="321">
        <v>14332</v>
      </c>
      <c r="O39" s="321">
        <f t="shared" si="5"/>
        <v>35962300</v>
      </c>
      <c r="P39" s="321">
        <v>12794</v>
      </c>
      <c r="Q39" s="321">
        <f t="shared" si="6"/>
        <v>33073900</v>
      </c>
      <c r="R39" s="321">
        <v>12726</v>
      </c>
      <c r="S39" s="321">
        <f t="shared" si="7"/>
        <v>31676300</v>
      </c>
      <c r="T39" s="321">
        <v>12057</v>
      </c>
      <c r="U39" s="321">
        <f t="shared" si="8"/>
        <v>30197600</v>
      </c>
      <c r="V39" s="321">
        <v>11806</v>
      </c>
      <c r="W39" s="321">
        <f t="shared" si="9"/>
        <v>25766300</v>
      </c>
      <c r="X39" s="321">
        <v>11669</v>
      </c>
      <c r="Y39" s="321">
        <f t="shared" si="10"/>
        <v>24408500</v>
      </c>
      <c r="Z39" s="321">
        <v>11536</v>
      </c>
      <c r="AA39" s="321">
        <f t="shared" si="11"/>
        <v>23214000</v>
      </c>
      <c r="AB39" s="321">
        <v>11148</v>
      </c>
      <c r="AC39" s="321">
        <f t="shared" si="12"/>
        <v>21964100</v>
      </c>
      <c r="AD39" s="321">
        <v>5019</v>
      </c>
      <c r="AE39" s="321">
        <f t="shared" si="13"/>
        <v>15229900</v>
      </c>
      <c r="AF39" s="321">
        <v>4929</v>
      </c>
    </row>
    <row r="40" spans="2:32">
      <c r="B40" s="321" t="s">
        <v>582</v>
      </c>
      <c r="C40" s="321">
        <v>2500</v>
      </c>
      <c r="D40" s="321">
        <v>25001</v>
      </c>
      <c r="E40" s="321">
        <f t="shared" si="0"/>
        <v>78752400</v>
      </c>
      <c r="F40" s="321">
        <v>23411</v>
      </c>
      <c r="G40" s="321">
        <f t="shared" si="1"/>
        <v>67337900</v>
      </c>
      <c r="H40" s="321">
        <v>16056</v>
      </c>
      <c r="I40" s="321">
        <f t="shared" si="2"/>
        <v>84909500</v>
      </c>
      <c r="J40" s="321">
        <v>14601</v>
      </c>
      <c r="K40" s="321">
        <f t="shared" si="3"/>
        <v>50089300</v>
      </c>
      <c r="L40" s="321">
        <v>14429</v>
      </c>
      <c r="M40" s="321">
        <f t="shared" si="4"/>
        <v>74471000</v>
      </c>
      <c r="N40" s="321">
        <v>14332</v>
      </c>
      <c r="O40" s="321">
        <f t="shared" si="5"/>
        <v>43128300</v>
      </c>
      <c r="P40" s="321">
        <v>13347</v>
      </c>
      <c r="Q40" s="321">
        <f t="shared" si="6"/>
        <v>39747400</v>
      </c>
      <c r="R40" s="321">
        <v>12726</v>
      </c>
      <c r="S40" s="321">
        <f t="shared" si="7"/>
        <v>38039300</v>
      </c>
      <c r="T40" s="321">
        <v>12057</v>
      </c>
      <c r="U40" s="321">
        <f t="shared" si="8"/>
        <v>36226100</v>
      </c>
      <c r="V40" s="321">
        <v>11806</v>
      </c>
      <c r="W40" s="321">
        <f t="shared" si="9"/>
        <v>31669300</v>
      </c>
      <c r="X40" s="321">
        <v>11669</v>
      </c>
      <c r="Y40" s="321">
        <f t="shared" si="10"/>
        <v>30243000</v>
      </c>
      <c r="Z40" s="321">
        <v>11536</v>
      </c>
      <c r="AA40" s="321">
        <f t="shared" si="11"/>
        <v>28982000</v>
      </c>
      <c r="AB40" s="321">
        <v>11148</v>
      </c>
      <c r="AC40" s="321">
        <f t="shared" si="12"/>
        <v>27538100</v>
      </c>
      <c r="AD40" s="321">
        <v>4880</v>
      </c>
      <c r="AE40" s="321">
        <f t="shared" si="13"/>
        <v>17669900</v>
      </c>
      <c r="AF40" s="321">
        <v>4777</v>
      </c>
    </row>
    <row r="41" spans="2:32">
      <c r="B41" s="321" t="s">
        <v>583</v>
      </c>
      <c r="C41" s="321">
        <v>10000</v>
      </c>
      <c r="D41" s="321">
        <v>22762</v>
      </c>
      <c r="E41" s="321">
        <f t="shared" si="0"/>
        <v>249467400</v>
      </c>
      <c r="F41" s="321">
        <v>19478</v>
      </c>
      <c r="G41" s="321">
        <f t="shared" si="1"/>
        <v>213422900</v>
      </c>
      <c r="H41" s="321">
        <v>10427</v>
      </c>
      <c r="I41" s="321">
        <f t="shared" si="2"/>
        <v>163112000</v>
      </c>
      <c r="J41" s="321">
        <v>9642</v>
      </c>
      <c r="K41" s="321">
        <f t="shared" si="3"/>
        <v>122404300</v>
      </c>
      <c r="L41" s="321">
        <v>88855</v>
      </c>
      <c r="M41" s="321">
        <f t="shared" si="4"/>
        <v>740883500</v>
      </c>
      <c r="N41" s="321">
        <v>8800</v>
      </c>
      <c r="O41" s="321">
        <f t="shared" si="5"/>
        <v>109128300</v>
      </c>
      <c r="P41" s="321">
        <v>7794</v>
      </c>
      <c r="Q41" s="321">
        <f t="shared" si="6"/>
        <v>98202400</v>
      </c>
      <c r="R41" s="321">
        <v>6787</v>
      </c>
      <c r="S41" s="321">
        <f t="shared" si="7"/>
        <v>88941800</v>
      </c>
      <c r="T41" s="321">
        <v>6535</v>
      </c>
      <c r="U41" s="321">
        <f t="shared" si="8"/>
        <v>85238600</v>
      </c>
      <c r="V41" s="321">
        <v>6282</v>
      </c>
      <c r="W41" s="321">
        <f t="shared" si="9"/>
        <v>78784300</v>
      </c>
      <c r="X41" s="321">
        <v>6157</v>
      </c>
      <c r="Y41" s="321">
        <f t="shared" si="10"/>
        <v>76420500</v>
      </c>
      <c r="Z41" s="321">
        <v>6031</v>
      </c>
      <c r="AA41" s="321">
        <f t="shared" si="11"/>
        <v>74214500</v>
      </c>
      <c r="AB41" s="321">
        <v>5875</v>
      </c>
      <c r="AC41" s="321">
        <f t="shared" si="12"/>
        <v>71600600</v>
      </c>
      <c r="AD41" s="321">
        <v>2778</v>
      </c>
      <c r="AE41" s="321">
        <f t="shared" si="13"/>
        <v>38504900</v>
      </c>
      <c r="AF41" s="321">
        <v>2678</v>
      </c>
    </row>
    <row r="42" spans="2:32">
      <c r="B42" s="321" t="s">
        <v>584</v>
      </c>
      <c r="C42" s="321">
        <v>20000</v>
      </c>
      <c r="D42" s="321">
        <v>7253</v>
      </c>
      <c r="E42" s="321">
        <f t="shared" si="0"/>
        <v>321997400</v>
      </c>
      <c r="F42" s="321">
        <v>7134</v>
      </c>
      <c r="G42" s="321">
        <f t="shared" si="1"/>
        <v>284762900</v>
      </c>
      <c r="H42" s="321">
        <v>7020</v>
      </c>
      <c r="I42" s="321">
        <f t="shared" si="2"/>
        <v>233312000</v>
      </c>
      <c r="J42" s="321">
        <v>6957</v>
      </c>
      <c r="K42" s="321">
        <f t="shared" si="3"/>
        <v>191974300</v>
      </c>
      <c r="L42" s="321">
        <v>6898</v>
      </c>
      <c r="M42" s="321">
        <f t="shared" si="4"/>
        <v>809863500</v>
      </c>
      <c r="N42" s="321">
        <v>5890</v>
      </c>
      <c r="O42" s="321">
        <f t="shared" si="5"/>
        <v>168028300</v>
      </c>
      <c r="P42" s="321">
        <v>4884</v>
      </c>
      <c r="Q42" s="321">
        <f t="shared" si="6"/>
        <v>147042400</v>
      </c>
      <c r="R42" s="321">
        <v>3655</v>
      </c>
      <c r="S42" s="321">
        <f t="shared" si="7"/>
        <v>125491800</v>
      </c>
      <c r="T42" s="321">
        <v>3111</v>
      </c>
      <c r="U42" s="321">
        <f t="shared" si="8"/>
        <v>116348600</v>
      </c>
      <c r="V42" s="321">
        <v>2834</v>
      </c>
      <c r="W42" s="321">
        <f t="shared" si="9"/>
        <v>107124300</v>
      </c>
      <c r="X42" s="321">
        <v>2477</v>
      </c>
      <c r="Y42" s="321">
        <f t="shared" si="10"/>
        <v>101190500</v>
      </c>
      <c r="Z42" s="321">
        <v>2116</v>
      </c>
      <c r="AA42" s="321">
        <f t="shared" si="11"/>
        <v>95374500</v>
      </c>
      <c r="AB42" s="321">
        <v>1929</v>
      </c>
      <c r="AC42" s="321">
        <f t="shared" si="12"/>
        <v>90890600</v>
      </c>
      <c r="AD42" s="321">
        <v>1742</v>
      </c>
      <c r="AE42" s="321">
        <f t="shared" si="13"/>
        <v>55924900</v>
      </c>
      <c r="AF42" s="321">
        <v>1575</v>
      </c>
    </row>
    <row r="43" spans="2:32">
      <c r="B43" s="321" t="s">
        <v>585</v>
      </c>
      <c r="C43" s="321">
        <v>40000</v>
      </c>
      <c r="D43" s="321">
        <v>5824</v>
      </c>
      <c r="E43" s="321">
        <f t="shared" si="0"/>
        <v>438477400</v>
      </c>
      <c r="F43" s="321">
        <v>5146</v>
      </c>
      <c r="G43" s="321">
        <f t="shared" si="1"/>
        <v>387682900</v>
      </c>
      <c r="H43" s="321">
        <v>4963</v>
      </c>
      <c r="I43" s="321">
        <f t="shared" si="2"/>
        <v>332572000</v>
      </c>
      <c r="J43" s="321">
        <v>4784</v>
      </c>
      <c r="K43" s="321">
        <f t="shared" si="3"/>
        <v>287654300</v>
      </c>
      <c r="L43" s="321">
        <v>4284</v>
      </c>
      <c r="M43" s="321">
        <f t="shared" si="4"/>
        <v>895543500</v>
      </c>
      <c r="N43" s="321">
        <v>3056</v>
      </c>
      <c r="O43" s="321">
        <f t="shared" si="5"/>
        <v>229148300</v>
      </c>
      <c r="P43" s="321">
        <v>2996</v>
      </c>
      <c r="Q43" s="321">
        <f t="shared" si="6"/>
        <v>206962400</v>
      </c>
      <c r="R43" s="321">
        <v>1879</v>
      </c>
      <c r="S43" s="321">
        <f t="shared" si="7"/>
        <v>163071800</v>
      </c>
      <c r="T43" s="321">
        <v>1797</v>
      </c>
      <c r="U43" s="321">
        <f t="shared" si="8"/>
        <v>152288600</v>
      </c>
      <c r="V43" s="321">
        <v>1711</v>
      </c>
      <c r="W43" s="321">
        <f t="shared" si="9"/>
        <v>141344300</v>
      </c>
      <c r="X43" s="321">
        <v>1633</v>
      </c>
      <c r="Y43" s="321">
        <f t="shared" si="10"/>
        <v>133850500</v>
      </c>
      <c r="Z43" s="321">
        <v>1551</v>
      </c>
      <c r="AA43" s="321">
        <f t="shared" si="11"/>
        <v>126394500</v>
      </c>
      <c r="AB43" s="321">
        <v>1470</v>
      </c>
      <c r="AC43" s="321">
        <f t="shared" si="12"/>
        <v>120290600</v>
      </c>
      <c r="AD43" s="321">
        <v>816</v>
      </c>
      <c r="AE43" s="321">
        <f t="shared" si="13"/>
        <v>72244900</v>
      </c>
      <c r="AF43" s="321">
        <v>575</v>
      </c>
    </row>
    <row r="44" spans="2:32">
      <c r="B44" s="321" t="s">
        <v>586</v>
      </c>
      <c r="C44" s="321">
        <v>70000</v>
      </c>
      <c r="D44" s="321">
        <v>4540</v>
      </c>
      <c r="E44" s="321">
        <f t="shared" si="0"/>
        <v>574677400</v>
      </c>
      <c r="F44" s="321">
        <v>4134</v>
      </c>
      <c r="G44" s="321">
        <f t="shared" si="1"/>
        <v>511702900</v>
      </c>
      <c r="H44" s="321">
        <v>4034</v>
      </c>
      <c r="I44" s="321">
        <f t="shared" si="2"/>
        <v>453592000</v>
      </c>
      <c r="J44" s="321">
        <v>3673</v>
      </c>
      <c r="K44" s="321">
        <f t="shared" si="3"/>
        <v>397844300</v>
      </c>
      <c r="L44" s="321">
        <v>3166</v>
      </c>
      <c r="M44" s="321">
        <f t="shared" si="4"/>
        <v>990523500</v>
      </c>
      <c r="N44" s="321">
        <v>2597</v>
      </c>
      <c r="O44" s="321">
        <f t="shared" si="5"/>
        <v>307058300</v>
      </c>
      <c r="P44" s="321">
        <v>2477</v>
      </c>
      <c r="Q44" s="321">
        <f t="shared" si="6"/>
        <v>281272400</v>
      </c>
      <c r="R44" s="321">
        <v>2237</v>
      </c>
      <c r="S44" s="321">
        <f t="shared" si="7"/>
        <v>230181800</v>
      </c>
      <c r="T44" s="321">
        <v>1936</v>
      </c>
      <c r="U44" s="321">
        <f t="shared" si="8"/>
        <v>210368600</v>
      </c>
      <c r="V44" s="321">
        <v>1640</v>
      </c>
      <c r="W44" s="321">
        <f t="shared" si="9"/>
        <v>190544300</v>
      </c>
      <c r="X44" s="321">
        <v>1328</v>
      </c>
      <c r="Y44" s="321">
        <f t="shared" si="10"/>
        <v>173690500</v>
      </c>
      <c r="Z44" s="321">
        <v>850</v>
      </c>
      <c r="AA44" s="321">
        <f t="shared" si="11"/>
        <v>151894500</v>
      </c>
      <c r="AB44" s="321">
        <v>715</v>
      </c>
      <c r="AC44" s="321">
        <f t="shared" si="12"/>
        <v>141740600</v>
      </c>
      <c r="AD44" s="321">
        <v>520</v>
      </c>
      <c r="AE44" s="321">
        <f t="shared" si="13"/>
        <v>87844900</v>
      </c>
      <c r="AF44" s="321">
        <v>547</v>
      </c>
    </row>
    <row r="45" spans="2:32">
      <c r="B45" s="321" t="s">
        <v>587</v>
      </c>
      <c r="C45" s="321"/>
      <c r="D45" s="321">
        <v>2012</v>
      </c>
      <c r="E45" s="321">
        <f t="shared" si="0"/>
        <v>433837400</v>
      </c>
      <c r="F45" s="321">
        <v>1874</v>
      </c>
      <c r="G45" s="321">
        <f t="shared" si="1"/>
        <v>380522900</v>
      </c>
      <c r="H45" s="321">
        <v>1848</v>
      </c>
      <c r="I45" s="321">
        <f t="shared" si="2"/>
        <v>324232000</v>
      </c>
      <c r="J45" s="321">
        <v>1738</v>
      </c>
      <c r="K45" s="321">
        <f t="shared" si="3"/>
        <v>276184300</v>
      </c>
      <c r="L45" s="321">
        <v>1488</v>
      </c>
      <c r="M45" s="321">
        <f t="shared" si="4"/>
        <v>886363500</v>
      </c>
      <c r="N45" s="321">
        <v>1218</v>
      </c>
      <c r="O45" s="321">
        <f t="shared" si="5"/>
        <v>221798300</v>
      </c>
      <c r="P45" s="321">
        <v>1079</v>
      </c>
      <c r="Q45" s="321">
        <f t="shared" si="6"/>
        <v>205742400</v>
      </c>
      <c r="R45" s="321">
        <v>1089</v>
      </c>
      <c r="S45" s="321">
        <f t="shared" si="7"/>
        <v>153951800</v>
      </c>
      <c r="T45" s="321">
        <v>707</v>
      </c>
      <c r="U45" s="321">
        <f t="shared" si="8"/>
        <v>160878600</v>
      </c>
      <c r="V45" s="321">
        <v>677</v>
      </c>
      <c r="W45" s="321">
        <f t="shared" si="9"/>
        <v>143154300</v>
      </c>
      <c r="X45" s="321">
        <v>641</v>
      </c>
      <c r="Y45" s="321">
        <f t="shared" si="10"/>
        <v>128820500</v>
      </c>
      <c r="Z45" s="321">
        <v>401</v>
      </c>
      <c r="AA45" s="321">
        <f t="shared" si="11"/>
        <v>123824500</v>
      </c>
      <c r="AB45" s="321">
        <v>364</v>
      </c>
      <c r="AC45" s="321">
        <f t="shared" si="12"/>
        <v>116260600</v>
      </c>
      <c r="AD45" s="321">
        <v>361</v>
      </c>
      <c r="AE45" s="321">
        <f t="shared" si="13"/>
        <v>62574900</v>
      </c>
      <c r="AF45" s="321">
        <v>295</v>
      </c>
    </row>
    <row r="46" spans="2:32">
      <c r="D46" s="387"/>
      <c r="E46" s="387"/>
    </row>
    <row r="48" spans="2:32">
      <c r="B48" t="s">
        <v>588</v>
      </c>
    </row>
    <row r="49" spans="2:2">
      <c r="B49" t="s">
        <v>589</v>
      </c>
    </row>
    <row r="50" spans="2:2">
      <c r="B50" t="s">
        <v>590</v>
      </c>
    </row>
    <row r="51" spans="2:2">
      <c r="B51" t="s">
        <v>591</v>
      </c>
    </row>
    <row r="52" spans="2:2">
      <c r="B52" t="s">
        <v>592</v>
      </c>
    </row>
    <row r="54" spans="2:2">
      <c r="B54" t="s">
        <v>593</v>
      </c>
    </row>
    <row r="55" spans="2:2">
      <c r="B55" t="s">
        <v>594</v>
      </c>
    </row>
    <row r="56" spans="2:2">
      <c r="B56" t="s">
        <v>595</v>
      </c>
    </row>
    <row r="57" spans="2:2">
      <c r="B57" t="s">
        <v>596</v>
      </c>
    </row>
  </sheetData>
  <mergeCells count="1">
    <mergeCell ref="G15:H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6:AT89"/>
  <sheetViews>
    <sheetView tabSelected="1" view="pageBreakPreview" topLeftCell="A16" zoomScaleNormal="100" workbookViewId="0">
      <selection activeCell="D51" sqref="D51"/>
    </sheetView>
  </sheetViews>
  <sheetFormatPr defaultColWidth="9.140625" defaultRowHeight="15.75"/>
  <cols>
    <col min="1" max="1" width="24.85546875" style="8" customWidth="1"/>
    <col min="2" max="2" width="25.140625" style="8" customWidth="1"/>
    <col min="3" max="3" width="9.7109375" style="8" customWidth="1"/>
    <col min="4" max="4" width="14.28515625" style="8" customWidth="1"/>
    <col min="5" max="5" width="6.5703125" style="315" customWidth="1"/>
    <col min="6" max="6" width="18.28515625" style="315" customWidth="1"/>
    <col min="7" max="7" width="5.85546875" style="315" customWidth="1"/>
    <col min="8" max="8" width="19.7109375" style="315" customWidth="1"/>
    <col min="9" max="10" width="15" style="315" customWidth="1"/>
    <col min="11" max="11" width="16.7109375" style="315" customWidth="1"/>
    <col min="12" max="12" width="15.42578125" style="315" customWidth="1"/>
    <col min="13" max="13" width="13.85546875" style="315" customWidth="1"/>
    <col min="14" max="32" width="29.42578125" style="315" customWidth="1"/>
    <col min="33" max="33" width="23.140625" style="315" customWidth="1"/>
    <col min="34" max="46" width="9.140625" style="315"/>
    <col min="47" max="16384" width="9.140625" style="8"/>
  </cols>
  <sheetData>
    <row r="6" spans="1:13" ht="33" customHeight="1">
      <c r="A6" s="513" t="s">
        <v>597</v>
      </c>
      <c r="B6" s="513"/>
      <c r="C6" s="513"/>
      <c r="H6" s="316"/>
      <c r="I6" s="317">
        <f>31.5*16</f>
        <v>504</v>
      </c>
      <c r="J6" s="317"/>
    </row>
    <row r="7" spans="1:13" ht="18">
      <c r="A7" s="318" t="s">
        <v>598</v>
      </c>
      <c r="I7" s="317"/>
      <c r="J7" s="317"/>
    </row>
    <row r="8" spans="1:13" ht="20.100000000000001" customHeight="1">
      <c r="A8" s="117" t="s">
        <v>599</v>
      </c>
      <c r="B8" s="319" t="s">
        <v>600</v>
      </c>
      <c r="I8" s="317"/>
      <c r="J8" s="317"/>
    </row>
    <row r="9" spans="1:13" ht="20.100000000000001" customHeight="1">
      <c r="A9" s="117" t="s">
        <v>601</v>
      </c>
      <c r="B9" s="319" t="s">
        <v>602</v>
      </c>
    </row>
    <row r="10" spans="1:13" ht="20.100000000000001" customHeight="1">
      <c r="A10" s="117" t="s">
        <v>603</v>
      </c>
      <c r="B10" s="319">
        <v>2</v>
      </c>
      <c r="H10" s="320">
        <v>2720</v>
      </c>
      <c r="I10" s="321">
        <v>200</v>
      </c>
      <c r="J10" s="322">
        <v>200</v>
      </c>
      <c r="K10" s="316">
        <f>H10*J10</f>
        <v>544000</v>
      </c>
    </row>
    <row r="11" spans="1:13" ht="20.100000000000001" customHeight="1">
      <c r="A11" s="117" t="s">
        <v>604</v>
      </c>
      <c r="B11" s="323">
        <v>220.9</v>
      </c>
      <c r="C11" s="324"/>
      <c r="H11" s="325">
        <v>2040</v>
      </c>
      <c r="I11" s="321">
        <v>97.29</v>
      </c>
      <c r="J11" s="322">
        <v>131.69999999999999</v>
      </c>
      <c r="K11" s="316">
        <f>H11*J11</f>
        <v>268668</v>
      </c>
    </row>
    <row r="12" spans="1:13" ht="20.100000000000001" customHeight="1">
      <c r="A12" s="117" t="s">
        <v>2</v>
      </c>
      <c r="B12" s="326" t="s">
        <v>550</v>
      </c>
      <c r="F12" s="316"/>
      <c r="H12" s="325"/>
      <c r="I12" s="321">
        <v>200</v>
      </c>
      <c r="J12" s="322"/>
      <c r="K12" s="316">
        <f t="shared" ref="K12:K17" si="0">H12*J12</f>
        <v>0</v>
      </c>
    </row>
    <row r="13" spans="1:13" ht="20.100000000000001" customHeight="1">
      <c r="A13" s="117" t="s">
        <v>605</v>
      </c>
      <c r="B13" s="327">
        <f>IF(B12="1-1b",D48,IF(B12="1-1a",F48,IF(B12="1-1",H48,IF(B12="1-2",K48,IF(B12="2-1",M48,IF(B12="1-3",O48,IF(B12="2-2",Q48,IF(B12="3-1",S48,IF(B12="2-3",U48,IF(B12="3-2",W48,IF(B12="4-1",Y48,IF(B12="3-3",AA48,IF(B12="4-2",AC48,IF(B12="4-3",AE48,IF(B12="4-4",AG48)))))))))))))))</f>
        <v>5776904.5999999996</v>
      </c>
      <c r="H13" s="328"/>
      <c r="I13" s="321">
        <v>200</v>
      </c>
      <c r="J13" s="322"/>
      <c r="K13" s="316">
        <f t="shared" si="0"/>
        <v>0</v>
      </c>
      <c r="L13" s="317"/>
      <c r="M13" s="317">
        <f>100*(K13+K14+K15+K16+K17)</f>
        <v>0</v>
      </c>
    </row>
    <row r="14" spans="1:13" ht="31.5" customHeight="1">
      <c r="A14" s="329" t="s">
        <v>606</v>
      </c>
      <c r="B14" s="327"/>
      <c r="H14" s="321"/>
      <c r="I14" s="321">
        <v>200</v>
      </c>
      <c r="J14" s="322"/>
      <c r="K14" s="316">
        <f t="shared" si="0"/>
        <v>0</v>
      </c>
      <c r="L14" s="317"/>
    </row>
    <row r="15" spans="1:13" ht="36.75" customHeight="1">
      <c r="A15" s="329" t="s">
        <v>607</v>
      </c>
      <c r="B15" s="330">
        <v>0</v>
      </c>
      <c r="H15" s="321"/>
      <c r="I15" s="331">
        <v>500</v>
      </c>
      <c r="J15" s="332"/>
      <c r="K15" s="316">
        <f t="shared" si="0"/>
        <v>0</v>
      </c>
      <c r="L15" s="317"/>
    </row>
    <row r="16" spans="1:13" ht="39" customHeight="1">
      <c r="A16" s="329" t="s">
        <v>608</v>
      </c>
      <c r="B16" s="333" t="str">
        <f>IF(B14&gt;1,B14-B15,"0")</f>
        <v>0</v>
      </c>
      <c r="H16" s="321">
        <f>226*2.5</f>
        <v>565</v>
      </c>
      <c r="I16" s="331">
        <v>500</v>
      </c>
      <c r="J16" s="332"/>
      <c r="K16" s="316">
        <f t="shared" si="0"/>
        <v>0</v>
      </c>
      <c r="L16" s="317"/>
    </row>
    <row r="17" spans="1:33" ht="20.100000000000001" customHeight="1">
      <c r="A17" s="329" t="s">
        <v>609</v>
      </c>
      <c r="B17" s="327"/>
      <c r="H17" s="321">
        <f>177*2.5</f>
        <v>442.5</v>
      </c>
      <c r="I17" s="331">
        <v>1000</v>
      </c>
      <c r="J17" s="332"/>
      <c r="K17" s="316">
        <f t="shared" si="0"/>
        <v>0</v>
      </c>
      <c r="L17" s="317"/>
    </row>
    <row r="18" spans="1:33" ht="50.25" customHeight="1">
      <c r="A18" s="329" t="s">
        <v>610</v>
      </c>
      <c r="B18" s="327"/>
      <c r="C18" s="36"/>
      <c r="D18" s="36"/>
      <c r="E18" s="317"/>
      <c r="G18" s="317"/>
      <c r="H18" s="317"/>
      <c r="I18" s="334">
        <f>SUM(I10:I17)</f>
        <v>2897.29</v>
      </c>
      <c r="J18" s="334">
        <f>SUM(J10:J17)</f>
        <v>331.7</v>
      </c>
      <c r="K18" s="316">
        <f>SUM(K10:K17)</f>
        <v>812668</v>
      </c>
      <c r="L18" s="317">
        <f>SUM(L13:L17)</f>
        <v>0</v>
      </c>
      <c r="R18" s="317">
        <f>B13-R19</f>
        <v>168304.6</v>
      </c>
    </row>
    <row r="19" spans="1:33" ht="33" customHeight="1">
      <c r="A19" s="329" t="s">
        <v>611</v>
      </c>
      <c r="B19" s="335">
        <f>K18</f>
        <v>812668</v>
      </c>
      <c r="C19" s="25"/>
      <c r="D19" s="20"/>
      <c r="E19" s="8"/>
      <c r="H19" s="317"/>
      <c r="R19" s="316">
        <f>(100*R22)+(100*R23)+(100*R24)</f>
        <v>5608600</v>
      </c>
      <c r="AF19" s="317">
        <f>100*AF22+100*AF23</f>
        <v>2462100</v>
      </c>
      <c r="AG19" s="317"/>
    </row>
    <row r="20" spans="1:33" hidden="1">
      <c r="A20" s="336"/>
      <c r="B20" s="336"/>
      <c r="C20" s="337" t="s">
        <v>546</v>
      </c>
      <c r="D20" s="337"/>
      <c r="E20" s="338" t="s">
        <v>547</v>
      </c>
      <c r="F20" s="338"/>
      <c r="G20" s="338" t="s">
        <v>548</v>
      </c>
      <c r="H20" s="338"/>
      <c r="I20" s="338" t="s">
        <v>549</v>
      </c>
      <c r="J20" s="338"/>
      <c r="K20" s="338"/>
      <c r="L20" s="338" t="s">
        <v>550</v>
      </c>
      <c r="M20" s="338"/>
      <c r="N20" s="338" t="s">
        <v>551</v>
      </c>
      <c r="O20" s="338"/>
      <c r="P20" s="338" t="s">
        <v>552</v>
      </c>
      <c r="Q20" s="338"/>
      <c r="R20" s="338" t="s">
        <v>553</v>
      </c>
      <c r="S20" s="338"/>
      <c r="T20" s="338" t="s">
        <v>554</v>
      </c>
      <c r="U20" s="338"/>
      <c r="V20" s="338" t="s">
        <v>555</v>
      </c>
      <c r="W20" s="338"/>
      <c r="X20" s="338" t="s">
        <v>556</v>
      </c>
      <c r="Y20" s="338"/>
      <c r="Z20" s="338" t="s">
        <v>557</v>
      </c>
      <c r="AA20" s="338"/>
      <c r="AB20" s="338" t="s">
        <v>558</v>
      </c>
      <c r="AC20" s="338"/>
      <c r="AD20" s="338" t="s">
        <v>559</v>
      </c>
      <c r="AE20" s="338"/>
      <c r="AF20" s="338" t="s">
        <v>560</v>
      </c>
    </row>
    <row r="21" spans="1:33" hidden="1">
      <c r="A21" s="336"/>
      <c r="B21" s="336"/>
      <c r="C21" s="337">
        <v>1</v>
      </c>
      <c r="D21" s="337"/>
      <c r="E21" s="339">
        <v>2</v>
      </c>
      <c r="F21" s="339"/>
      <c r="G21" s="339">
        <v>3</v>
      </c>
      <c r="H21" s="339"/>
      <c r="I21" s="339">
        <v>4</v>
      </c>
      <c r="J21" s="339"/>
      <c r="K21" s="339"/>
      <c r="L21" s="339">
        <v>5</v>
      </c>
      <c r="M21" s="339"/>
      <c r="N21" s="339">
        <v>6</v>
      </c>
      <c r="O21" s="339"/>
      <c r="P21" s="339">
        <v>7</v>
      </c>
      <c r="Q21" s="339"/>
      <c r="R21" s="339">
        <v>8</v>
      </c>
      <c r="S21" s="339"/>
      <c r="T21" s="339">
        <v>9</v>
      </c>
      <c r="U21" s="339"/>
      <c r="V21" s="339">
        <v>10</v>
      </c>
      <c r="W21" s="339"/>
      <c r="X21" s="339">
        <v>11</v>
      </c>
      <c r="Y21" s="339"/>
      <c r="Z21" s="339">
        <v>12</v>
      </c>
      <c r="AA21" s="339"/>
      <c r="AB21" s="339">
        <v>13</v>
      </c>
      <c r="AC21" s="339"/>
      <c r="AD21" s="339">
        <v>14</v>
      </c>
      <c r="AE21" s="339"/>
      <c r="AF21" s="339">
        <v>15</v>
      </c>
    </row>
    <row r="22" spans="1:33" hidden="1">
      <c r="A22" s="336" t="s">
        <v>562</v>
      </c>
      <c r="B22" s="336">
        <v>100</v>
      </c>
      <c r="C22" s="340">
        <v>67844</v>
      </c>
      <c r="D22" s="340">
        <f>$B$22*C22</f>
        <v>6784400</v>
      </c>
      <c r="E22" s="341">
        <v>44355</v>
      </c>
      <c r="F22" s="341">
        <f>$B$22*E22</f>
        <v>4435500</v>
      </c>
      <c r="G22" s="341">
        <v>35523</v>
      </c>
      <c r="H22" s="341">
        <f>$B$22*G22</f>
        <v>3552300</v>
      </c>
      <c r="I22" s="341">
        <v>30912</v>
      </c>
      <c r="J22" s="341"/>
      <c r="K22" s="341">
        <f>$B$22*I22</f>
        <v>3091200</v>
      </c>
      <c r="L22" s="341">
        <v>26368</v>
      </c>
      <c r="M22" s="341">
        <f>$B$22*L22</f>
        <v>2636800</v>
      </c>
      <c r="N22" s="341">
        <v>23599</v>
      </c>
      <c r="O22" s="341">
        <f>$B$22*N22</f>
        <v>2359900</v>
      </c>
      <c r="P22" s="341">
        <v>21576</v>
      </c>
      <c r="Q22" s="341">
        <f>$B$22*P22</f>
        <v>2157600</v>
      </c>
      <c r="R22" s="341">
        <v>20351</v>
      </c>
      <c r="S22" s="341">
        <f>$B$22*R22</f>
        <v>2035100</v>
      </c>
      <c r="T22" s="341">
        <v>17283</v>
      </c>
      <c r="U22" s="341">
        <f>$B$22*T22</f>
        <v>1728300</v>
      </c>
      <c r="V22" s="341">
        <v>16267</v>
      </c>
      <c r="W22" s="341">
        <f>$B$22*V22</f>
        <v>1626700</v>
      </c>
      <c r="X22" s="341">
        <v>15202</v>
      </c>
      <c r="Y22" s="341">
        <f>$B$22*X22</f>
        <v>1520200</v>
      </c>
      <c r="Z22" s="341">
        <v>14559</v>
      </c>
      <c r="AA22" s="341">
        <f>$B$22*Z22</f>
        <v>1455900</v>
      </c>
      <c r="AB22" s="341">
        <v>14168</v>
      </c>
      <c r="AC22" s="341">
        <f>$B$22*AB22</f>
        <v>1416800</v>
      </c>
      <c r="AD22" s="341">
        <v>13275</v>
      </c>
      <c r="AE22" s="341">
        <f>$B$22*AD22</f>
        <v>1327500</v>
      </c>
      <c r="AF22" s="341">
        <v>12688</v>
      </c>
      <c r="AG22" s="341">
        <f>$B$22*AF22</f>
        <v>1268800</v>
      </c>
    </row>
    <row r="23" spans="1:33" hidden="1">
      <c r="A23" s="336" t="s">
        <v>563</v>
      </c>
      <c r="B23" s="336">
        <v>200</v>
      </c>
      <c r="C23" s="340">
        <v>62975</v>
      </c>
      <c r="D23" s="340">
        <f>D22+((B23-B22)*C23)</f>
        <v>13081900</v>
      </c>
      <c r="E23" s="341">
        <v>43454</v>
      </c>
      <c r="F23" s="341">
        <f>F22+((B23-B22)*E23)</f>
        <v>8780900</v>
      </c>
      <c r="G23" s="341">
        <v>34892</v>
      </c>
      <c r="H23" s="341">
        <f>H22+((B23-B22)*G23)</f>
        <v>7041500</v>
      </c>
      <c r="I23" s="341">
        <v>30521</v>
      </c>
      <c r="J23" s="341"/>
      <c r="K23" s="341">
        <f>K22+((B23-B22)*I23)</f>
        <v>6143300</v>
      </c>
      <c r="L23" s="341">
        <v>26031</v>
      </c>
      <c r="M23" s="341">
        <f>M22+((B23-B22)*L23)</f>
        <v>5239900</v>
      </c>
      <c r="N23" s="341">
        <v>23069</v>
      </c>
      <c r="O23" s="341">
        <f>O22+((B23-B22)*N23)</f>
        <v>4666800</v>
      </c>
      <c r="P23" s="341">
        <v>20104</v>
      </c>
      <c r="Q23" s="341">
        <f>Q22+((B23-B22)*P23)</f>
        <v>4168000</v>
      </c>
      <c r="R23" s="341">
        <v>18420</v>
      </c>
      <c r="S23" s="341">
        <f>S22+((B23-B22)*R23)</f>
        <v>3877100</v>
      </c>
      <c r="T23" s="341">
        <v>17082</v>
      </c>
      <c r="U23" s="341">
        <f>U22+((B23-B22)*T23)</f>
        <v>3436500</v>
      </c>
      <c r="V23" s="341">
        <v>15588</v>
      </c>
      <c r="W23" s="341">
        <f>W22+((B23-B22)*V23)</f>
        <v>3185500</v>
      </c>
      <c r="X23" s="341">
        <v>14625</v>
      </c>
      <c r="Y23" s="341">
        <f>Y22+((B23-B22)*X23)</f>
        <v>2982700</v>
      </c>
      <c r="Z23" s="341">
        <v>14104</v>
      </c>
      <c r="AA23" s="341">
        <f>AA22+((B23-B22)*Z23)</f>
        <v>2866300</v>
      </c>
      <c r="AB23" s="341">
        <v>13800</v>
      </c>
      <c r="AC23" s="341">
        <f>AC22+((B23-B22)*AB23)</f>
        <v>2796800</v>
      </c>
      <c r="AD23" s="341">
        <v>12537</v>
      </c>
      <c r="AE23" s="341">
        <f>AE22+((B23-B22)*AD23)</f>
        <v>2581200</v>
      </c>
      <c r="AF23" s="341">
        <v>11933</v>
      </c>
      <c r="AG23" s="341">
        <f>AG22+((B23-B22)*AF23)</f>
        <v>2462100</v>
      </c>
    </row>
    <row r="24" spans="1:33" hidden="1">
      <c r="A24" s="336" t="s">
        <v>564</v>
      </c>
      <c r="B24" s="336">
        <v>300</v>
      </c>
      <c r="C24" s="340">
        <v>58106</v>
      </c>
      <c r="D24" s="340">
        <f t="shared" ref="D24:D47" si="1">D23+((B24-B23)*C24)</f>
        <v>18892500</v>
      </c>
      <c r="E24" s="341">
        <v>42553</v>
      </c>
      <c r="F24" s="341">
        <f t="shared" ref="F24:F47" si="2">F23+((B24-B23)*E24)</f>
        <v>13036200</v>
      </c>
      <c r="G24" s="341">
        <v>34261</v>
      </c>
      <c r="H24" s="341">
        <f t="shared" ref="H24:H47" si="3">H23+((B24-B23)*G24)</f>
        <v>10467600</v>
      </c>
      <c r="I24" s="341">
        <v>30130</v>
      </c>
      <c r="J24" s="341"/>
      <c r="K24" s="341">
        <f t="shared" ref="K24:K47" si="4">K23+((B24-B23)*I24)</f>
        <v>9156300</v>
      </c>
      <c r="L24" s="341">
        <v>25694</v>
      </c>
      <c r="M24" s="341">
        <f t="shared" ref="M24:M47" si="5">M23+((B24-B23)*L24)</f>
        <v>7809300</v>
      </c>
      <c r="N24" s="341">
        <v>22539</v>
      </c>
      <c r="O24" s="341">
        <f t="shared" ref="O24:O47" si="6">O23+((B24-B23)*N24)</f>
        <v>6920700</v>
      </c>
      <c r="P24" s="341">
        <v>19022</v>
      </c>
      <c r="Q24" s="341">
        <f t="shared" ref="Q24:Q47" si="7">Q23+((B24-B23)*P24)</f>
        <v>6070200</v>
      </c>
      <c r="R24" s="341">
        <v>17315</v>
      </c>
      <c r="S24" s="341">
        <f t="shared" ref="S24:S47" si="8">S23+((B24-B23)*R24)</f>
        <v>5608600</v>
      </c>
      <c r="T24" s="341">
        <v>16898</v>
      </c>
      <c r="U24" s="341">
        <f t="shared" ref="U24:U47" si="9">U23+((B24-B23)*T24)</f>
        <v>5126300</v>
      </c>
      <c r="V24" s="341">
        <v>14991</v>
      </c>
      <c r="W24" s="341">
        <f t="shared" ref="W24:W47" si="10">W23+((B24-B23)*V24)</f>
        <v>4684600</v>
      </c>
      <c r="X24" s="341">
        <v>14128</v>
      </c>
      <c r="Y24" s="341">
        <f t="shared" ref="Y24:Y47" si="11">Y23+((B24-B23)*X24)</f>
        <v>4395500</v>
      </c>
      <c r="Z24" s="341">
        <v>13518</v>
      </c>
      <c r="AA24" s="341">
        <f t="shared" ref="AA24:AA47" si="12">AA23+((B24-B23)*Z24)</f>
        <v>4218100</v>
      </c>
      <c r="AB24" s="341">
        <v>13622</v>
      </c>
      <c r="AC24" s="341">
        <f t="shared" ref="AC24:AC47" si="13">AC23+((B24-B23)*AB24)</f>
        <v>4159000</v>
      </c>
      <c r="AD24" s="341">
        <v>11799</v>
      </c>
      <c r="AE24" s="341">
        <f t="shared" ref="AE24:AE47" si="14">AE23+((B24-B23)*AD24)</f>
        <v>3761100</v>
      </c>
      <c r="AF24" s="341">
        <v>11318</v>
      </c>
      <c r="AG24" s="341">
        <f t="shared" ref="AG24:AG47" si="15">AG23+((B24-B23)*AF24)</f>
        <v>3593900</v>
      </c>
    </row>
    <row r="25" spans="1:33" hidden="1">
      <c r="A25" s="336" t="s">
        <v>565</v>
      </c>
      <c r="B25" s="336">
        <v>400</v>
      </c>
      <c r="C25" s="340">
        <v>54919</v>
      </c>
      <c r="D25" s="340">
        <f t="shared" si="1"/>
        <v>24384400</v>
      </c>
      <c r="E25" s="341">
        <v>41705</v>
      </c>
      <c r="F25" s="341">
        <f t="shared" si="2"/>
        <v>17206700</v>
      </c>
      <c r="G25" s="341">
        <v>33805</v>
      </c>
      <c r="H25" s="341">
        <f t="shared" si="3"/>
        <v>13848100</v>
      </c>
      <c r="I25" s="341">
        <v>29745</v>
      </c>
      <c r="J25" s="341"/>
      <c r="K25" s="341">
        <f t="shared" si="4"/>
        <v>12130800</v>
      </c>
      <c r="L25" s="341">
        <v>25445</v>
      </c>
      <c r="M25" s="341">
        <f t="shared" si="5"/>
        <v>10353800</v>
      </c>
      <c r="N25" s="341">
        <v>22284</v>
      </c>
      <c r="O25" s="341">
        <f t="shared" si="6"/>
        <v>9149100</v>
      </c>
      <c r="P25" s="341">
        <v>18829</v>
      </c>
      <c r="Q25" s="341">
        <f t="shared" si="7"/>
        <v>7953100</v>
      </c>
      <c r="R25" s="341">
        <v>17146</v>
      </c>
      <c r="S25" s="341">
        <f t="shared" si="8"/>
        <v>7323200</v>
      </c>
      <c r="T25" s="341">
        <v>16726</v>
      </c>
      <c r="U25" s="341">
        <f t="shared" si="9"/>
        <v>6798900</v>
      </c>
      <c r="V25" s="341">
        <v>14541</v>
      </c>
      <c r="W25" s="341">
        <f t="shared" si="10"/>
        <v>6138700</v>
      </c>
      <c r="X25" s="341">
        <v>13986</v>
      </c>
      <c r="Y25" s="341">
        <f t="shared" si="11"/>
        <v>5794100</v>
      </c>
      <c r="Z25" s="341">
        <v>13385</v>
      </c>
      <c r="AA25" s="341">
        <f t="shared" si="12"/>
        <v>5556600</v>
      </c>
      <c r="AB25" s="341">
        <v>13487</v>
      </c>
      <c r="AC25" s="341">
        <f t="shared" si="13"/>
        <v>5507700</v>
      </c>
      <c r="AD25" s="341">
        <v>11644</v>
      </c>
      <c r="AE25" s="341">
        <f t="shared" si="14"/>
        <v>4925500</v>
      </c>
      <c r="AF25" s="341">
        <v>11197</v>
      </c>
      <c r="AG25" s="341">
        <f t="shared" si="15"/>
        <v>4713600</v>
      </c>
    </row>
    <row r="26" spans="1:33" hidden="1">
      <c r="A26" s="336" t="s">
        <v>566</v>
      </c>
      <c r="B26" s="336">
        <v>500</v>
      </c>
      <c r="C26" s="340">
        <v>54358</v>
      </c>
      <c r="D26" s="340">
        <f t="shared" si="1"/>
        <v>29820200</v>
      </c>
      <c r="E26" s="341">
        <v>41283</v>
      </c>
      <c r="F26" s="341">
        <f t="shared" si="2"/>
        <v>21335000</v>
      </c>
      <c r="G26" s="341">
        <v>33463</v>
      </c>
      <c r="H26" s="341">
        <f t="shared" si="3"/>
        <v>17194400</v>
      </c>
      <c r="I26" s="341">
        <v>29444</v>
      </c>
      <c r="J26" s="341"/>
      <c r="K26" s="341">
        <f t="shared" si="4"/>
        <v>15075200</v>
      </c>
      <c r="L26" s="341">
        <v>25195</v>
      </c>
      <c r="M26" s="341">
        <f t="shared" si="5"/>
        <v>12873300</v>
      </c>
      <c r="N26" s="341">
        <v>22048</v>
      </c>
      <c r="O26" s="341">
        <f t="shared" si="6"/>
        <v>11353900</v>
      </c>
      <c r="P26" s="341">
        <v>18636</v>
      </c>
      <c r="Q26" s="341">
        <f t="shared" si="7"/>
        <v>9816700</v>
      </c>
      <c r="R26" s="341">
        <v>16977</v>
      </c>
      <c r="S26" s="341">
        <f t="shared" si="8"/>
        <v>9020900</v>
      </c>
      <c r="T26" s="341">
        <v>16554</v>
      </c>
      <c r="U26" s="341">
        <f t="shared" si="9"/>
        <v>8454300</v>
      </c>
      <c r="V26" s="341">
        <v>14691</v>
      </c>
      <c r="W26" s="341">
        <f t="shared" si="10"/>
        <v>7607800</v>
      </c>
      <c r="X26" s="341">
        <v>13844</v>
      </c>
      <c r="Y26" s="341">
        <f t="shared" si="11"/>
        <v>7178500</v>
      </c>
      <c r="Z26" s="341">
        <v>13252</v>
      </c>
      <c r="AA26" s="341">
        <f t="shared" si="12"/>
        <v>6881800</v>
      </c>
      <c r="AB26" s="341">
        <v>13352</v>
      </c>
      <c r="AC26" s="341">
        <f t="shared" si="13"/>
        <v>6842900</v>
      </c>
      <c r="AD26" s="341">
        <v>11513</v>
      </c>
      <c r="AE26" s="341">
        <f t="shared" si="14"/>
        <v>6076800</v>
      </c>
      <c r="AF26" s="341">
        <v>11076</v>
      </c>
      <c r="AG26" s="341">
        <f t="shared" si="15"/>
        <v>5821200</v>
      </c>
    </row>
    <row r="27" spans="1:33" hidden="1">
      <c r="A27" s="336" t="s">
        <v>567</v>
      </c>
      <c r="B27" s="336">
        <v>600</v>
      </c>
      <c r="C27" s="340">
        <v>20732</v>
      </c>
      <c r="D27" s="340">
        <f t="shared" si="1"/>
        <v>31893400</v>
      </c>
      <c r="E27" s="341">
        <v>18639</v>
      </c>
      <c r="F27" s="341">
        <f t="shared" si="2"/>
        <v>23198900</v>
      </c>
      <c r="G27" s="341">
        <v>17813</v>
      </c>
      <c r="H27" s="341">
        <f t="shared" si="3"/>
        <v>18975700</v>
      </c>
      <c r="I27" s="341">
        <v>18643</v>
      </c>
      <c r="J27" s="341"/>
      <c r="K27" s="341">
        <f t="shared" si="4"/>
        <v>16939500</v>
      </c>
      <c r="L27" s="341">
        <v>16694</v>
      </c>
      <c r="M27" s="341">
        <f t="shared" si="5"/>
        <v>14542700</v>
      </c>
      <c r="N27" s="341">
        <v>14505</v>
      </c>
      <c r="O27" s="341">
        <f t="shared" si="6"/>
        <v>12804400</v>
      </c>
      <c r="P27" s="341">
        <v>14141</v>
      </c>
      <c r="Q27" s="341">
        <f t="shared" si="7"/>
        <v>11230800</v>
      </c>
      <c r="R27" s="341">
        <v>12909</v>
      </c>
      <c r="S27" s="341">
        <f t="shared" si="8"/>
        <v>10311800</v>
      </c>
      <c r="T27" s="341">
        <v>11677</v>
      </c>
      <c r="U27" s="341">
        <f t="shared" si="9"/>
        <v>9622000</v>
      </c>
      <c r="V27" s="341">
        <v>11071</v>
      </c>
      <c r="W27" s="341">
        <f t="shared" si="10"/>
        <v>8714900</v>
      </c>
      <c r="X27" s="341">
        <v>10703</v>
      </c>
      <c r="Y27" s="341">
        <f t="shared" si="11"/>
        <v>8248800</v>
      </c>
      <c r="Z27" s="341">
        <v>9812</v>
      </c>
      <c r="AA27" s="341">
        <f t="shared" si="12"/>
        <v>7863000</v>
      </c>
      <c r="AB27" s="341">
        <v>7311</v>
      </c>
      <c r="AC27" s="341">
        <f t="shared" si="13"/>
        <v>7574000</v>
      </c>
      <c r="AD27" s="341">
        <v>7239</v>
      </c>
      <c r="AE27" s="341">
        <f t="shared" si="14"/>
        <v>6800700</v>
      </c>
      <c r="AF27" s="341">
        <v>6212</v>
      </c>
      <c r="AG27" s="341">
        <f t="shared" si="15"/>
        <v>6442400</v>
      </c>
    </row>
    <row r="28" spans="1:33" hidden="1">
      <c r="A28" s="336" t="s">
        <v>568</v>
      </c>
      <c r="B28" s="336">
        <v>700</v>
      </c>
      <c r="C28" s="340">
        <v>20477</v>
      </c>
      <c r="D28" s="340">
        <f t="shared" si="1"/>
        <v>33941100</v>
      </c>
      <c r="E28" s="341">
        <v>18351</v>
      </c>
      <c r="F28" s="341">
        <f t="shared" si="2"/>
        <v>25034000</v>
      </c>
      <c r="G28" s="341">
        <v>17591</v>
      </c>
      <c r="H28" s="341">
        <f t="shared" si="3"/>
        <v>20734800</v>
      </c>
      <c r="I28" s="341">
        <v>16832</v>
      </c>
      <c r="J28" s="341"/>
      <c r="K28" s="341">
        <f t="shared" si="4"/>
        <v>18622700</v>
      </c>
      <c r="L28" s="341">
        <v>16408</v>
      </c>
      <c r="M28" s="341">
        <f t="shared" si="5"/>
        <v>16183500</v>
      </c>
      <c r="N28" s="341">
        <v>14318</v>
      </c>
      <c r="O28" s="341">
        <f t="shared" si="6"/>
        <v>14236200</v>
      </c>
      <c r="P28" s="341">
        <v>13946</v>
      </c>
      <c r="Q28" s="341">
        <f t="shared" si="7"/>
        <v>12625400</v>
      </c>
      <c r="R28" s="341">
        <v>12612</v>
      </c>
      <c r="S28" s="341">
        <f t="shared" si="8"/>
        <v>11573000</v>
      </c>
      <c r="T28" s="341">
        <v>11545</v>
      </c>
      <c r="U28" s="341">
        <f t="shared" si="9"/>
        <v>10776500</v>
      </c>
      <c r="V28" s="341">
        <v>11006</v>
      </c>
      <c r="W28" s="341">
        <f t="shared" si="10"/>
        <v>9815500</v>
      </c>
      <c r="X28" s="341">
        <v>10551</v>
      </c>
      <c r="Y28" s="341">
        <f t="shared" si="11"/>
        <v>9303900</v>
      </c>
      <c r="Z28" s="341">
        <v>9731</v>
      </c>
      <c r="AA28" s="341">
        <f t="shared" si="12"/>
        <v>8836100</v>
      </c>
      <c r="AB28" s="341">
        <v>7221</v>
      </c>
      <c r="AC28" s="341">
        <f t="shared" si="13"/>
        <v>8296100</v>
      </c>
      <c r="AD28" s="341">
        <v>7215</v>
      </c>
      <c r="AE28" s="341">
        <f t="shared" si="14"/>
        <v>7522200</v>
      </c>
      <c r="AF28" s="341">
        <v>6167</v>
      </c>
      <c r="AG28" s="341">
        <f t="shared" si="15"/>
        <v>7059100</v>
      </c>
    </row>
    <row r="29" spans="1:33" hidden="1">
      <c r="A29" s="336" t="s">
        <v>569</v>
      </c>
      <c r="B29" s="336">
        <v>800</v>
      </c>
      <c r="C29" s="340">
        <v>20213</v>
      </c>
      <c r="D29" s="340">
        <f t="shared" si="1"/>
        <v>35962400</v>
      </c>
      <c r="E29" s="341">
        <v>18501</v>
      </c>
      <c r="F29" s="341">
        <f t="shared" si="2"/>
        <v>26884100</v>
      </c>
      <c r="G29" s="341">
        <v>18739</v>
      </c>
      <c r="H29" s="341">
        <f t="shared" si="3"/>
        <v>22608700</v>
      </c>
      <c r="I29" s="341">
        <v>18220</v>
      </c>
      <c r="J29" s="341"/>
      <c r="K29" s="341">
        <f t="shared" si="4"/>
        <v>20444700</v>
      </c>
      <c r="L29" s="341">
        <v>16394</v>
      </c>
      <c r="M29" s="341">
        <f t="shared" si="5"/>
        <v>17822900</v>
      </c>
      <c r="N29" s="341">
        <v>14154</v>
      </c>
      <c r="O29" s="341">
        <f t="shared" si="6"/>
        <v>15651600</v>
      </c>
      <c r="P29" s="341">
        <v>13967</v>
      </c>
      <c r="Q29" s="341">
        <f t="shared" si="7"/>
        <v>14022100</v>
      </c>
      <c r="R29" s="341">
        <v>13388</v>
      </c>
      <c r="S29" s="341">
        <f t="shared" si="8"/>
        <v>12911800</v>
      </c>
      <c r="T29" s="341">
        <v>12804</v>
      </c>
      <c r="U29" s="341">
        <f t="shared" si="9"/>
        <v>12056900</v>
      </c>
      <c r="V29" s="341">
        <v>12348</v>
      </c>
      <c r="W29" s="341">
        <f t="shared" si="10"/>
        <v>11050300</v>
      </c>
      <c r="X29" s="341">
        <v>11897</v>
      </c>
      <c r="Y29" s="341">
        <f t="shared" si="11"/>
        <v>10493600</v>
      </c>
      <c r="Z29" s="341">
        <v>10044</v>
      </c>
      <c r="AA29" s="341">
        <f t="shared" si="12"/>
        <v>9840500</v>
      </c>
      <c r="AB29" s="341">
        <v>8936</v>
      </c>
      <c r="AC29" s="341">
        <f t="shared" si="13"/>
        <v>9189700</v>
      </c>
      <c r="AD29" s="341">
        <v>7184</v>
      </c>
      <c r="AE29" s="341">
        <f t="shared" si="14"/>
        <v>8240600</v>
      </c>
      <c r="AF29" s="341">
        <v>6118</v>
      </c>
      <c r="AG29" s="341">
        <f t="shared" si="15"/>
        <v>7670900</v>
      </c>
    </row>
    <row r="30" spans="1:33" hidden="1">
      <c r="A30" s="336" t="s">
        <v>570</v>
      </c>
      <c r="B30" s="336">
        <v>900</v>
      </c>
      <c r="C30" s="340">
        <v>25258</v>
      </c>
      <c r="D30" s="340">
        <f t="shared" si="1"/>
        <v>38488200</v>
      </c>
      <c r="E30" s="341">
        <v>23415</v>
      </c>
      <c r="F30" s="341">
        <f t="shared" si="2"/>
        <v>29225600</v>
      </c>
      <c r="G30" s="341">
        <v>23415</v>
      </c>
      <c r="H30" s="341">
        <f t="shared" si="3"/>
        <v>24950200</v>
      </c>
      <c r="I30" s="341">
        <v>22656</v>
      </c>
      <c r="J30" s="341"/>
      <c r="K30" s="341">
        <f t="shared" si="4"/>
        <v>22710300</v>
      </c>
      <c r="L30" s="341">
        <v>21508</v>
      </c>
      <c r="M30" s="341">
        <f t="shared" si="5"/>
        <v>19973700</v>
      </c>
      <c r="N30" s="341">
        <v>20158</v>
      </c>
      <c r="O30" s="341">
        <f t="shared" si="6"/>
        <v>17667400</v>
      </c>
      <c r="P30" s="341">
        <v>20107</v>
      </c>
      <c r="Q30" s="341">
        <f t="shared" si="7"/>
        <v>16032800</v>
      </c>
      <c r="R30" s="341">
        <v>19988</v>
      </c>
      <c r="S30" s="341">
        <f t="shared" si="8"/>
        <v>14910600</v>
      </c>
      <c r="T30" s="341">
        <v>19861</v>
      </c>
      <c r="U30" s="341">
        <f t="shared" si="9"/>
        <v>14043000</v>
      </c>
      <c r="V30" s="341">
        <v>19614</v>
      </c>
      <c r="W30" s="341">
        <f t="shared" si="10"/>
        <v>13011700</v>
      </c>
      <c r="X30" s="341">
        <v>19382</v>
      </c>
      <c r="Y30" s="341">
        <f t="shared" si="11"/>
        <v>12431800</v>
      </c>
      <c r="Z30" s="341">
        <v>16111</v>
      </c>
      <c r="AA30" s="341">
        <f t="shared" si="12"/>
        <v>11451600</v>
      </c>
      <c r="AB30" s="341">
        <v>14026</v>
      </c>
      <c r="AC30" s="341">
        <f t="shared" si="13"/>
        <v>10592300</v>
      </c>
      <c r="AD30" s="341">
        <v>7158</v>
      </c>
      <c r="AE30" s="341">
        <f t="shared" si="14"/>
        <v>8956400</v>
      </c>
      <c r="AF30" s="341">
        <v>6062</v>
      </c>
      <c r="AG30" s="341">
        <f t="shared" si="15"/>
        <v>8277100</v>
      </c>
    </row>
    <row r="31" spans="1:33" hidden="1">
      <c r="A31" s="336" t="s">
        <v>571</v>
      </c>
      <c r="B31" s="336">
        <v>1000</v>
      </c>
      <c r="C31" s="340">
        <v>25001</v>
      </c>
      <c r="D31" s="340">
        <f t="shared" si="1"/>
        <v>40988300</v>
      </c>
      <c r="E31" s="341">
        <v>23190</v>
      </c>
      <c r="F31" s="341">
        <f t="shared" si="2"/>
        <v>31544600</v>
      </c>
      <c r="G31" s="341">
        <v>23190</v>
      </c>
      <c r="H31" s="341">
        <f t="shared" si="3"/>
        <v>27269200</v>
      </c>
      <c r="I31" s="341">
        <v>23332</v>
      </c>
      <c r="J31" s="341"/>
      <c r="K31" s="341">
        <f t="shared" si="4"/>
        <v>25043500</v>
      </c>
      <c r="L31" s="341">
        <v>21968</v>
      </c>
      <c r="M31" s="341">
        <f t="shared" si="5"/>
        <v>22170500</v>
      </c>
      <c r="N31" s="341">
        <v>21622</v>
      </c>
      <c r="O31" s="341">
        <f t="shared" si="6"/>
        <v>19829600</v>
      </c>
      <c r="P31" s="341">
        <v>20783</v>
      </c>
      <c r="Q31" s="341">
        <f t="shared" si="7"/>
        <v>18111100</v>
      </c>
      <c r="R31" s="341">
        <v>20366</v>
      </c>
      <c r="S31" s="341">
        <f t="shared" si="8"/>
        <v>16947200</v>
      </c>
      <c r="T31" s="341">
        <v>19943</v>
      </c>
      <c r="U31" s="341">
        <f t="shared" si="9"/>
        <v>16037300</v>
      </c>
      <c r="V31" s="341">
        <v>19871</v>
      </c>
      <c r="W31" s="341">
        <f t="shared" si="10"/>
        <v>14998800</v>
      </c>
      <c r="X31" s="341">
        <v>19249</v>
      </c>
      <c r="Y31" s="341">
        <f t="shared" si="11"/>
        <v>14356700</v>
      </c>
      <c r="Z31" s="341">
        <v>18181</v>
      </c>
      <c r="AA31" s="341">
        <f t="shared" si="12"/>
        <v>13269700</v>
      </c>
      <c r="AB31" s="341">
        <v>16066</v>
      </c>
      <c r="AC31" s="341">
        <f t="shared" si="13"/>
        <v>12198900</v>
      </c>
      <c r="AD31" s="341">
        <v>7130</v>
      </c>
      <c r="AE31" s="341">
        <f t="shared" si="14"/>
        <v>9669400</v>
      </c>
      <c r="AF31" s="341">
        <v>6011</v>
      </c>
      <c r="AG31" s="341">
        <f t="shared" si="15"/>
        <v>8878200</v>
      </c>
    </row>
    <row r="32" spans="1:33" hidden="1">
      <c r="A32" s="336" t="s">
        <v>572</v>
      </c>
      <c r="B32" s="336">
        <v>1100</v>
      </c>
      <c r="C32" s="340">
        <v>24751</v>
      </c>
      <c r="D32" s="340">
        <f t="shared" si="1"/>
        <v>43463400</v>
      </c>
      <c r="E32" s="341">
        <v>22575</v>
      </c>
      <c r="F32" s="341">
        <f t="shared" si="2"/>
        <v>33802100</v>
      </c>
      <c r="G32" s="341">
        <v>21758</v>
      </c>
      <c r="H32" s="341">
        <f t="shared" si="3"/>
        <v>29445000</v>
      </c>
      <c r="I32" s="341">
        <v>21064</v>
      </c>
      <c r="J32" s="341"/>
      <c r="K32" s="341">
        <f t="shared" si="4"/>
        <v>27149900</v>
      </c>
      <c r="L32" s="341">
        <v>20168</v>
      </c>
      <c r="M32" s="341">
        <f t="shared" si="5"/>
        <v>24187300</v>
      </c>
      <c r="N32" s="341">
        <v>19825</v>
      </c>
      <c r="O32" s="341">
        <f t="shared" si="6"/>
        <v>21812100</v>
      </c>
      <c r="P32" s="341">
        <v>18009</v>
      </c>
      <c r="Q32" s="341">
        <f t="shared" si="7"/>
        <v>19912000</v>
      </c>
      <c r="R32" s="341">
        <v>17165</v>
      </c>
      <c r="S32" s="341">
        <f t="shared" si="8"/>
        <v>18663700</v>
      </c>
      <c r="T32" s="341">
        <v>16316</v>
      </c>
      <c r="U32" s="341">
        <f t="shared" si="9"/>
        <v>17668900</v>
      </c>
      <c r="V32" s="341">
        <v>7699</v>
      </c>
      <c r="W32" s="341">
        <f t="shared" si="10"/>
        <v>15768700</v>
      </c>
      <c r="X32" s="341">
        <v>7486</v>
      </c>
      <c r="Y32" s="341">
        <f t="shared" si="11"/>
        <v>15105300</v>
      </c>
      <c r="Z32" s="341">
        <v>7412</v>
      </c>
      <c r="AA32" s="341">
        <f t="shared" si="12"/>
        <v>14010900</v>
      </c>
      <c r="AB32" s="341">
        <v>7340</v>
      </c>
      <c r="AC32" s="341">
        <f t="shared" si="13"/>
        <v>12932900</v>
      </c>
      <c r="AD32" s="341">
        <v>6600</v>
      </c>
      <c r="AE32" s="341">
        <f t="shared" si="14"/>
        <v>10329400</v>
      </c>
      <c r="AF32" s="341">
        <v>5966</v>
      </c>
      <c r="AG32" s="341">
        <f t="shared" si="15"/>
        <v>9474800</v>
      </c>
    </row>
    <row r="33" spans="1:33" hidden="1">
      <c r="A33" s="336" t="s">
        <v>573</v>
      </c>
      <c r="B33" s="336">
        <v>1200</v>
      </c>
      <c r="C33" s="340">
        <v>26991</v>
      </c>
      <c r="D33" s="340">
        <f t="shared" si="1"/>
        <v>46162500</v>
      </c>
      <c r="E33" s="341">
        <v>25943</v>
      </c>
      <c r="F33" s="341">
        <f t="shared" si="2"/>
        <v>36396400</v>
      </c>
      <c r="G33" s="341">
        <v>21050</v>
      </c>
      <c r="H33" s="341">
        <f t="shared" si="3"/>
        <v>31550000</v>
      </c>
      <c r="I33" s="341">
        <v>20390</v>
      </c>
      <c r="J33" s="341"/>
      <c r="K33" s="341">
        <f t="shared" si="4"/>
        <v>29188900</v>
      </c>
      <c r="L33" s="341">
        <v>19852</v>
      </c>
      <c r="M33" s="341">
        <f t="shared" si="5"/>
        <v>26172500</v>
      </c>
      <c r="N33" s="341">
        <v>19488</v>
      </c>
      <c r="O33" s="341">
        <f t="shared" si="6"/>
        <v>23760900</v>
      </c>
      <c r="P33" s="341">
        <v>17803</v>
      </c>
      <c r="Q33" s="341">
        <f t="shared" si="7"/>
        <v>21692300</v>
      </c>
      <c r="R33" s="341">
        <v>16905</v>
      </c>
      <c r="S33" s="341">
        <f t="shared" si="8"/>
        <v>20354200</v>
      </c>
      <c r="T33" s="341">
        <v>15843</v>
      </c>
      <c r="U33" s="341">
        <f t="shared" si="9"/>
        <v>19253200</v>
      </c>
      <c r="V33" s="341">
        <v>7623</v>
      </c>
      <c r="W33" s="341">
        <f t="shared" si="10"/>
        <v>16531000</v>
      </c>
      <c r="X33" s="341">
        <v>7335</v>
      </c>
      <c r="Y33" s="341">
        <f t="shared" si="11"/>
        <v>15838800</v>
      </c>
      <c r="Z33" s="341">
        <v>7276</v>
      </c>
      <c r="AA33" s="341">
        <f t="shared" si="12"/>
        <v>14738500</v>
      </c>
      <c r="AB33" s="341">
        <v>7249</v>
      </c>
      <c r="AC33" s="341">
        <f t="shared" si="13"/>
        <v>13657800</v>
      </c>
      <c r="AD33" s="341">
        <v>6545</v>
      </c>
      <c r="AE33" s="341">
        <f t="shared" si="14"/>
        <v>10983900</v>
      </c>
      <c r="AF33" s="341">
        <v>5916</v>
      </c>
      <c r="AG33" s="341">
        <f t="shared" si="15"/>
        <v>10066400</v>
      </c>
    </row>
    <row r="34" spans="1:33" hidden="1">
      <c r="A34" s="336" t="s">
        <v>574</v>
      </c>
      <c r="B34" s="336">
        <v>1300</v>
      </c>
      <c r="C34" s="340">
        <v>26638</v>
      </c>
      <c r="D34" s="340">
        <f t="shared" si="1"/>
        <v>48826300</v>
      </c>
      <c r="E34" s="341">
        <v>25605</v>
      </c>
      <c r="F34" s="341">
        <f t="shared" si="2"/>
        <v>38956900</v>
      </c>
      <c r="G34" s="341">
        <v>17908</v>
      </c>
      <c r="H34" s="341">
        <f t="shared" si="3"/>
        <v>33340800</v>
      </c>
      <c r="I34" s="341">
        <v>17269</v>
      </c>
      <c r="J34" s="341"/>
      <c r="K34" s="341">
        <f t="shared" si="4"/>
        <v>30915800</v>
      </c>
      <c r="L34" s="341">
        <v>16881</v>
      </c>
      <c r="M34" s="341">
        <f t="shared" si="5"/>
        <v>27860600</v>
      </c>
      <c r="N34" s="341">
        <v>16517</v>
      </c>
      <c r="O34" s="341">
        <f t="shared" si="6"/>
        <v>25412600</v>
      </c>
      <c r="P34" s="341">
        <v>15951</v>
      </c>
      <c r="Q34" s="341">
        <f t="shared" si="7"/>
        <v>23287400</v>
      </c>
      <c r="R34" s="341">
        <v>16558</v>
      </c>
      <c r="S34" s="341">
        <f t="shared" si="8"/>
        <v>22010000</v>
      </c>
      <c r="T34" s="341">
        <v>15382</v>
      </c>
      <c r="U34" s="341">
        <f t="shared" si="9"/>
        <v>20791400</v>
      </c>
      <c r="V34" s="341">
        <v>7699</v>
      </c>
      <c r="W34" s="341">
        <f t="shared" si="10"/>
        <v>17300900</v>
      </c>
      <c r="X34" s="341">
        <v>7184</v>
      </c>
      <c r="Y34" s="341">
        <f t="shared" si="11"/>
        <v>16557200</v>
      </c>
      <c r="Z34" s="341">
        <v>7148</v>
      </c>
      <c r="AA34" s="341">
        <f t="shared" si="12"/>
        <v>15453300</v>
      </c>
      <c r="AB34" s="341">
        <v>7099</v>
      </c>
      <c r="AC34" s="341">
        <f t="shared" si="13"/>
        <v>14367700</v>
      </c>
      <c r="AD34" s="341">
        <v>5361</v>
      </c>
      <c r="AE34" s="341">
        <f t="shared" si="14"/>
        <v>11520000</v>
      </c>
      <c r="AF34" s="341">
        <v>5875</v>
      </c>
      <c r="AG34" s="341">
        <f t="shared" si="15"/>
        <v>10653900</v>
      </c>
    </row>
    <row r="35" spans="1:33" hidden="1">
      <c r="A35" s="336" t="s">
        <v>575</v>
      </c>
      <c r="B35" s="336">
        <v>1400</v>
      </c>
      <c r="C35" s="340">
        <v>26280</v>
      </c>
      <c r="D35" s="340">
        <f t="shared" si="1"/>
        <v>51454300</v>
      </c>
      <c r="E35" s="341">
        <v>25270</v>
      </c>
      <c r="F35" s="341">
        <f t="shared" si="2"/>
        <v>41483900</v>
      </c>
      <c r="G35" s="341">
        <v>17502</v>
      </c>
      <c r="H35" s="341">
        <f t="shared" si="3"/>
        <v>35091000</v>
      </c>
      <c r="I35" s="341">
        <v>16887</v>
      </c>
      <c r="J35" s="341"/>
      <c r="K35" s="341">
        <f t="shared" si="4"/>
        <v>32604500</v>
      </c>
      <c r="L35" s="341">
        <v>166524</v>
      </c>
      <c r="M35" s="341">
        <f t="shared" si="5"/>
        <v>44513000</v>
      </c>
      <c r="N35" s="341">
        <v>16185</v>
      </c>
      <c r="O35" s="341">
        <f t="shared" si="6"/>
        <v>27031100</v>
      </c>
      <c r="P35" s="341">
        <v>15774</v>
      </c>
      <c r="Q35" s="341">
        <f t="shared" si="7"/>
        <v>24864800</v>
      </c>
      <c r="R35" s="341">
        <v>15345</v>
      </c>
      <c r="S35" s="341">
        <f t="shared" si="8"/>
        <v>23544500</v>
      </c>
      <c r="T35" s="341">
        <v>14917</v>
      </c>
      <c r="U35" s="341">
        <f t="shared" si="9"/>
        <v>22283100</v>
      </c>
      <c r="V35" s="341">
        <v>7637</v>
      </c>
      <c r="W35" s="341">
        <f t="shared" si="10"/>
        <v>18064600</v>
      </c>
      <c r="X35" s="341">
        <v>7034</v>
      </c>
      <c r="Y35" s="341">
        <f t="shared" si="11"/>
        <v>17260600</v>
      </c>
      <c r="Z35" s="341">
        <v>7020</v>
      </c>
      <c r="AA35" s="341">
        <f t="shared" si="12"/>
        <v>16155300</v>
      </c>
      <c r="AB35" s="341">
        <v>6998</v>
      </c>
      <c r="AC35" s="341">
        <f t="shared" si="13"/>
        <v>15067500</v>
      </c>
      <c r="AD35" s="341">
        <v>5310</v>
      </c>
      <c r="AE35" s="341">
        <f t="shared" si="14"/>
        <v>12051000</v>
      </c>
      <c r="AF35" s="341">
        <v>5806</v>
      </c>
      <c r="AG35" s="341">
        <f t="shared" si="15"/>
        <v>11234500</v>
      </c>
    </row>
    <row r="36" spans="1:33" hidden="1">
      <c r="A36" s="336" t="s">
        <v>576</v>
      </c>
      <c r="B36" s="336">
        <v>1500</v>
      </c>
      <c r="C36" s="340">
        <v>25927</v>
      </c>
      <c r="D36" s="340">
        <f t="shared" si="1"/>
        <v>54047000</v>
      </c>
      <c r="E36" s="341">
        <v>24932</v>
      </c>
      <c r="F36" s="341">
        <f t="shared" si="2"/>
        <v>43977100</v>
      </c>
      <c r="G36" s="341">
        <v>24569</v>
      </c>
      <c r="H36" s="341">
        <f t="shared" si="3"/>
        <v>37547900</v>
      </c>
      <c r="I36" s="341">
        <v>24203</v>
      </c>
      <c r="J36" s="341"/>
      <c r="K36" s="341">
        <f t="shared" si="4"/>
        <v>35024800</v>
      </c>
      <c r="L36" s="341">
        <v>22284</v>
      </c>
      <c r="M36" s="341">
        <f t="shared" si="5"/>
        <v>46741400</v>
      </c>
      <c r="N36" s="341">
        <v>15195</v>
      </c>
      <c r="O36" s="341">
        <f t="shared" si="6"/>
        <v>28550600</v>
      </c>
      <c r="P36" s="341">
        <v>14783</v>
      </c>
      <c r="Q36" s="341">
        <f t="shared" si="7"/>
        <v>26343100</v>
      </c>
      <c r="R36" s="341">
        <v>14556</v>
      </c>
      <c r="S36" s="341">
        <f t="shared" si="8"/>
        <v>25000100</v>
      </c>
      <c r="T36" s="341">
        <v>14324</v>
      </c>
      <c r="U36" s="341">
        <f t="shared" si="9"/>
        <v>23715500</v>
      </c>
      <c r="V36" s="341">
        <v>13866</v>
      </c>
      <c r="W36" s="341">
        <f t="shared" si="10"/>
        <v>19451200</v>
      </c>
      <c r="X36" s="341">
        <v>12164</v>
      </c>
      <c r="Y36" s="341">
        <f t="shared" si="11"/>
        <v>18477000</v>
      </c>
      <c r="Z36" s="341">
        <v>12001</v>
      </c>
      <c r="AA36" s="341">
        <f t="shared" si="12"/>
        <v>17355400</v>
      </c>
      <c r="AB36" s="341">
        <v>11841</v>
      </c>
      <c r="AC36" s="341">
        <f t="shared" si="13"/>
        <v>16251600</v>
      </c>
      <c r="AD36" s="341">
        <v>5373</v>
      </c>
      <c r="AE36" s="341">
        <f t="shared" si="14"/>
        <v>12588300</v>
      </c>
      <c r="AF36" s="341">
        <v>5761</v>
      </c>
      <c r="AG36" s="341">
        <f t="shared" si="15"/>
        <v>11810600</v>
      </c>
    </row>
    <row r="37" spans="1:33" hidden="1">
      <c r="A37" s="336" t="s">
        <v>577</v>
      </c>
      <c r="B37" s="336">
        <v>1600</v>
      </c>
      <c r="C37" s="340">
        <v>23803</v>
      </c>
      <c r="D37" s="340">
        <f t="shared" si="1"/>
        <v>56427300</v>
      </c>
      <c r="E37" s="341">
        <v>23210</v>
      </c>
      <c r="F37" s="341">
        <f t="shared" si="2"/>
        <v>46298100</v>
      </c>
      <c r="G37" s="341">
        <v>16856</v>
      </c>
      <c r="H37" s="341">
        <f t="shared" si="3"/>
        <v>39233500</v>
      </c>
      <c r="I37" s="341">
        <v>15938</v>
      </c>
      <c r="J37" s="341"/>
      <c r="K37" s="341">
        <f t="shared" si="4"/>
        <v>36618600</v>
      </c>
      <c r="L37" s="341">
        <v>15528</v>
      </c>
      <c r="M37" s="341">
        <f t="shared" si="5"/>
        <v>48294200</v>
      </c>
      <c r="N37" s="341">
        <v>15113</v>
      </c>
      <c r="O37" s="341">
        <f t="shared" si="6"/>
        <v>30061900</v>
      </c>
      <c r="P37" s="341">
        <v>14505</v>
      </c>
      <c r="Q37" s="341">
        <f t="shared" si="7"/>
        <v>27793600</v>
      </c>
      <c r="R37" s="341">
        <v>14209</v>
      </c>
      <c r="S37" s="341">
        <f t="shared" si="8"/>
        <v>26421000</v>
      </c>
      <c r="T37" s="341">
        <v>13912</v>
      </c>
      <c r="U37" s="341">
        <f t="shared" si="9"/>
        <v>25106700</v>
      </c>
      <c r="V37" s="341">
        <v>13452</v>
      </c>
      <c r="W37" s="341">
        <f t="shared" si="10"/>
        <v>20796400</v>
      </c>
      <c r="X37" s="341">
        <v>12033</v>
      </c>
      <c r="Y37" s="341">
        <f t="shared" si="11"/>
        <v>19680300</v>
      </c>
      <c r="Z37" s="341">
        <v>11924</v>
      </c>
      <c r="AA37" s="341">
        <f t="shared" si="12"/>
        <v>18547800</v>
      </c>
      <c r="AB37" s="341">
        <v>11700</v>
      </c>
      <c r="AC37" s="341">
        <f t="shared" si="13"/>
        <v>17421600</v>
      </c>
      <c r="AD37" s="341">
        <v>5241</v>
      </c>
      <c r="AE37" s="341">
        <f t="shared" si="14"/>
        <v>13112400</v>
      </c>
      <c r="AF37" s="341">
        <v>5533</v>
      </c>
      <c r="AG37" s="341">
        <f t="shared" si="15"/>
        <v>12363900</v>
      </c>
    </row>
    <row r="38" spans="1:33" hidden="1">
      <c r="A38" s="336" t="s">
        <v>578</v>
      </c>
      <c r="B38" s="336">
        <v>1700</v>
      </c>
      <c r="C38" s="340">
        <v>23866</v>
      </c>
      <c r="D38" s="340">
        <f t="shared" si="1"/>
        <v>58813900</v>
      </c>
      <c r="E38" s="341">
        <v>23095</v>
      </c>
      <c r="F38" s="341">
        <f t="shared" si="2"/>
        <v>48607600</v>
      </c>
      <c r="G38" s="341">
        <v>16554</v>
      </c>
      <c r="H38" s="341">
        <f t="shared" si="3"/>
        <v>40888900</v>
      </c>
      <c r="I38" s="341">
        <v>15815</v>
      </c>
      <c r="J38" s="341"/>
      <c r="K38" s="341">
        <f t="shared" si="4"/>
        <v>38200100</v>
      </c>
      <c r="L38" s="341">
        <v>15039</v>
      </c>
      <c r="M38" s="341">
        <f t="shared" si="5"/>
        <v>49798100</v>
      </c>
      <c r="N38" s="341">
        <v>15035</v>
      </c>
      <c r="O38" s="341">
        <f t="shared" si="6"/>
        <v>31565400</v>
      </c>
      <c r="P38" s="341">
        <v>13593</v>
      </c>
      <c r="Q38" s="341">
        <f t="shared" si="7"/>
        <v>29152900</v>
      </c>
      <c r="R38" s="341">
        <v>13544</v>
      </c>
      <c r="S38" s="341">
        <f t="shared" si="8"/>
        <v>27775400</v>
      </c>
      <c r="T38" s="341">
        <v>13498</v>
      </c>
      <c r="U38" s="341">
        <f t="shared" si="9"/>
        <v>26456500</v>
      </c>
      <c r="V38" s="341">
        <v>13041</v>
      </c>
      <c r="W38" s="341">
        <f t="shared" si="10"/>
        <v>22100500</v>
      </c>
      <c r="X38" s="341">
        <v>11901</v>
      </c>
      <c r="Y38" s="341">
        <f t="shared" si="11"/>
        <v>20870400</v>
      </c>
      <c r="Z38" s="341">
        <v>11792</v>
      </c>
      <c r="AA38" s="341">
        <f t="shared" si="12"/>
        <v>19727000</v>
      </c>
      <c r="AB38" s="341">
        <v>11560</v>
      </c>
      <c r="AC38" s="341">
        <f t="shared" si="13"/>
        <v>18577600</v>
      </c>
      <c r="AD38" s="341">
        <v>5081</v>
      </c>
      <c r="AE38" s="341">
        <f t="shared" si="14"/>
        <v>13620500</v>
      </c>
      <c r="AF38" s="341">
        <v>5317</v>
      </c>
      <c r="AG38" s="341">
        <f t="shared" si="15"/>
        <v>12895600</v>
      </c>
    </row>
    <row r="39" spans="1:33" hidden="1">
      <c r="A39" s="336" t="s">
        <v>579</v>
      </c>
      <c r="B39" s="336">
        <v>1800</v>
      </c>
      <c r="C39" s="340">
        <v>23803</v>
      </c>
      <c r="D39" s="340">
        <f t="shared" si="1"/>
        <v>61194200</v>
      </c>
      <c r="E39" s="341">
        <v>22908</v>
      </c>
      <c r="F39" s="341">
        <f t="shared" si="2"/>
        <v>50898400</v>
      </c>
      <c r="G39" s="341">
        <v>16253</v>
      </c>
      <c r="H39" s="341">
        <f t="shared" si="3"/>
        <v>42514200</v>
      </c>
      <c r="I39" s="341">
        <v>15683</v>
      </c>
      <c r="J39" s="341"/>
      <c r="K39" s="341">
        <f t="shared" si="4"/>
        <v>39768400</v>
      </c>
      <c r="L39" s="341">
        <v>15321</v>
      </c>
      <c r="M39" s="341">
        <f t="shared" si="5"/>
        <v>51330200</v>
      </c>
      <c r="N39" s="341">
        <v>14958</v>
      </c>
      <c r="O39" s="341">
        <f t="shared" si="6"/>
        <v>33061200</v>
      </c>
      <c r="P39" s="341">
        <v>13347</v>
      </c>
      <c r="Q39" s="341">
        <f t="shared" si="7"/>
        <v>30487600</v>
      </c>
      <c r="R39" s="341">
        <v>13287</v>
      </c>
      <c r="S39" s="341">
        <f t="shared" si="8"/>
        <v>29104100</v>
      </c>
      <c r="T39" s="341">
        <v>12882</v>
      </c>
      <c r="U39" s="341">
        <f t="shared" si="9"/>
        <v>27744700</v>
      </c>
      <c r="V39" s="341">
        <v>12632</v>
      </c>
      <c r="W39" s="341">
        <f t="shared" si="10"/>
        <v>23363700</v>
      </c>
      <c r="X39" s="341">
        <v>11796</v>
      </c>
      <c r="Y39" s="341">
        <f t="shared" si="11"/>
        <v>22050000</v>
      </c>
      <c r="Z39" s="341">
        <v>11715</v>
      </c>
      <c r="AA39" s="341">
        <f t="shared" si="12"/>
        <v>20898500</v>
      </c>
      <c r="AB39" s="341">
        <v>11428</v>
      </c>
      <c r="AC39" s="341">
        <f t="shared" si="13"/>
        <v>19720400</v>
      </c>
      <c r="AD39" s="341">
        <v>5789</v>
      </c>
      <c r="AE39" s="341">
        <f t="shared" si="14"/>
        <v>14199400</v>
      </c>
      <c r="AF39" s="341">
        <v>5210</v>
      </c>
      <c r="AG39" s="341">
        <f t="shared" si="15"/>
        <v>13416600</v>
      </c>
    </row>
    <row r="40" spans="1:33" hidden="1">
      <c r="A40" s="336" t="s">
        <v>580</v>
      </c>
      <c r="B40" s="336">
        <v>1900</v>
      </c>
      <c r="C40" s="340">
        <v>25576</v>
      </c>
      <c r="D40" s="340">
        <f t="shared" si="1"/>
        <v>63751800</v>
      </c>
      <c r="E40" s="341">
        <v>23929</v>
      </c>
      <c r="F40" s="341">
        <f t="shared" si="2"/>
        <v>53291300</v>
      </c>
      <c r="G40" s="341">
        <v>16517</v>
      </c>
      <c r="H40" s="341">
        <f t="shared" si="3"/>
        <v>44165900</v>
      </c>
      <c r="I40" s="341">
        <v>15603</v>
      </c>
      <c r="J40" s="341"/>
      <c r="K40" s="341">
        <f t="shared" si="4"/>
        <v>41328700</v>
      </c>
      <c r="L40" s="341">
        <v>14834</v>
      </c>
      <c r="M40" s="341">
        <f t="shared" si="5"/>
        <v>52813600</v>
      </c>
      <c r="N40" s="341">
        <v>14679</v>
      </c>
      <c r="O40" s="341">
        <f t="shared" si="6"/>
        <v>34529100</v>
      </c>
      <c r="P40" s="341">
        <v>13069</v>
      </c>
      <c r="Q40" s="341">
        <f t="shared" si="7"/>
        <v>31794500</v>
      </c>
      <c r="R40" s="341">
        <v>12996</v>
      </c>
      <c r="S40" s="341">
        <f t="shared" si="8"/>
        <v>30403700</v>
      </c>
      <c r="T40" s="341">
        <v>12472</v>
      </c>
      <c r="U40" s="341">
        <f t="shared" si="9"/>
        <v>28991900</v>
      </c>
      <c r="V40" s="341">
        <v>12220</v>
      </c>
      <c r="W40" s="341">
        <f t="shared" si="10"/>
        <v>24585700</v>
      </c>
      <c r="X40" s="341">
        <v>11916</v>
      </c>
      <c r="Y40" s="341">
        <f t="shared" si="11"/>
        <v>23241600</v>
      </c>
      <c r="Z40" s="341">
        <v>11619</v>
      </c>
      <c r="AA40" s="341">
        <f t="shared" si="12"/>
        <v>22060400</v>
      </c>
      <c r="AB40" s="341">
        <v>11289</v>
      </c>
      <c r="AC40" s="341">
        <f t="shared" si="13"/>
        <v>20849300</v>
      </c>
      <c r="AD40" s="341">
        <v>5286</v>
      </c>
      <c r="AE40" s="341">
        <f t="shared" si="14"/>
        <v>14728000</v>
      </c>
      <c r="AF40" s="341">
        <v>5091</v>
      </c>
      <c r="AG40" s="341">
        <f t="shared" si="15"/>
        <v>13925700</v>
      </c>
    </row>
    <row r="41" spans="1:33" hidden="1">
      <c r="A41" s="336" t="s">
        <v>581</v>
      </c>
      <c r="B41" s="336">
        <v>2000</v>
      </c>
      <c r="C41" s="340">
        <v>25001</v>
      </c>
      <c r="D41" s="340">
        <f t="shared" si="1"/>
        <v>66251900</v>
      </c>
      <c r="E41" s="341">
        <v>23411</v>
      </c>
      <c r="F41" s="341">
        <f t="shared" si="2"/>
        <v>55632400</v>
      </c>
      <c r="G41" s="341">
        <v>16056</v>
      </c>
      <c r="H41" s="341">
        <f t="shared" si="3"/>
        <v>45771500</v>
      </c>
      <c r="I41" s="341">
        <v>14601</v>
      </c>
      <c r="J41" s="341"/>
      <c r="K41" s="341">
        <f t="shared" si="4"/>
        <v>42788800</v>
      </c>
      <c r="L41" s="341">
        <v>144429</v>
      </c>
      <c r="M41" s="341">
        <f t="shared" si="5"/>
        <v>67256500</v>
      </c>
      <c r="N41" s="341">
        <v>14332</v>
      </c>
      <c r="O41" s="341">
        <f t="shared" si="6"/>
        <v>35962300</v>
      </c>
      <c r="P41" s="341">
        <v>12794</v>
      </c>
      <c r="Q41" s="341">
        <f t="shared" si="7"/>
        <v>33073900</v>
      </c>
      <c r="R41" s="341">
        <v>12726</v>
      </c>
      <c r="S41" s="341">
        <f t="shared" si="8"/>
        <v>31676300</v>
      </c>
      <c r="T41" s="341">
        <v>12057</v>
      </c>
      <c r="U41" s="341">
        <f t="shared" si="9"/>
        <v>30197600</v>
      </c>
      <c r="V41" s="341">
        <v>11806</v>
      </c>
      <c r="W41" s="341">
        <f t="shared" si="10"/>
        <v>25766300</v>
      </c>
      <c r="X41" s="341">
        <v>11669</v>
      </c>
      <c r="Y41" s="341">
        <f t="shared" si="11"/>
        <v>24408500</v>
      </c>
      <c r="Z41" s="341">
        <v>11536</v>
      </c>
      <c r="AA41" s="341">
        <f t="shared" si="12"/>
        <v>23214000</v>
      </c>
      <c r="AB41" s="341">
        <v>11148</v>
      </c>
      <c r="AC41" s="341">
        <f t="shared" si="13"/>
        <v>21964100</v>
      </c>
      <c r="AD41" s="341">
        <v>5019</v>
      </c>
      <c r="AE41" s="341">
        <f t="shared" si="14"/>
        <v>15229900</v>
      </c>
      <c r="AF41" s="341">
        <v>4929</v>
      </c>
      <c r="AG41" s="341">
        <f t="shared" si="15"/>
        <v>14418600</v>
      </c>
    </row>
    <row r="42" spans="1:33" hidden="1">
      <c r="A42" s="336" t="s">
        <v>582</v>
      </c>
      <c r="B42" s="336">
        <v>2500</v>
      </c>
      <c r="C42" s="340">
        <v>25001</v>
      </c>
      <c r="D42" s="340">
        <f t="shared" si="1"/>
        <v>78752400</v>
      </c>
      <c r="E42" s="341">
        <v>23411</v>
      </c>
      <c r="F42" s="341">
        <f t="shared" si="2"/>
        <v>67337900</v>
      </c>
      <c r="G42" s="341">
        <v>16056</v>
      </c>
      <c r="H42" s="341">
        <f t="shared" si="3"/>
        <v>53799500</v>
      </c>
      <c r="I42" s="341">
        <v>14601</v>
      </c>
      <c r="J42" s="341"/>
      <c r="K42" s="341">
        <f t="shared" si="4"/>
        <v>50089300</v>
      </c>
      <c r="L42" s="341">
        <v>14429</v>
      </c>
      <c r="M42" s="341">
        <f t="shared" si="5"/>
        <v>74471000</v>
      </c>
      <c r="N42" s="341">
        <v>14332</v>
      </c>
      <c r="O42" s="341">
        <f t="shared" si="6"/>
        <v>43128300</v>
      </c>
      <c r="P42" s="341">
        <v>13347</v>
      </c>
      <c r="Q42" s="341">
        <f t="shared" si="7"/>
        <v>39747400</v>
      </c>
      <c r="R42" s="341">
        <v>12726</v>
      </c>
      <c r="S42" s="341">
        <f t="shared" si="8"/>
        <v>38039300</v>
      </c>
      <c r="T42" s="341">
        <v>12057</v>
      </c>
      <c r="U42" s="341">
        <f t="shared" si="9"/>
        <v>36226100</v>
      </c>
      <c r="V42" s="341">
        <v>11806</v>
      </c>
      <c r="W42" s="341">
        <f t="shared" si="10"/>
        <v>31669300</v>
      </c>
      <c r="X42" s="341">
        <v>11669</v>
      </c>
      <c r="Y42" s="341">
        <f t="shared" si="11"/>
        <v>30243000</v>
      </c>
      <c r="Z42" s="341">
        <v>11536</v>
      </c>
      <c r="AA42" s="341">
        <f t="shared" si="12"/>
        <v>28982000</v>
      </c>
      <c r="AB42" s="341">
        <v>11148</v>
      </c>
      <c r="AC42" s="341">
        <f t="shared" si="13"/>
        <v>27538100</v>
      </c>
      <c r="AD42" s="341">
        <v>4880</v>
      </c>
      <c r="AE42" s="341">
        <f t="shared" si="14"/>
        <v>17669900</v>
      </c>
      <c r="AF42" s="341">
        <v>4777</v>
      </c>
      <c r="AG42" s="341">
        <f t="shared" si="15"/>
        <v>16807100</v>
      </c>
    </row>
    <row r="43" spans="1:33" hidden="1">
      <c r="A43" s="336" t="s">
        <v>583</v>
      </c>
      <c r="B43" s="336">
        <v>10000</v>
      </c>
      <c r="C43" s="340">
        <v>22762</v>
      </c>
      <c r="D43" s="340">
        <f t="shared" si="1"/>
        <v>249467400</v>
      </c>
      <c r="E43" s="341">
        <v>19478</v>
      </c>
      <c r="F43" s="341">
        <f t="shared" si="2"/>
        <v>213422900</v>
      </c>
      <c r="G43" s="341">
        <v>10427</v>
      </c>
      <c r="H43" s="341">
        <f t="shared" si="3"/>
        <v>132002000</v>
      </c>
      <c r="I43" s="341">
        <v>9642</v>
      </c>
      <c r="J43" s="341"/>
      <c r="K43" s="341">
        <f t="shared" si="4"/>
        <v>122404300</v>
      </c>
      <c r="L43" s="341">
        <v>88855</v>
      </c>
      <c r="M43" s="341">
        <f t="shared" si="5"/>
        <v>740883500</v>
      </c>
      <c r="N43" s="341">
        <v>8800</v>
      </c>
      <c r="O43" s="341">
        <f t="shared" si="6"/>
        <v>109128300</v>
      </c>
      <c r="P43" s="341">
        <v>7794</v>
      </c>
      <c r="Q43" s="341">
        <f t="shared" si="7"/>
        <v>98202400</v>
      </c>
      <c r="R43" s="341">
        <v>6787</v>
      </c>
      <c r="S43" s="341">
        <f t="shared" si="8"/>
        <v>88941800</v>
      </c>
      <c r="T43" s="341">
        <v>6535</v>
      </c>
      <c r="U43" s="341">
        <f t="shared" si="9"/>
        <v>85238600</v>
      </c>
      <c r="V43" s="341">
        <v>6282</v>
      </c>
      <c r="W43" s="341">
        <f t="shared" si="10"/>
        <v>78784300</v>
      </c>
      <c r="X43" s="341">
        <v>6157</v>
      </c>
      <c r="Y43" s="341">
        <f t="shared" si="11"/>
        <v>76420500</v>
      </c>
      <c r="Z43" s="341">
        <v>6031</v>
      </c>
      <c r="AA43" s="341">
        <f t="shared" si="12"/>
        <v>74214500</v>
      </c>
      <c r="AB43" s="341">
        <v>5875</v>
      </c>
      <c r="AC43" s="341">
        <f t="shared" si="13"/>
        <v>71600600</v>
      </c>
      <c r="AD43" s="341">
        <v>2778</v>
      </c>
      <c r="AE43" s="341">
        <f t="shared" si="14"/>
        <v>38504900</v>
      </c>
      <c r="AF43" s="341">
        <v>2678</v>
      </c>
      <c r="AG43" s="341">
        <f t="shared" si="15"/>
        <v>36892100</v>
      </c>
    </row>
    <row r="44" spans="1:33" hidden="1">
      <c r="A44" s="336" t="s">
        <v>584</v>
      </c>
      <c r="B44" s="336">
        <v>20000</v>
      </c>
      <c r="C44" s="340">
        <v>7253</v>
      </c>
      <c r="D44" s="340">
        <f t="shared" si="1"/>
        <v>321997400</v>
      </c>
      <c r="E44" s="341">
        <v>7134</v>
      </c>
      <c r="F44" s="341">
        <f t="shared" si="2"/>
        <v>284762900</v>
      </c>
      <c r="G44" s="341">
        <v>7020</v>
      </c>
      <c r="H44" s="341">
        <f t="shared" si="3"/>
        <v>202202000</v>
      </c>
      <c r="I44" s="341">
        <v>6957</v>
      </c>
      <c r="J44" s="341"/>
      <c r="K44" s="341">
        <f t="shared" si="4"/>
        <v>191974300</v>
      </c>
      <c r="L44" s="341">
        <v>6898</v>
      </c>
      <c r="M44" s="341">
        <f t="shared" si="5"/>
        <v>809863500</v>
      </c>
      <c r="N44" s="341">
        <v>5890</v>
      </c>
      <c r="O44" s="341">
        <f t="shared" si="6"/>
        <v>168028300</v>
      </c>
      <c r="P44" s="341">
        <v>4884</v>
      </c>
      <c r="Q44" s="341">
        <f t="shared" si="7"/>
        <v>147042400</v>
      </c>
      <c r="R44" s="341">
        <v>3655</v>
      </c>
      <c r="S44" s="341">
        <f t="shared" si="8"/>
        <v>125491800</v>
      </c>
      <c r="T44" s="341">
        <v>3111</v>
      </c>
      <c r="U44" s="341">
        <f t="shared" si="9"/>
        <v>116348600</v>
      </c>
      <c r="V44" s="341">
        <v>2834</v>
      </c>
      <c r="W44" s="341">
        <f t="shared" si="10"/>
        <v>107124300</v>
      </c>
      <c r="X44" s="341">
        <v>2477</v>
      </c>
      <c r="Y44" s="341">
        <f t="shared" si="11"/>
        <v>101190500</v>
      </c>
      <c r="Z44" s="341">
        <v>2116</v>
      </c>
      <c r="AA44" s="341">
        <f t="shared" si="12"/>
        <v>95374500</v>
      </c>
      <c r="AB44" s="341">
        <v>1929</v>
      </c>
      <c r="AC44" s="341">
        <f t="shared" si="13"/>
        <v>90890600</v>
      </c>
      <c r="AD44" s="341">
        <v>1742</v>
      </c>
      <c r="AE44" s="341">
        <f t="shared" si="14"/>
        <v>55924900</v>
      </c>
      <c r="AF44" s="341">
        <v>1575</v>
      </c>
      <c r="AG44" s="341">
        <f t="shared" si="15"/>
        <v>52642100</v>
      </c>
    </row>
    <row r="45" spans="1:33" hidden="1">
      <c r="A45" s="336" t="s">
        <v>585</v>
      </c>
      <c r="B45" s="336">
        <v>40000</v>
      </c>
      <c r="C45" s="340">
        <v>5824</v>
      </c>
      <c r="D45" s="340">
        <f t="shared" si="1"/>
        <v>438477400</v>
      </c>
      <c r="E45" s="341">
        <v>5146</v>
      </c>
      <c r="F45" s="341">
        <f t="shared" si="2"/>
        <v>387682900</v>
      </c>
      <c r="G45" s="341">
        <v>4963</v>
      </c>
      <c r="H45" s="341">
        <f t="shared" si="3"/>
        <v>301462000</v>
      </c>
      <c r="I45" s="341">
        <v>4784</v>
      </c>
      <c r="J45" s="341"/>
      <c r="K45" s="341">
        <f t="shared" si="4"/>
        <v>287654300</v>
      </c>
      <c r="L45" s="341">
        <v>4284</v>
      </c>
      <c r="M45" s="341">
        <f t="shared" si="5"/>
        <v>895543500</v>
      </c>
      <c r="N45" s="341">
        <v>3056</v>
      </c>
      <c r="O45" s="341">
        <f t="shared" si="6"/>
        <v>229148300</v>
      </c>
      <c r="P45" s="341">
        <v>2996</v>
      </c>
      <c r="Q45" s="341">
        <f t="shared" si="7"/>
        <v>206962400</v>
      </c>
      <c r="R45" s="341">
        <v>1879</v>
      </c>
      <c r="S45" s="341">
        <f t="shared" si="8"/>
        <v>163071800</v>
      </c>
      <c r="T45" s="341">
        <v>1797</v>
      </c>
      <c r="U45" s="341">
        <f t="shared" si="9"/>
        <v>152288600</v>
      </c>
      <c r="V45" s="341">
        <v>1711</v>
      </c>
      <c r="W45" s="341">
        <f t="shared" si="10"/>
        <v>141344300</v>
      </c>
      <c r="X45" s="341">
        <v>1633</v>
      </c>
      <c r="Y45" s="341">
        <f t="shared" si="11"/>
        <v>133850500</v>
      </c>
      <c r="Z45" s="341">
        <v>1551</v>
      </c>
      <c r="AA45" s="341">
        <f t="shared" si="12"/>
        <v>126394500</v>
      </c>
      <c r="AB45" s="341">
        <v>1470</v>
      </c>
      <c r="AC45" s="341">
        <f t="shared" si="13"/>
        <v>120290600</v>
      </c>
      <c r="AD45" s="341">
        <v>816</v>
      </c>
      <c r="AE45" s="341">
        <f t="shared" si="14"/>
        <v>72244900</v>
      </c>
      <c r="AF45" s="341">
        <v>575</v>
      </c>
      <c r="AG45" s="341">
        <f t="shared" si="15"/>
        <v>64142100</v>
      </c>
    </row>
    <row r="46" spans="1:33" hidden="1">
      <c r="A46" s="336" t="s">
        <v>586</v>
      </c>
      <c r="B46" s="336">
        <v>70000</v>
      </c>
      <c r="C46" s="340">
        <v>4540</v>
      </c>
      <c r="D46" s="340">
        <f t="shared" si="1"/>
        <v>574677400</v>
      </c>
      <c r="E46" s="341">
        <v>4134</v>
      </c>
      <c r="F46" s="341">
        <f t="shared" si="2"/>
        <v>511702900</v>
      </c>
      <c r="G46" s="341">
        <v>4034</v>
      </c>
      <c r="H46" s="341">
        <f t="shared" si="3"/>
        <v>422482000</v>
      </c>
      <c r="I46" s="341">
        <v>3673</v>
      </c>
      <c r="J46" s="341"/>
      <c r="K46" s="341">
        <f t="shared" si="4"/>
        <v>397844300</v>
      </c>
      <c r="L46" s="341">
        <v>3166</v>
      </c>
      <c r="M46" s="341">
        <f t="shared" si="5"/>
        <v>990523500</v>
      </c>
      <c r="N46" s="341">
        <v>2597</v>
      </c>
      <c r="O46" s="341">
        <f t="shared" si="6"/>
        <v>307058300</v>
      </c>
      <c r="P46" s="341">
        <v>2477</v>
      </c>
      <c r="Q46" s="341">
        <f t="shared" si="7"/>
        <v>281272400</v>
      </c>
      <c r="R46" s="341">
        <v>2237</v>
      </c>
      <c r="S46" s="341">
        <f t="shared" si="8"/>
        <v>230181800</v>
      </c>
      <c r="T46" s="341">
        <v>1936</v>
      </c>
      <c r="U46" s="341">
        <f t="shared" si="9"/>
        <v>210368600</v>
      </c>
      <c r="V46" s="341">
        <v>1640</v>
      </c>
      <c r="W46" s="341">
        <f t="shared" si="10"/>
        <v>190544300</v>
      </c>
      <c r="X46" s="341">
        <v>1328</v>
      </c>
      <c r="Y46" s="341">
        <f t="shared" si="11"/>
        <v>173690500</v>
      </c>
      <c r="Z46" s="341">
        <v>850</v>
      </c>
      <c r="AA46" s="341">
        <f t="shared" si="12"/>
        <v>151894500</v>
      </c>
      <c r="AB46" s="341">
        <v>715</v>
      </c>
      <c r="AC46" s="341">
        <f t="shared" si="13"/>
        <v>141740600</v>
      </c>
      <c r="AD46" s="341">
        <v>520</v>
      </c>
      <c r="AE46" s="341">
        <f t="shared" si="14"/>
        <v>87844900</v>
      </c>
      <c r="AF46" s="341">
        <v>547</v>
      </c>
      <c r="AG46" s="341">
        <f t="shared" si="15"/>
        <v>80552100</v>
      </c>
    </row>
    <row r="47" spans="1:33" hidden="1">
      <c r="A47" s="336" t="s">
        <v>587</v>
      </c>
      <c r="B47" s="336"/>
      <c r="C47" s="340">
        <v>2012</v>
      </c>
      <c r="D47" s="340">
        <f t="shared" si="1"/>
        <v>433837400</v>
      </c>
      <c r="E47" s="341">
        <v>1874</v>
      </c>
      <c r="F47" s="341">
        <f t="shared" si="2"/>
        <v>380522900</v>
      </c>
      <c r="G47" s="341">
        <v>1848</v>
      </c>
      <c r="H47" s="341">
        <f t="shared" si="3"/>
        <v>293122000</v>
      </c>
      <c r="I47" s="341">
        <v>1738</v>
      </c>
      <c r="J47" s="341"/>
      <c r="K47" s="341">
        <f t="shared" si="4"/>
        <v>276184300</v>
      </c>
      <c r="L47" s="341">
        <v>1488</v>
      </c>
      <c r="M47" s="341">
        <f t="shared" si="5"/>
        <v>886363500</v>
      </c>
      <c r="N47" s="341">
        <v>1218</v>
      </c>
      <c r="O47" s="341">
        <f t="shared" si="6"/>
        <v>221798300</v>
      </c>
      <c r="P47" s="341">
        <v>1079</v>
      </c>
      <c r="Q47" s="341">
        <f t="shared" si="7"/>
        <v>205742400</v>
      </c>
      <c r="R47" s="341">
        <v>1089</v>
      </c>
      <c r="S47" s="341">
        <f t="shared" si="8"/>
        <v>153951800</v>
      </c>
      <c r="T47" s="341">
        <v>707</v>
      </c>
      <c r="U47" s="341">
        <f t="shared" si="9"/>
        <v>160878600</v>
      </c>
      <c r="V47" s="341">
        <v>677</v>
      </c>
      <c r="W47" s="341">
        <f t="shared" si="10"/>
        <v>143154300</v>
      </c>
      <c r="X47" s="341">
        <v>641</v>
      </c>
      <c r="Y47" s="341">
        <f t="shared" si="11"/>
        <v>128820500</v>
      </c>
      <c r="Z47" s="341">
        <v>401</v>
      </c>
      <c r="AA47" s="341">
        <f t="shared" si="12"/>
        <v>123824500</v>
      </c>
      <c r="AB47" s="341">
        <v>364</v>
      </c>
      <c r="AC47" s="341">
        <f t="shared" si="13"/>
        <v>116260600</v>
      </c>
      <c r="AD47" s="341">
        <v>361</v>
      </c>
      <c r="AE47" s="341">
        <f t="shared" si="14"/>
        <v>62574900</v>
      </c>
      <c r="AF47" s="341">
        <v>295</v>
      </c>
      <c r="AG47" s="341">
        <f t="shared" si="15"/>
        <v>59902100</v>
      </c>
    </row>
    <row r="48" spans="1:33" hidden="1">
      <c r="D48" s="342">
        <f>IF(B11&lt;100,B11*C22,(IF($B$11&lt;=2500,(LOOKUP($B$11,$B$22:$B$47,D$22:D$47))+(($B$11-LOOKUP($B$11,$B$22:$B$47))*LOOKUP(($B$11+100),$B$22:$B$47,C$22:C$47)),IF((2500&lt;$B$11)*AND($B$11&lt;=10000),(LOOKUP($B$11,$B$22:$B$47,D$22:D$47))+(($B$11-LOOKUP($B$11,$B$22:$B$47))*LOOKUP(($B$11+7500),$B$22:$B$47,C$22:C$47)),IF((10000&lt;$B$11)*AND($B$11&lt;=20000),(LOOKUP($B$11,$B$22:$B$47,D$22:D$47))+(($B$11-LOOKUP($B$11,$B$22:$B$47))*LOOKUP(($B$11+10000),$B$22:$B$47,C$22:C$47)),IF((20000&lt;$B$11)*AND($B$11&lt;=40000),(LOOKUP($B$11,$B$22:$B$47,D$22:D$47))+(($B$11-LOOKUP($B$11,$B$22:$B$47))*LOOKUP(($B$11+20000),$B$22:$B$47,C$22:C$47)),IF((40000&lt;$B$11)*AND($B$11&lt;=70000),(LOOKUP($B$11,$B$22:$B$47,D$22:D$47))+(($B$11-LOOKUP($B$11,$B$22:$B$47))*LOOKUP(($B$11+30000),$B$22:$B$47,C$22:C$47)),(LOOKUP($B$11,$B$22:$B$47,D$22:D$47))+(($B$11-LOOKUP($B$11,$B$22:$B$47))*C$47))))))))</f>
        <v>14296315.4</v>
      </c>
      <c r="F48" s="342">
        <f>IF(B11&lt;100,B11*E22,(IF($B$11&lt;=2500,(LOOKUP($B$11,$B$22:$B$47,F$22:F$47))+(($B$11-LOOKUP($B$11,$B$22:$B$47))*LOOKUP(($B$11+100),$B$22:$B$47,E$22:E$47)),IF((2500&lt;$B$11)*AND($B$11&lt;=10000),(LOOKUP($B$11,$B$22:$B$47,F$22:F$47))+(($B$11-LOOKUP($B$11,$B$22:$B$47))*LOOKUP(($B$11+7500),$B$22:$B$47,E$22:E$47)),IF((10000&lt;$B$11)*AND($B$11&lt;=20000),(LOOKUP($B$11,$B$22:$B$47,F$22:F$47))+(($B$11-LOOKUP($B$11,$B$22:$B$47))*LOOKUP(($B$11+10000),$B$22:$B$47,E$22:E$47)),IF((20000&lt;$B$11)*AND($B$11&lt;=40000),(LOOKUP($B$11,$B$22:$B$47,F$22:F$47))+(($B$11-LOOKUP($B$11,$B$22:$B$47))*LOOKUP(($B$11+20000),$B$22:$B$47,E$22:E$47)),IF((40000&lt;$B$11)*AND($B$11&lt;=70000),(LOOKUP($B$11,$B$22:$B$47,F$22:F$47))+(($B$11-LOOKUP($B$11,$B$22:$B$47))*LOOKUP(($B$11+30000),$B$22:$B$47,E$22:E$47)),(LOOKUP($B$11,$B$22:$B$47,F$22:F$47))+(($B$11-LOOKUP($B$11,$B$22:$B$47))*E$47))))))))</f>
        <v>9670257.6999999993</v>
      </c>
      <c r="H48" s="342">
        <f>IF(B11&lt;100,B11*G22,(IF($B$11&lt;=2500,(LOOKUP($B$11,$B$22:$B$47,H$22:H$47))+(($B$11-LOOKUP($B$11,$B$22:$B$47))*LOOKUP(($B$11+100),$B$22:$B$47,G$22:G$47)),IF((2500&lt;$B$11)*AND($B$11&lt;=10000),(LOOKUP($B$11,$B$22:$B$47,H$22:H$47))+(($B$11-LOOKUP($B$11,$B$22:$B$47))*LOOKUP(($B$11+7500),$B$22:$B$47,G$22:G$47)),IF((10000&lt;$B$11)*AND($B$11&lt;=20000),(LOOKUP($B$11,$B$22:$B$47,H$22:H$47))+(($B$11-LOOKUP($B$11,$B$22:$B$47))*LOOKUP(($B$11+10000),$B$22:$B$47,G$22:G$47)),IF((20000&lt;$B$11)*AND($B$11&lt;=40000),(LOOKUP($B$11,$B$22:$B$47,H$22:H$47))+(($B$11-LOOKUP($B$11,$B$22:$B$47))*LOOKUP(($B$11+20000),$B$22:$B$47,G$22:G$47)),IF((40000&lt;$B$11)*AND($B$11&lt;=70000),(LOOKUP($B$11,$B$22:$B$47,H$22:H$47))+(($B$11-LOOKUP($B$11,$B$22:$B$47))*LOOKUP(($B$11+30000),$B$22:$B$47,G$22:G$47)),(LOOKUP($B$11,$B$22:$B$47,H$22:H$47))+(($B$11-LOOKUP($B$11,$B$22:$B$47))*G$47))))))))</f>
        <v>7757554.9000000004</v>
      </c>
      <c r="K48" s="342">
        <f>IF(B11&lt;100,B11*I22,(IF($B$11&lt;=2500,(LOOKUP($B$11,$B$22:$B$47,K$22:K$47))+(($B$11-LOOKUP($B$11,$B$22:$B$47))*LOOKUP(($B$11+100),$B$22:$B$47,I$22:I$47)),IF((2500&lt;$B$11)*AND($B$11&lt;=10000),(LOOKUP($B$11,$B$22:$B$47,K$22:K$47))+(($B$11-LOOKUP($B$11,$B$22:$B$47))*LOOKUP(($B$11+7500),$B$22:$B$47,I$22:I$47)),IF((10000&lt;$B$11)*AND($B$11&lt;=20000),(LOOKUP($B$11,$B$22:$B$47,K$22:K$47))+(($B$11-LOOKUP($B$11,$B$22:$B$47))*LOOKUP(($B$11+10000),$B$22:$B$47,I$22:I$47)),IF((20000&lt;$B$11)*AND($B$11&lt;=40000),(LOOKUP($B$11,$B$22:$B$47,K$22:K$47))+(($B$11-LOOKUP($B$11,$B$22:$B$47))*LOOKUP(($B$11+20000),$B$22:$B$47,I$22:I$47)),IF((40000&lt;$B$11)*AND($B$11&lt;=70000),(LOOKUP($B$11,$B$22:$B$47,K$22:K$47))+(($B$11-LOOKUP($B$11,$B$22:$B$47))*LOOKUP(($B$11+30000),$B$22:$B$47,I$22:I$47)),(LOOKUP($B$11,$B$22:$B$47,K$22:K$47))+(($B$11-LOOKUP($B$11,$B$22:$B$47))*I$47))))))))</f>
        <v>6773017</v>
      </c>
      <c r="M48" s="342">
        <f>IF(B11&lt;100,B11*L22,(IF($B$11&lt;=2500,(LOOKUP($B$11,$B$22:$B$47,M$22:M$47))+(($B$11-LOOKUP($B$11,$B$22:$B$47))*LOOKUP(($B$11+100),$B$22:$B$47,L$22:L$47)),IF((2500&lt;$B$11)*AND($B$11&lt;=10000),(LOOKUP($B$11,$B$22:$B$47,M$22:M$47))+(($B$11-LOOKUP($B$11,$B$22:$B$47))*LOOKUP(($B$11+7500),$B$22:$B$47,L$22:L$47)),IF((10000&lt;$B$11)*AND($B$11&lt;=20000),(LOOKUP($B$11,$B$22:$B$47,M$22:M$47))+(($B$11-LOOKUP($B$11,$B$22:$B$47))*LOOKUP(($B$11+10000),$B$22:$B$47,L$22:L$47)),IF((20000&lt;$B$11)*AND($B$11&lt;=40000),(LOOKUP($B$11,$B$22:$B$47,M$22:M$47))+(($B$11-LOOKUP($B$11,$B$22:$B$47))*LOOKUP(($B$11+20000),$B$22:$B$47,L$22:L$47)),IF((40000&lt;$B$11)*AND($B$11&lt;=70000),(LOOKUP($B$11,$B$22:$B$47,M$22:M$47))+(($B$11-LOOKUP($B$11,$B$22:$B$47))*LOOKUP(($B$11+30000),$B$22:$B$47,L$22:L$47)),(LOOKUP($B$11,$B$22:$B$47,M$22:M$47))+(($B$11-LOOKUP($B$11,$B$22:$B$47))*L$47))))))))</f>
        <v>5776904.5999999996</v>
      </c>
      <c r="O48" s="342">
        <f>IF(B11&lt;100,B11*N22,(IF($B$11&lt;=2500,(LOOKUP($B$11,$B$22:$B$47,O$22:O$47))+(($B$11-LOOKUP($B$11,$B$22:$B$47))*LOOKUP(($B$11+100),$B$22:$B$47,N$22:N$47)),IF((2500&lt;$B$11)*AND($B$11&lt;=10000),(LOOKUP($B$11,$B$22:$B$47,O$22:O$47))+(($B$11-LOOKUP($B$11,$B$22:$B$47))*LOOKUP(($B$11+7500),$B$22:$B$47,N$22:N$47)),IF((10000&lt;$B$11)*AND($B$11&lt;=20000),(LOOKUP($B$11,$B$22:$B$47,O$22:O$47))+(($B$11-LOOKUP($B$11,$B$22:$B$47))*LOOKUP(($B$11+10000),$B$22:$B$47,N$22:N$47)),IF((20000&lt;$B$11)*AND($B$11&lt;=40000),(LOOKUP($B$11,$B$22:$B$47,O$22:O$47))+(($B$11-LOOKUP($B$11,$B$22:$B$47))*LOOKUP(($B$11+20000),$B$22:$B$47,N$22:N$47)),IF((40000&lt;$B$11)*AND($B$11&lt;=70000),(LOOKUP($B$11,$B$22:$B$47,O$22:O$47))+(($B$11-LOOKUP($B$11,$B$22:$B$47))*LOOKUP(($B$11+30000),$B$22:$B$47,N$22:N$47)),(LOOKUP($B$11,$B$22:$B$47,O$22:O$47))+(($B$11-LOOKUP($B$11,$B$22:$B$47))*N$47))))))))</f>
        <v>5137865.0999999996</v>
      </c>
      <c r="Q48" s="342">
        <f>IF(B11&lt;100,B11*P22,(IF($B$11&lt;=2500,(LOOKUP($B$11,$B$22:$B$47,Q$22:Q$47))+(($B$11-LOOKUP($B$11,$B$22:$B$47))*LOOKUP(($B$11+100),$B$22:$B$47,P$22:P$47)),IF((2500&lt;$B$11)*AND($B$11&lt;=10000),(LOOKUP($B$11,$B$22:$B$47,Q$22:Q$47))+(($B$11-LOOKUP($B$11,$B$22:$B$47))*LOOKUP(($B$11+7500),$B$22:$B$47,P$22:P$47)),IF((10000&lt;$B$11)*AND($B$11&lt;=20000),(LOOKUP($B$11,$B$22:$B$47,Q$22:Q$47))+(($B$11-LOOKUP($B$11,$B$22:$B$47))*LOOKUP(($B$11+10000),$B$22:$B$47,P$22:P$47)),IF((20000&lt;$B$11)*AND($B$11&lt;=40000),(LOOKUP($B$11,$B$22:$B$47,Q$22:Q$47))+(($B$11-LOOKUP($B$11,$B$22:$B$47))*LOOKUP(($B$11+20000),$B$22:$B$47,P$22:P$47)),IF((40000&lt;$B$11)*AND($B$11&lt;=70000),(LOOKUP($B$11,$B$22:$B$47,Q$22:Q$47))+(($B$11-LOOKUP($B$11,$B$22:$B$47))*LOOKUP(($B$11+30000),$B$22:$B$47,P$22:P$47)),(LOOKUP($B$11,$B$22:$B$47,Q$22:Q$47))+(($B$11-LOOKUP($B$11,$B$22:$B$47))*P$47))))))))</f>
        <v>4565559.8</v>
      </c>
      <c r="S48" s="342">
        <f>IF(B11&lt;100,B11*R22,(IF($B$11&lt;=2500,(LOOKUP($B$11,$B$22:$B$47,S$22:S$47))+(($B$11-LOOKUP($B$11,$B$22:$B$47))*LOOKUP(($B$11+100),$B$22:$B$47,R$22:R$47)),IF((2500&lt;$B$11)*AND($B$11&lt;=10000),(LOOKUP($B$11,$B$22:$B$47,S$22:S$47))+(($B$11-LOOKUP($B$11,$B$22:$B$47))*LOOKUP(($B$11+7500),$B$22:$B$47,R$22:R$47)),IF((10000&lt;$B$11)*AND($B$11&lt;=20000),(LOOKUP($B$11,$B$22:$B$47,S$22:S$47))+(($B$11-LOOKUP($B$11,$B$22:$B$47))*LOOKUP(($B$11+10000),$B$22:$B$47,R$22:R$47)),IF((20000&lt;$B$11)*AND($B$11&lt;=40000),(LOOKUP($B$11,$B$22:$B$47,S$22:S$47))+(($B$11-LOOKUP($B$11,$B$22:$B$47))*LOOKUP(($B$11+20000),$B$22:$B$47,R$22:R$47)),IF((40000&lt;$B$11)*AND($B$11&lt;=70000),(LOOKUP($B$11,$B$22:$B$47,S$22:S$47))+(($B$11-LOOKUP($B$11,$B$22:$B$47))*LOOKUP(($B$11+30000),$B$22:$B$47,R$22:R$47)),(LOOKUP($B$11,$B$22:$B$47,S$22:S$47))+(($B$11-LOOKUP($B$11,$B$22:$B$47))*R$47))))))))</f>
        <v>4238983.5</v>
      </c>
      <c r="U48" s="342">
        <f>IF(B11&lt;100,B11*T22,(IF($B$11&lt;=2500,(LOOKUP($B$11,$B$22:$B$47,U$22:U$47))+(($B$11-LOOKUP($B$11,$B$22:$B$47))*LOOKUP(($B$11+100),$B$22:$B$47,T$22:T$47)),IF((2500&lt;$B$11)*AND($B$11&lt;=10000),(LOOKUP($B$11,$B$22:$B$47,U$22:U$47))+(($B$11-LOOKUP($B$11,$B$22:$B$47))*LOOKUP(($B$11+7500),$B$22:$B$47,T$22:T$47)),IF((10000&lt;$B$11)*AND($B$11&lt;=20000),(LOOKUP($B$11,$B$22:$B$47,U$22:U$47))+(($B$11-LOOKUP($B$11,$B$22:$B$47))*LOOKUP(($B$11+10000),$B$22:$B$47,T$22:T$47)),IF((20000&lt;$B$11)*AND($B$11&lt;=40000),(LOOKUP($B$11,$B$22:$B$47,U$22:U$47))+(($B$11-LOOKUP($B$11,$B$22:$B$47))*LOOKUP(($B$11+20000),$B$22:$B$47,T$22:T$47)),IF((40000&lt;$B$11)*AND($B$11&lt;=70000),(LOOKUP($B$11,$B$22:$B$47,U$22:U$47))+(($B$11-LOOKUP($B$11,$B$22:$B$47))*LOOKUP(($B$11+30000),$B$22:$B$47,T$22:T$47)),(LOOKUP($B$11,$B$22:$B$47,U$22:U$47))+(($B$11-LOOKUP($B$11,$B$22:$B$47))*T$47))))))))</f>
        <v>3789668.2</v>
      </c>
      <c r="W48" s="342">
        <f>IF(B11&lt;100,B11*V22,(IF($B$11&lt;=2500,(LOOKUP($B$11,$B$22:$B$47,W$22:W$47))+(($B$11-LOOKUP($B$11,$B$22:$B$47))*LOOKUP(($B$11+100),$B$22:$B$47,V$22:V$47)),IF((2500&lt;$B$11)*AND($B$11&lt;=10000),(LOOKUP($B$11,$B$22:$B$47,W$22:W$47))+(($B$11-LOOKUP($B$11,$B$22:$B$47))*LOOKUP(($B$11+7500),$B$22:$B$47,V$22:V$47)),IF((10000&lt;$B$11)*AND($B$11&lt;=20000),(LOOKUP($B$11,$B$22:$B$47,W$22:W$47))+(($B$11-LOOKUP($B$11,$B$22:$B$47))*LOOKUP(($B$11+10000),$B$22:$B$47,V$22:V$47)),IF((20000&lt;$B$11)*AND($B$11&lt;=40000),(LOOKUP($B$11,$B$22:$B$47,W$22:W$47))+(($B$11-LOOKUP($B$11,$B$22:$B$47))*LOOKUP(($B$11+20000),$B$22:$B$47,V$22:V$47)),IF((40000&lt;$B$11)*AND($B$11&lt;=70000),(LOOKUP($B$11,$B$22:$B$47,W$22:W$47))+(($B$11-LOOKUP($B$11,$B$22:$B$47))*LOOKUP(($B$11+30000),$B$22:$B$47,V$22:V$47)),(LOOKUP($B$11,$B$22:$B$47,W$22:W$47))+(($B$11-LOOKUP($B$11,$B$22:$B$47))*V$47))))))))</f>
        <v>3498811.9</v>
      </c>
      <c r="Y48" s="342">
        <f>IF(B11&lt;100,B11*X22,(IF($B$11&lt;=2500,(LOOKUP($B$11,$B$22:$B$47,Y$22:Y$47))+(($B$11-LOOKUP($B$11,$B$22:$B$47))*LOOKUP(($B$11+100),$B$22:$B$47,X$22:X$47)),IF((2500&lt;$B$11)*AND($B$11&lt;=10000),(LOOKUP($B$11,$B$22:$B$47,Y$22:Y$47))+(($B$11-LOOKUP($B$11,$B$22:$B$47))*LOOKUP(($B$11+7500),$B$22:$B$47,X$22:X$47)),IF((10000&lt;$B$11)*AND($B$11&lt;=20000),(LOOKUP($B$11,$B$22:$B$47,Y$22:Y$47))+(($B$11-LOOKUP($B$11,$B$22:$B$47))*LOOKUP(($B$11+10000),$B$22:$B$47,X$22:X$47)),IF((20000&lt;$B$11)*AND($B$11&lt;=40000),(LOOKUP($B$11,$B$22:$B$47,Y$22:Y$47))+(($B$11-LOOKUP($B$11,$B$22:$B$47))*LOOKUP(($B$11+20000),$B$22:$B$47,X$22:X$47)),IF((40000&lt;$B$11)*AND($B$11&lt;=70000),(LOOKUP($B$11,$B$22:$B$47,Y$22:Y$47))+(($B$11-LOOKUP($B$11,$B$22:$B$47))*LOOKUP(($B$11+30000),$B$22:$B$47,X$22:X$47)),(LOOKUP($B$11,$B$22:$B$47,Y$22:Y$47))+(($B$11-LOOKUP($B$11,$B$22:$B$47))*X$47))))))))</f>
        <v>3277975.2</v>
      </c>
      <c r="AA48" s="342">
        <f>IF(B11&lt;100,B11*Z22,(IF($B$11&lt;=2500,(LOOKUP($B$11,$B$22:$B$47,AA$22:AA$47))+(($B$11-LOOKUP($B$11,$B$22:$B$47))*LOOKUP(($B$11+100),$B$22:$B$47,Z$22:Z$47)),IF((2500&lt;$B$11)*AND($B$11&lt;=10000),(LOOKUP($B$11,$B$22:$B$47,AA$22:AA$47))+(($B$11-LOOKUP($B$11,$B$22:$B$47))*LOOKUP(($B$11+7500),$B$22:$B$47,Z$22:Z$47)),IF((10000&lt;$B$11)*AND($B$11&lt;=20000),(LOOKUP($B$11,$B$22:$B$47,AA$22:AA$47))+(($B$11-LOOKUP($B$11,$B$22:$B$47))*LOOKUP(($B$11+10000),$B$22:$B$47,Z$22:Z$47)),IF((20000&lt;$B$11)*AND($B$11&lt;=40000),(LOOKUP($B$11,$B$22:$B$47,AA$22:AA$47))+(($B$11-LOOKUP($B$11,$B$22:$B$47))*LOOKUP(($B$11+20000),$B$22:$B$47,Z$22:Z$47)),IF((40000&lt;$B$11)*AND($B$11&lt;=70000),(LOOKUP($B$11,$B$22:$B$47,AA$22:AA$47))+(($B$11-LOOKUP($B$11,$B$22:$B$47))*LOOKUP(($B$11+30000),$B$22:$B$47,Z$22:Z$47)),(LOOKUP($B$11,$B$22:$B$47,AA$22:AA$47))+(($B$11-LOOKUP($B$11,$B$22:$B$47))*Z$47))))))))</f>
        <v>3148826.2</v>
      </c>
      <c r="AC48" s="342">
        <f>IF(B11&lt;100,B11*AB22,(IF($B$11&lt;=2500,(LOOKUP($B$11,$B$22:$B$47,AC$22:AC$47))+(($B$11-LOOKUP($B$11,$B$22:$B$47))*LOOKUP(($B$11+100),$B$22:$B$47,AB$22:AB$47)),IF((2500&lt;$B$11)*AND($B$11&lt;=10000),(LOOKUP($B$11,$B$22:$B$47,AC$22:AC$47))+(($B$11-LOOKUP($B$11,$B$22:$B$47))*LOOKUP(($B$11+7500),$B$22:$B$47,AB$22:AB$47)),IF((10000&lt;$B$11)*AND($B$11&lt;=20000),(LOOKUP($B$11,$B$22:$B$47,AC$22:AC$47))+(($B$11-LOOKUP($B$11,$B$22:$B$47))*LOOKUP(($B$11+10000),$B$22:$B$47,AB$22:AB$47)),IF((20000&lt;$B$11)*AND($B$11&lt;=40000),(LOOKUP($B$11,$B$22:$B$47,AC$22:AC$47))+(($B$11-LOOKUP($B$11,$B$22:$B$47))*LOOKUP(($B$11+20000),$B$22:$B$47,AB$22:AB$47)),IF((40000&lt;$B$11)*AND($B$11&lt;=70000),(LOOKUP($B$11,$B$22:$B$47,AC$22:AC$47))+(($B$11-LOOKUP($B$11,$B$22:$B$47))*LOOKUP(($B$11+30000),$B$22:$B$47,AB$22:AB$47)),(LOOKUP($B$11,$B$22:$B$47,AC$22:AC$47))+(($B$11-LOOKUP($B$11,$B$22:$B$47))*AB$47))))))))</f>
        <v>3081499.8</v>
      </c>
      <c r="AE48" s="342">
        <f>IF(B11&lt;100,B11*AD22,(IF($B$11&lt;=2500,(LOOKUP($B$11,$B$22:$B$47,AE$22:AE$47))+(($B$11-LOOKUP($B$11,$B$22:$B$47))*LOOKUP(($B$11+100),$B$22:$B$47,AD$22:AD$47)),IF((2500&lt;$B$11)*AND($B$11&lt;=10000),(LOOKUP($B$11,$B$22:$B$47,AE$22:AE$47))+(($B$11-LOOKUP($B$11,$B$22:$B$47))*LOOKUP(($B$11+7500),$B$22:$B$47,AD$22:AD$47)),IF((10000&lt;$B$11)*AND($B$11&lt;=20000),(LOOKUP($B$11,$B$22:$B$47,AE$22:AE$47))+(($B$11-LOOKUP($B$11,$B$22:$B$47))*LOOKUP(($B$11+10000),$B$22:$B$47,AD$22:AD$47)),IF((20000&lt;$B$11)*AND($B$11&lt;=40000),(LOOKUP($B$11,$B$22:$B$47,AE$22:AE$47))+(($B$11-LOOKUP($B$11,$B$22:$B$47))*LOOKUP(($B$11+20000),$B$22:$B$47,AD$22:AD$47)),IF((40000&lt;$B$11)*AND($B$11&lt;=70000),(LOOKUP($B$11,$B$22:$B$47,AE$22:AE$47))+(($B$11-LOOKUP($B$11,$B$22:$B$47))*LOOKUP(($B$11+30000),$B$22:$B$47,AD$22:AD$47)),(LOOKUP($B$11,$B$22:$B$47,AE$22:AE$47))+(($B$11-LOOKUP($B$11,$B$22:$B$47))*AD$47))))))))</f>
        <v>2827799.1</v>
      </c>
      <c r="AG48" s="342">
        <f>IF(B11&lt;100,B11*AF22,(IF($B$11&lt;=2500,(LOOKUP($B$11,$B$22:$B$47,AG$22:AG$47))+(($B$11-LOOKUP($B$11,$B$22:$B$47))*LOOKUP(($B$11+100),$B$22:$B$47,AF$22:AF$47)),IF((2500&lt;$B$11)*AND($B$11&lt;=10000),(LOOKUP($B$11,$B$22:$B$47,AG$22:AG$47))+(($B$11-LOOKUP($B$11,$B$22:$B$47))*LOOKUP(($B$11+7500),$B$22:$B$47,AF$22:AF$47)),IF((10000&lt;$B$11)*AND($B$11&lt;=20000),(LOOKUP($B$11,$B$22:$B$47,AG$22:AG$47))+(($B$11-LOOKUP($B$11,$B$22:$B$47))*LOOKUP(($B$11+10000),$B$22:$B$47,AF$22:AF$47)),IF((20000&lt;$B$11)*AND($B$11&lt;=40000),(LOOKUP($B$11,$B$22:$B$47,AG$22:AG$47))+(($B$11-LOOKUP($B$11,$B$22:$B$47))*LOOKUP(($B$11+20000),$B$22:$B$47,AF$22:AF$47)),IF((40000&lt;$B$11)*AND($B$11&lt;=70000),(LOOKUP($B$11,$B$22:$B$47,AG$22:AG$47))+(($B$11-LOOKUP($B$11,$B$22:$B$47))*LOOKUP(($B$11+30000),$B$22:$B$47,AF$22:AF$47)),(LOOKUP($B$11,$B$22:$B$47,AG$22:AG$47))+(($B$11-LOOKUP($B$11,$B$22:$B$47))*AD$47))))))))</f>
        <v>2698646.2</v>
      </c>
    </row>
    <row r="49" spans="1:25" ht="18">
      <c r="A49" s="343" t="s">
        <v>612</v>
      </c>
      <c r="B49" s="344">
        <f>'Fence and Compund'!G207</f>
        <v>0</v>
      </c>
      <c r="H49" s="315">
        <f>20+15.1</f>
        <v>35.1</v>
      </c>
      <c r="I49" s="316">
        <f>H49/2</f>
        <v>17.55</v>
      </c>
      <c r="J49" s="316">
        <f>18.9*I49</f>
        <v>331.69499999999999</v>
      </c>
    </row>
    <row r="50" spans="1:25" ht="30" customHeight="1">
      <c r="A50" s="345" t="s">
        <v>613</v>
      </c>
      <c r="B50" s="514" t="s">
        <v>614</v>
      </c>
      <c r="C50" s="514"/>
      <c r="D50" s="346">
        <f>area!C2</f>
        <v>61.363999999999997</v>
      </c>
      <c r="E50" s="347"/>
      <c r="F50" s="347"/>
      <c r="G50" s="348"/>
    </row>
    <row r="51" spans="1:25" ht="20.100000000000001" customHeight="1">
      <c r="A51" s="349" t="s">
        <v>593</v>
      </c>
      <c r="B51" s="16"/>
      <c r="C51" s="16"/>
      <c r="D51" s="350">
        <f>IF(D50=0,0,IF(D50&lt;=200,4.37-D50*0.014,IF(D50&lt;=2000,2.34-D50/1103,IF(D50&lt;=2800,1.2-D50/3025,IF(2800&lt;D50,0.2)))))</f>
        <v>3.510904</v>
      </c>
      <c r="E51" s="351" t="s">
        <v>615</v>
      </c>
      <c r="F51" s="352">
        <f>area!E2</f>
        <v>1853192.8</v>
      </c>
      <c r="G51" s="353" t="s">
        <v>616</v>
      </c>
      <c r="H51" s="350"/>
      <c r="I51" s="350"/>
      <c r="J51" s="350"/>
      <c r="K51" s="350"/>
    </row>
    <row r="52" spans="1:25" ht="20.100000000000001" customHeight="1">
      <c r="A52" s="349" t="s">
        <v>594</v>
      </c>
      <c r="B52" s="16"/>
      <c r="C52" s="16"/>
      <c r="D52" s="354">
        <f>IF(A51="Water Supply &amp; Drain Line",D51*(F51+B49)/100,0)</f>
        <v>65063.820142912002</v>
      </c>
      <c r="E52" s="355" t="s">
        <v>616</v>
      </c>
      <c r="F52" s="355"/>
      <c r="G52" s="356"/>
      <c r="H52" s="355"/>
      <c r="I52" s="355"/>
      <c r="J52" s="355"/>
      <c r="K52" s="355"/>
      <c r="L52" s="355"/>
      <c r="M52" s="355"/>
      <c r="N52" s="355"/>
      <c r="O52" s="355"/>
      <c r="P52" s="355"/>
      <c r="Q52" s="351"/>
      <c r="R52" s="351"/>
      <c r="S52" s="351"/>
      <c r="T52" s="351"/>
      <c r="U52" s="351"/>
      <c r="V52" s="351"/>
      <c r="W52" s="351"/>
    </row>
    <row r="53" spans="1:25" ht="20.100000000000001" customHeight="1">
      <c r="A53" s="349" t="s">
        <v>594</v>
      </c>
      <c r="B53" s="319">
        <v>1</v>
      </c>
      <c r="C53" s="357" t="s">
        <v>617</v>
      </c>
      <c r="D53" s="358">
        <f>IF(AND(A53="Septic tank",F51&lt;&gt;0),IF(D50&lt;=200,10,IF(D50&lt;1000,ROUND(((D50-200)/80+10),2),IF(D50=1000,20,IF(D50&lt;2000,ROUND(((D50-1000)/100+20),2),IF(D50=2000,30,IF(D50&lt;3000,ROUND(((D50-2000)*0.03+30),2),IF(D50&gt;=3000,60))))))),0)</f>
        <v>10</v>
      </c>
      <c r="E53" s="351" t="s">
        <v>618</v>
      </c>
      <c r="F53" s="359">
        <f>ROUND((B53*D53),2)</f>
        <v>10</v>
      </c>
      <c r="G53" s="360"/>
      <c r="H53" s="317"/>
      <c r="L53" s="355"/>
    </row>
    <row r="54" spans="1:25" ht="20.100000000000001" customHeight="1">
      <c r="A54" s="349"/>
      <c r="B54" s="515" t="s">
        <v>619</v>
      </c>
      <c r="C54" s="515"/>
      <c r="D54" s="358">
        <f>IF(D53=0,0,3064*F53+23793)</f>
        <v>54433</v>
      </c>
      <c r="E54" s="358" t="s">
        <v>616</v>
      </c>
      <c r="F54" s="358"/>
      <c r="G54" s="360"/>
      <c r="H54" s="358"/>
      <c r="I54" s="358"/>
      <c r="J54" s="358"/>
      <c r="K54" s="358"/>
      <c r="L54" s="361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</row>
    <row r="55" spans="1:25" ht="20.100000000000001" customHeight="1">
      <c r="A55" s="349" t="s">
        <v>620</v>
      </c>
      <c r="B55" s="16"/>
      <c r="C55" s="16"/>
      <c r="D55" s="16"/>
      <c r="E55" s="351"/>
      <c r="F55" s="351"/>
      <c r="G55" s="362"/>
    </row>
    <row r="56" spans="1:25" ht="20.100000000000001" customHeight="1">
      <c r="A56" s="349" t="s">
        <v>621</v>
      </c>
      <c r="B56" s="16"/>
      <c r="C56" s="16"/>
      <c r="D56" s="335">
        <f>D54+D52</f>
        <v>119496.82014291201</v>
      </c>
      <c r="E56" s="351"/>
      <c r="F56" s="351"/>
      <c r="G56" s="362"/>
    </row>
    <row r="57" spans="1:25" ht="20.100000000000001" customHeight="1">
      <c r="A57" s="349" t="s">
        <v>622</v>
      </c>
      <c r="B57" s="16"/>
      <c r="C57" s="16"/>
      <c r="D57" s="16"/>
      <c r="E57" s="351"/>
      <c r="F57" s="351"/>
      <c r="G57" s="362"/>
      <c r="H57" s="317"/>
    </row>
    <row r="58" spans="1:25" ht="20.100000000000001" customHeight="1">
      <c r="A58" s="349"/>
      <c r="B58" s="336" t="s">
        <v>623</v>
      </c>
      <c r="C58" s="516" t="s">
        <v>595</v>
      </c>
      <c r="D58" s="516"/>
      <c r="E58" s="516" t="s">
        <v>596</v>
      </c>
      <c r="F58" s="516"/>
      <c r="G58" s="362"/>
    </row>
    <row r="59" spans="1:25" ht="20.100000000000001" customHeight="1">
      <c r="A59" s="349"/>
      <c r="B59" s="363">
        <f>D50</f>
        <v>61.363999999999997</v>
      </c>
      <c r="C59" s="506">
        <f>IF(C58="Intake line &amp; man holes",(IF(B59&lt;=200,0.35,IF(B59&lt;=1000,0.35+(0.59-0.35)/(1000-200)*(B59-200),IF(B59&lt;=2000,(0.89-0.59)*(B59-1000)/(2000-1000)+0.59,IF(B59&lt;3000,(1.01-0.89)/(3000-200)*(B59-2000)+0.89,IF(B59&gt;=3000,1.01)))))),0)</f>
        <v>0.35</v>
      </c>
      <c r="D59" s="506"/>
      <c r="E59" s="506">
        <f>IF(E58="Compound lighting",(IF(B59&lt;=200,0.26,IF(B59&lt;=1000,0.26+(0.45-0.26)/(1000-200)*(B59-200),IF(B59&lt;=2000,(0.69-0.45)/(2000-1000)*(B59-1000)+0.45,IF(B59&lt;3000,(0.36-0.69)/(3000-2000)*(B59-2000)+0.69,IF(B59&gt;=3000,0.36)))))),0)</f>
        <v>0.26</v>
      </c>
      <c r="F59" s="506"/>
      <c r="G59" s="360"/>
      <c r="H59" s="358"/>
      <c r="I59" s="358"/>
      <c r="J59" s="358"/>
      <c r="K59" s="358"/>
      <c r="L59" s="358"/>
      <c r="M59" s="358"/>
      <c r="N59" s="358"/>
      <c r="O59" s="358"/>
      <c r="P59" s="358"/>
      <c r="Q59" s="358"/>
      <c r="R59" s="358"/>
      <c r="S59" s="351"/>
      <c r="T59" s="351"/>
      <c r="U59" s="351"/>
      <c r="V59" s="351"/>
      <c r="W59" s="351"/>
      <c r="X59" s="351"/>
      <c r="Y59" s="351"/>
    </row>
    <row r="60" spans="1:25" ht="20.100000000000001" customHeight="1">
      <c r="A60" s="349"/>
      <c r="B60" s="336" t="s">
        <v>624</v>
      </c>
      <c r="C60" s="507">
        <f>C59+E59</f>
        <v>0.61</v>
      </c>
      <c r="D60" s="508"/>
      <c r="E60" s="508"/>
      <c r="F60" s="508"/>
      <c r="G60" s="362"/>
    </row>
    <row r="61" spans="1:25" ht="20.100000000000001" customHeight="1">
      <c r="A61" s="349"/>
      <c r="B61" s="16"/>
      <c r="C61" s="16"/>
      <c r="D61" s="16"/>
      <c r="E61" s="351"/>
      <c r="F61" s="351"/>
      <c r="G61" s="362"/>
    </row>
    <row r="62" spans="1:25" ht="20.100000000000001" customHeight="1">
      <c r="A62" s="349"/>
      <c r="B62" s="16"/>
      <c r="C62" s="364">
        <f>C60</f>
        <v>0.61</v>
      </c>
      <c r="D62" s="509">
        <f>F51</f>
        <v>1853192.8</v>
      </c>
      <c r="E62" s="510"/>
      <c r="F62" s="351" t="s">
        <v>616</v>
      </c>
      <c r="G62" s="362"/>
    </row>
    <row r="63" spans="1:25" ht="20.100000000000001" customHeight="1">
      <c r="A63" s="349"/>
      <c r="B63" s="16"/>
      <c r="C63" s="511">
        <f>IF(OR(C60=0,F51=0),0,MAX(C62*D62/100,7500))</f>
        <v>11304.47608</v>
      </c>
      <c r="D63" s="512"/>
      <c r="E63" s="365" t="s">
        <v>616</v>
      </c>
      <c r="F63" s="365"/>
      <c r="G63" s="366"/>
    </row>
    <row r="64" spans="1:25" ht="33" customHeight="1">
      <c r="A64" s="367" t="s">
        <v>625</v>
      </c>
      <c r="B64" s="368" t="s">
        <v>493</v>
      </c>
      <c r="C64" s="501">
        <f>'Fence and Compund'!G145</f>
        <v>0</v>
      </c>
      <c r="D64" s="501"/>
      <c r="E64" s="16" t="s">
        <v>616</v>
      </c>
      <c r="F64" s="351"/>
      <c r="G64" s="362"/>
    </row>
    <row r="65" spans="1:14" ht="30" customHeight="1">
      <c r="A65" s="369" t="s">
        <v>626</v>
      </c>
      <c r="B65" s="140" t="s">
        <v>493</v>
      </c>
      <c r="C65" s="502">
        <f>C64+C63+D56</f>
        <v>130801.296222912</v>
      </c>
      <c r="D65" s="503"/>
      <c r="E65" s="104" t="s">
        <v>616</v>
      </c>
      <c r="F65" s="370"/>
      <c r="G65" s="371"/>
      <c r="H65" s="316"/>
    </row>
    <row r="66" spans="1:14" ht="36.75" customHeight="1">
      <c r="A66" s="343" t="s">
        <v>627</v>
      </c>
      <c r="B66" s="372" t="s">
        <v>628</v>
      </c>
      <c r="C66" s="504">
        <f>D75+D76+D77+D78</f>
        <v>1983994.096222912</v>
      </c>
      <c r="D66" s="504"/>
      <c r="K66" s="316"/>
      <c r="L66" s="316"/>
      <c r="M66" s="316"/>
      <c r="N66" s="316"/>
    </row>
    <row r="67" spans="1:14" ht="20.100000000000001" customHeight="1">
      <c r="A67" s="16" t="s">
        <v>629</v>
      </c>
      <c r="B67" s="16"/>
      <c r="C67" s="16"/>
      <c r="K67" s="316"/>
      <c r="L67" s="316"/>
      <c r="M67" s="316"/>
      <c r="N67" s="316"/>
    </row>
    <row r="68" spans="1:14" ht="20.100000000000001" customHeight="1">
      <c r="A68" s="336" t="s">
        <v>588</v>
      </c>
      <c r="B68" s="373">
        <f>IF(A68="Architectural",(IF(C66&lt;=500000,45%*4.25%*C66*(C68/100),IF(C66&lt;=1000000,45%*3.75%*C66*(C68/100),IF(C66&lt;=2500000,45%*3.25%*C66*(C68/100),IF(C66&lt;=5000000,45%*2.75%*C66*(C68/100),IF(C66&lt;=10000000,45%*2.25%*C66*(C68/100),IF(C66&gt;10000000,45%*1.75%*C66*(C68/100)))))))),0)</f>
        <v>29015.913657260087</v>
      </c>
      <c r="C68" s="373">
        <v>100</v>
      </c>
      <c r="D68" s="365"/>
      <c r="E68" s="365"/>
      <c r="F68" s="365"/>
      <c r="G68" s="365"/>
      <c r="H68" s="365"/>
      <c r="K68" s="316">
        <v>200</v>
      </c>
      <c r="L68" s="316">
        <v>4818</v>
      </c>
      <c r="M68" s="316">
        <f t="shared" ref="M68:M75" si="16">L68*2</f>
        <v>9636</v>
      </c>
      <c r="N68" s="316">
        <f t="shared" ref="N68:N75" si="17">K68*M68</f>
        <v>1927200</v>
      </c>
    </row>
    <row r="69" spans="1:14" ht="20.100000000000001" customHeight="1">
      <c r="A69" s="336" t="s">
        <v>589</v>
      </c>
      <c r="B69" s="373">
        <f>IF(A69="Structural",(IF(C66&lt;=500000,30%*4.25%*C66*(C69/100),IF(C66&lt;=1000000,30%*3.75%*C66*(C69/100),IF(C66&lt;=2500000,30%*3.25%*C66*(C69/100),IF(C66&lt;=5000000,30%*2.75%*C66*(C69/100),IF(C66&lt;=10000000,30%*2.25%*C66*(C69/100),IF(C66&gt;10000000,30%*1.75%*C66*(C69/100)))))))),0)</f>
        <v>0</v>
      </c>
      <c r="C69" s="373">
        <v>0</v>
      </c>
      <c r="D69" s="365"/>
      <c r="E69" s="365"/>
      <c r="F69" s="365"/>
      <c r="G69" s="365"/>
      <c r="H69" s="365"/>
      <c r="I69" s="351"/>
      <c r="J69" s="351"/>
      <c r="K69" s="374">
        <v>200</v>
      </c>
      <c r="L69" s="374">
        <v>3818</v>
      </c>
      <c r="M69" s="316">
        <f t="shared" si="16"/>
        <v>7636</v>
      </c>
      <c r="N69" s="316">
        <f t="shared" si="17"/>
        <v>1527200</v>
      </c>
    </row>
    <row r="70" spans="1:14" ht="20.100000000000001" customHeight="1">
      <c r="A70" s="336" t="s">
        <v>590</v>
      </c>
      <c r="B70" s="373">
        <f>IF(A70="Electrical",(IF(C66&lt;=500000,10%*4.25%*C66*(C70/100),IF(C66&lt;=1000000,10%*3.75%*C66*(C70/100),IF(C66&lt;=2500000,10%*3.25%*C66*(C70/100),IF(C66&lt;=5000000,10%*2.75%*C66*(C70/100),IF(C66&lt;=10000000,10%*2.25%*C66*(C70/100),IF(C66&gt;10000000,10%*1.75%*C66*(C70/100)))))))),0)</f>
        <v>0</v>
      </c>
      <c r="C70" s="373"/>
      <c r="D70" s="365"/>
      <c r="E70" s="365"/>
      <c r="F70" s="365"/>
      <c r="G70" s="365"/>
      <c r="H70" s="365"/>
      <c r="K70" s="316">
        <v>200</v>
      </c>
      <c r="L70" s="316">
        <v>2818</v>
      </c>
      <c r="M70" s="316">
        <f t="shared" si="16"/>
        <v>5636</v>
      </c>
      <c r="N70" s="316">
        <f t="shared" si="17"/>
        <v>1127200</v>
      </c>
    </row>
    <row r="71" spans="1:14" ht="20.100000000000001" customHeight="1">
      <c r="A71" s="336" t="s">
        <v>591</v>
      </c>
      <c r="B71" s="373">
        <f>IF(A71="Sanitary",(IF(C66&lt;=500000,2.75%*4.25%*C66*(C71/100),IF(C66&lt;=1000000,2.75%*3.75%*C66*(C71/100),IF(C66&lt;=2500000,2.75%*3.25%*C66*(C71/100),IF(C66&lt;=5000000,2.75%*2.75%*C66*(C71/100),IF(C66&lt;=10000000,2.75%*2.25%*C66*(C71/100),IF(C66&gt;10000000,2.75%*1.75%*C66*(C71/100)))))))),0)</f>
        <v>0</v>
      </c>
      <c r="C71" s="373"/>
      <c r="D71" s="365"/>
      <c r="E71" s="365"/>
      <c r="F71" s="365"/>
      <c r="G71" s="365"/>
      <c r="H71" s="365"/>
      <c r="K71" s="316">
        <v>500</v>
      </c>
      <c r="L71" s="316">
        <v>2418</v>
      </c>
      <c r="M71" s="316">
        <f t="shared" si="16"/>
        <v>4836</v>
      </c>
      <c r="N71" s="316">
        <f t="shared" si="17"/>
        <v>2418000</v>
      </c>
    </row>
    <row r="72" spans="1:14" ht="20.100000000000001" customHeight="1">
      <c r="A72" s="336" t="s">
        <v>592</v>
      </c>
      <c r="B72" s="373">
        <f>IF(A72="Specification and bill of quantity",(IF(C66&lt;=500000,2.25%*4.25%*C66*(C72/100),IF(C66&lt;=1000000,2.25%*3.75%*C66*(C72/100),IF(C66&lt;=2500000,2.25%*3.25%*C66*(C72/100),IF(C66&lt;=5000000,2.25%*2.75%*C66*(C72/100),IF(C66&lt;=10000000,2.25%*2.25%*C66*(C72/100),IF(C66&gt;10000000,2.25%*1.75%*C66*(C72/100)))))))),0)</f>
        <v>0</v>
      </c>
      <c r="C72" s="373"/>
      <c r="D72" s="365"/>
      <c r="E72" s="365"/>
      <c r="F72" s="365"/>
      <c r="G72" s="365"/>
      <c r="H72" s="365"/>
      <c r="I72" s="351"/>
      <c r="J72" s="351"/>
      <c r="K72" s="374">
        <v>500</v>
      </c>
      <c r="L72" s="316">
        <v>2218</v>
      </c>
      <c r="M72" s="316">
        <f t="shared" si="16"/>
        <v>4436</v>
      </c>
      <c r="N72" s="316">
        <f t="shared" si="17"/>
        <v>2218000</v>
      </c>
    </row>
    <row r="73" spans="1:14" ht="20.100000000000001" customHeight="1">
      <c r="A73" s="375" t="s">
        <v>630</v>
      </c>
      <c r="B73" s="505">
        <f>SUM(B68:B72)</f>
        <v>29015.913657260087</v>
      </c>
      <c r="C73" s="505"/>
      <c r="D73" s="365"/>
      <c r="E73" s="365"/>
      <c r="F73" s="365"/>
      <c r="G73" s="365"/>
      <c r="H73" s="365">
        <f>D75+D78</f>
        <v>1853192.8</v>
      </c>
      <c r="I73" s="351"/>
      <c r="J73" s="351"/>
      <c r="K73" s="374">
        <v>1000</v>
      </c>
      <c r="L73" s="316">
        <v>1718</v>
      </c>
      <c r="M73" s="316">
        <f t="shared" si="16"/>
        <v>3436</v>
      </c>
      <c r="N73" s="316">
        <f t="shared" si="17"/>
        <v>3436000</v>
      </c>
    </row>
    <row r="74" spans="1:14">
      <c r="A74" s="16"/>
      <c r="B74" s="365"/>
      <c r="C74" s="365"/>
      <c r="D74" s="365"/>
      <c r="E74" s="365"/>
      <c r="F74" s="365"/>
      <c r="G74" s="365"/>
      <c r="H74" s="365"/>
      <c r="I74" s="351"/>
      <c r="J74" s="351"/>
      <c r="K74" s="374">
        <v>2000</v>
      </c>
      <c r="L74" s="316">
        <v>1218</v>
      </c>
      <c r="M74" s="316">
        <f t="shared" si="16"/>
        <v>2436</v>
      </c>
      <c r="N74" s="316">
        <f t="shared" si="17"/>
        <v>4872000</v>
      </c>
    </row>
    <row r="75" spans="1:14" ht="20.100000000000001" customHeight="1">
      <c r="B75" s="498" t="s">
        <v>631</v>
      </c>
      <c r="C75" s="498"/>
      <c r="D75" s="499">
        <f>F51</f>
        <v>1853192.8</v>
      </c>
      <c r="E75" s="499"/>
      <c r="F75" s="376"/>
      <c r="G75" s="376"/>
      <c r="H75" s="376"/>
      <c r="I75" s="376"/>
      <c r="J75" s="376"/>
      <c r="K75" s="377">
        <v>6.4</v>
      </c>
      <c r="L75" s="316">
        <v>718</v>
      </c>
      <c r="M75" s="316">
        <f t="shared" si="16"/>
        <v>1436</v>
      </c>
      <c r="N75" s="316">
        <f t="shared" si="17"/>
        <v>9190.4</v>
      </c>
    </row>
    <row r="76" spans="1:14" ht="20.100000000000001" customHeight="1">
      <c r="B76" s="498" t="s">
        <v>632</v>
      </c>
      <c r="C76" s="498"/>
      <c r="D76" s="499">
        <f>B49</f>
        <v>0</v>
      </c>
      <c r="E76" s="499"/>
      <c r="F76" s="376"/>
      <c r="G76" s="376"/>
      <c r="H76" s="376"/>
      <c r="I76" s="376"/>
      <c r="J76" s="376"/>
      <c r="K76" s="377">
        <f>K66+K67+K68+K69+K70+K71+K72+K73+K74</f>
        <v>4600</v>
      </c>
      <c r="L76" s="316"/>
      <c r="M76" s="316"/>
      <c r="N76" s="316">
        <f>N66+N67+N68+N69+N70+N71+N72+N73+N74+N75</f>
        <v>17534790.399999999</v>
      </c>
    </row>
    <row r="77" spans="1:14" ht="20.100000000000001" customHeight="1">
      <c r="B77" s="498" t="s">
        <v>633</v>
      </c>
      <c r="C77" s="498"/>
      <c r="D77" s="499">
        <f>C65</f>
        <v>130801.296222912</v>
      </c>
      <c r="E77" s="499"/>
      <c r="F77" s="376"/>
      <c r="G77" s="376"/>
      <c r="H77" s="378">
        <f>D75+D77+D78</f>
        <v>1983994.096222912</v>
      </c>
      <c r="I77" s="376"/>
      <c r="J77" s="376"/>
      <c r="K77" s="376"/>
    </row>
    <row r="78" spans="1:14" ht="20.100000000000001" customHeight="1">
      <c r="B78" s="498" t="s">
        <v>634</v>
      </c>
      <c r="C78" s="498"/>
      <c r="D78" s="499">
        <f>'Fence and Compund'!G78</f>
        <v>0</v>
      </c>
      <c r="E78" s="499"/>
      <c r="F78" s="376"/>
      <c r="G78" s="379"/>
      <c r="H78" s="380">
        <f>H77*3</f>
        <v>5951982.2886687359</v>
      </c>
      <c r="I78" s="381">
        <f>1789.2*60</f>
        <v>107352</v>
      </c>
      <c r="J78" s="381"/>
      <c r="K78" s="379"/>
    </row>
    <row r="79" spans="1:14" ht="20.100000000000001" customHeight="1">
      <c r="B79" s="498" t="s">
        <v>635</v>
      </c>
      <c r="C79" s="498"/>
      <c r="D79" s="499">
        <f>B73</f>
        <v>29015.913657260087</v>
      </c>
      <c r="E79" s="499"/>
      <c r="F79" s="376"/>
      <c r="G79" s="379"/>
      <c r="H79" s="380">
        <f>D80*3</f>
        <v>2438004</v>
      </c>
      <c r="I79" s="379"/>
      <c r="J79" s="379"/>
      <c r="K79" s="379"/>
    </row>
    <row r="80" spans="1:14" ht="20.100000000000001" customHeight="1">
      <c r="B80" s="498" t="s">
        <v>605</v>
      </c>
      <c r="C80" s="498"/>
      <c r="D80" s="499">
        <f>B19</f>
        <v>812668</v>
      </c>
      <c r="E80" s="499"/>
      <c r="F80" s="376"/>
      <c r="G80" s="379"/>
      <c r="H80" s="380">
        <f>B13/B11</f>
        <v>26151.6731552739</v>
      </c>
      <c r="I80" s="379"/>
      <c r="J80" s="379"/>
      <c r="K80" s="379"/>
    </row>
    <row r="81" spans="2:11" ht="20.100000000000001" customHeight="1">
      <c r="B81" s="498" t="s">
        <v>636</v>
      </c>
      <c r="C81" s="498"/>
      <c r="D81" s="500">
        <f>SUM(D75:D80)</f>
        <v>2825678.0098801721</v>
      </c>
      <c r="E81" s="500"/>
      <c r="F81" s="382"/>
      <c r="G81" s="382"/>
      <c r="H81" s="382"/>
      <c r="I81" s="382"/>
      <c r="J81" s="382"/>
      <c r="K81" s="382"/>
    </row>
    <row r="88" spans="2:11">
      <c r="H88" s="315">
        <f>11.5+12.5</f>
        <v>24</v>
      </c>
      <c r="I88" s="315">
        <f>H88/2</f>
        <v>12</v>
      </c>
    </row>
    <row r="89" spans="2:11">
      <c r="I89" s="315">
        <f>I88*20</f>
        <v>240</v>
      </c>
    </row>
  </sheetData>
  <mergeCells count="28">
    <mergeCell ref="A6:C6"/>
    <mergeCell ref="B50:C50"/>
    <mergeCell ref="B54:C54"/>
    <mergeCell ref="C58:D58"/>
    <mergeCell ref="E58:F58"/>
    <mergeCell ref="C59:D59"/>
    <mergeCell ref="E59:F59"/>
    <mergeCell ref="C60:F60"/>
    <mergeCell ref="D62:E62"/>
    <mergeCell ref="C63:D63"/>
    <mergeCell ref="C64:D64"/>
    <mergeCell ref="C65:D65"/>
    <mergeCell ref="C66:D66"/>
    <mergeCell ref="B73:C73"/>
    <mergeCell ref="B75:C75"/>
    <mergeCell ref="D75:E75"/>
    <mergeCell ref="B76:C76"/>
    <mergeCell ref="D76:E76"/>
    <mergeCell ref="B77:C77"/>
    <mergeCell ref="D77:E77"/>
    <mergeCell ref="B78:C78"/>
    <mergeCell ref="D78:E78"/>
    <mergeCell ref="B79:C79"/>
    <mergeCell ref="D79:E79"/>
    <mergeCell ref="B80:C80"/>
    <mergeCell ref="D80:E80"/>
    <mergeCell ref="B81:C81"/>
    <mergeCell ref="D81:E81"/>
  </mergeCells>
  <pageMargins left="0.7" right="0.7" top="0.75" bottom="0.75" header="0.3" footer="0.3"/>
  <pageSetup scale="59" orientation="portrait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'Plot grade'!$D$2:$D$16</xm:f>
          </x14:formula1>
          <xm:sqref>B12</xm:sqref>
        </x14:dataValidation>
        <x14:dataValidation type="list" allowBlank="1" showInputMessage="1" showErrorMessage="1">
          <x14:formula1>
            <xm:f>'Plot grade'!$B$54</xm:f>
          </x14:formula1>
          <xm:sqref>A51</xm:sqref>
        </x14:dataValidation>
        <x14:dataValidation type="list" allowBlank="1" showInputMessage="1" showErrorMessage="1">
          <x14:formula1>
            <xm:f>'Plot grade'!$B$55</xm:f>
          </x14:formula1>
          <xm:sqref>A53</xm:sqref>
        </x14:dataValidation>
        <x14:dataValidation type="list" allowBlank="1" showInputMessage="1" showErrorMessage="1">
          <x14:formula1>
            <xm:f>'Plot grade'!$B$56</xm:f>
          </x14:formula1>
          <xm:sqref>C58</xm:sqref>
        </x14:dataValidation>
        <x14:dataValidation type="list" allowBlank="1" showInputMessage="1" showErrorMessage="1">
          <x14:formula1>
            <xm:f>'Plot grade'!$B$57</xm:f>
          </x14:formula1>
          <xm:sqref>E58</xm:sqref>
        </x14:dataValidation>
        <x14:dataValidation type="list" allowBlank="1" showInputMessage="1" showErrorMessage="1">
          <x14:formula1>
            <xm:f>'Plot grade'!$B$48:$B$52</xm:f>
          </x14:formula1>
          <xm:sqref>A68 A70:A72</xm:sqref>
        </x14:dataValidation>
        <x14:dataValidation type="list" allowBlank="1" showInputMessage="1" showErrorMessage="1">
          <x14:formula1>
            <xm:f>'Plot grade'!$B$49</xm:f>
          </x14:formula1>
          <xm:sqref>A69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K207"/>
  <sheetViews>
    <sheetView workbookViewId="0">
      <selection activeCell="B19" sqref="B19"/>
    </sheetView>
  </sheetViews>
  <sheetFormatPr defaultColWidth="9" defaultRowHeight="15"/>
  <cols>
    <col min="1" max="1" width="12.140625" customWidth="1"/>
    <col min="2" max="2" width="27.7109375" customWidth="1"/>
    <col min="3" max="6" width="12.140625" customWidth="1"/>
    <col min="7" max="7" width="17.85546875" customWidth="1"/>
  </cols>
  <sheetData>
    <row r="2" spans="1:9" ht="20.25">
      <c r="A2" s="143"/>
      <c r="B2" s="144" t="s">
        <v>637</v>
      </c>
      <c r="C2" s="143"/>
      <c r="D2" s="145"/>
      <c r="E2" s="145"/>
      <c r="F2" s="146"/>
      <c r="G2" s="143"/>
    </row>
    <row r="3" spans="1:9" ht="15.75">
      <c r="A3" s="147" t="s">
        <v>638</v>
      </c>
      <c r="B3" s="147" t="s">
        <v>639</v>
      </c>
      <c r="C3" s="147" t="s">
        <v>640</v>
      </c>
      <c r="D3" s="147" t="s">
        <v>641</v>
      </c>
      <c r="E3" s="148" t="s">
        <v>642</v>
      </c>
      <c r="F3" s="149" t="s">
        <v>643</v>
      </c>
      <c r="G3" s="150" t="s">
        <v>644</v>
      </c>
      <c r="I3" t="str">
        <f>IF(SUM(G4:G55)=0,"-",1)</f>
        <v>-</v>
      </c>
    </row>
    <row r="4" spans="1:9" ht="31.5">
      <c r="A4" s="151">
        <v>1</v>
      </c>
      <c r="B4" s="152" t="s">
        <v>645</v>
      </c>
      <c r="C4" s="152"/>
      <c r="D4" s="153"/>
      <c r="E4" s="153"/>
      <c r="F4" s="154"/>
      <c r="G4" s="155"/>
      <c r="I4" s="142" t="str">
        <f>IF(SUM(G5:G12)=0,"-",1)</f>
        <v>-</v>
      </c>
    </row>
    <row r="5" spans="1:9" ht="15.75">
      <c r="A5" s="151">
        <v>1.1000000000000001</v>
      </c>
      <c r="B5" s="156" t="s">
        <v>646</v>
      </c>
      <c r="C5" s="156" t="s">
        <v>647</v>
      </c>
      <c r="D5" s="153"/>
      <c r="E5" s="153">
        <f>2.75*F5</f>
        <v>4414.7674999999999</v>
      </c>
      <c r="F5" s="154">
        <v>1605.37</v>
      </c>
      <c r="G5" s="155">
        <f>D5*E5</f>
        <v>0</v>
      </c>
      <c r="I5" t="str">
        <f>IF(G5=0,"-",1)</f>
        <v>-</v>
      </c>
    </row>
    <row r="6" spans="1:9" ht="15.75">
      <c r="A6" s="157">
        <v>1.2</v>
      </c>
      <c r="B6" s="156" t="s">
        <v>648</v>
      </c>
      <c r="C6" s="156" t="s">
        <v>647</v>
      </c>
      <c r="D6" s="153"/>
      <c r="E6" s="153">
        <f t="shared" ref="E6:E54" si="0">2.75*F6</f>
        <v>4616.8649999999998</v>
      </c>
      <c r="F6" s="154">
        <v>1678.86</v>
      </c>
      <c r="G6" s="155">
        <f t="shared" ref="G6:G54" si="1">D6*E6</f>
        <v>0</v>
      </c>
      <c r="I6" t="str">
        <f t="shared" ref="I6:I55" si="2">IF(G6=0,"-",1)</f>
        <v>-</v>
      </c>
    </row>
    <row r="7" spans="1:9" ht="15.75">
      <c r="A7" s="151">
        <v>1.3</v>
      </c>
      <c r="B7" s="156" t="s">
        <v>649</v>
      </c>
      <c r="C7" s="156" t="s">
        <v>647</v>
      </c>
      <c r="D7" s="153"/>
      <c r="E7" s="153">
        <f t="shared" si="0"/>
        <v>4819.0174999999999</v>
      </c>
      <c r="F7" s="154">
        <v>1752.37</v>
      </c>
      <c r="G7" s="155">
        <f t="shared" si="1"/>
        <v>0</v>
      </c>
      <c r="I7" t="str">
        <f t="shared" si="2"/>
        <v>-</v>
      </c>
    </row>
    <row r="8" spans="1:9" ht="15.75">
      <c r="A8" s="151">
        <v>1.4</v>
      </c>
      <c r="B8" s="156" t="s">
        <v>650</v>
      </c>
      <c r="C8" s="156" t="s">
        <v>647</v>
      </c>
      <c r="D8" s="153"/>
      <c r="E8" s="153">
        <f t="shared" si="0"/>
        <v>4984.0725000000002</v>
      </c>
      <c r="F8" s="154">
        <v>1812.39</v>
      </c>
      <c r="G8" s="155">
        <f t="shared" si="1"/>
        <v>0</v>
      </c>
      <c r="I8" t="str">
        <f t="shared" si="2"/>
        <v>-</v>
      </c>
    </row>
    <row r="9" spans="1:9" ht="15.75">
      <c r="A9" s="151">
        <v>1.5</v>
      </c>
      <c r="B9" s="156" t="s">
        <v>651</v>
      </c>
      <c r="C9" s="156" t="s">
        <v>647</v>
      </c>
      <c r="D9" s="153"/>
      <c r="E9" s="153">
        <f t="shared" si="0"/>
        <v>4829.0275000000001</v>
      </c>
      <c r="F9" s="154">
        <v>1756.01</v>
      </c>
      <c r="G9" s="155">
        <f t="shared" si="1"/>
        <v>0</v>
      </c>
      <c r="I9" t="str">
        <f t="shared" si="2"/>
        <v>-</v>
      </c>
    </row>
    <row r="10" spans="1:9" ht="15.75">
      <c r="A10" s="151">
        <v>1.6</v>
      </c>
      <c r="B10" s="156" t="s">
        <v>652</v>
      </c>
      <c r="C10" s="156" t="s">
        <v>647</v>
      </c>
      <c r="D10" s="153"/>
      <c r="E10" s="153">
        <f t="shared" si="0"/>
        <v>4333.9724999999999</v>
      </c>
      <c r="F10" s="154">
        <v>1575.99</v>
      </c>
      <c r="G10" s="155">
        <f t="shared" si="1"/>
        <v>0</v>
      </c>
      <c r="I10" t="str">
        <f t="shared" si="2"/>
        <v>-</v>
      </c>
    </row>
    <row r="11" spans="1:9" ht="15.75">
      <c r="A11" s="151">
        <v>1.7</v>
      </c>
      <c r="B11" s="158" t="s">
        <v>653</v>
      </c>
      <c r="C11" s="156" t="s">
        <v>647</v>
      </c>
      <c r="D11" s="153"/>
      <c r="E11" s="153">
        <f t="shared" si="0"/>
        <v>4829.0275000000001</v>
      </c>
      <c r="F11" s="154">
        <v>1756.01</v>
      </c>
      <c r="G11" s="155">
        <f t="shared" si="1"/>
        <v>0</v>
      </c>
      <c r="I11" t="str">
        <f t="shared" si="2"/>
        <v>-</v>
      </c>
    </row>
    <row r="12" spans="1:9" ht="47.25">
      <c r="A12" s="151">
        <v>1.8</v>
      </c>
      <c r="B12" s="156" t="s">
        <v>654</v>
      </c>
      <c r="C12" s="156" t="s">
        <v>655</v>
      </c>
      <c r="D12" s="153"/>
      <c r="E12" s="153">
        <f t="shared" si="0"/>
        <v>172.81</v>
      </c>
      <c r="F12" s="154">
        <v>62.84</v>
      </c>
      <c r="G12" s="155">
        <f t="shared" si="1"/>
        <v>0</v>
      </c>
      <c r="I12" t="str">
        <f t="shared" si="2"/>
        <v>-</v>
      </c>
    </row>
    <row r="13" spans="1:9" ht="31.5">
      <c r="A13" s="151">
        <v>2</v>
      </c>
      <c r="B13" s="152" t="s">
        <v>656</v>
      </c>
      <c r="C13" s="152"/>
      <c r="D13" s="153"/>
      <c r="E13" s="153">
        <f t="shared" si="0"/>
        <v>0</v>
      </c>
      <c r="F13" s="154">
        <v>0</v>
      </c>
      <c r="G13" s="155">
        <f t="shared" si="1"/>
        <v>0</v>
      </c>
      <c r="I13" s="142" t="str">
        <f>IF(SUM(G14:G17)=0,"-",1)</f>
        <v>-</v>
      </c>
    </row>
    <row r="14" spans="1:9" ht="15.75">
      <c r="A14" s="151">
        <v>2.1</v>
      </c>
      <c r="B14" s="158" t="s">
        <v>646</v>
      </c>
      <c r="C14" s="156" t="s">
        <v>647</v>
      </c>
      <c r="D14" s="153"/>
      <c r="E14" s="153">
        <f t="shared" si="0"/>
        <v>4619.4775</v>
      </c>
      <c r="F14" s="154">
        <v>1679.81</v>
      </c>
      <c r="G14" s="155">
        <f t="shared" si="1"/>
        <v>0</v>
      </c>
      <c r="I14" t="str">
        <f t="shared" si="2"/>
        <v>-</v>
      </c>
    </row>
    <row r="15" spans="1:9" ht="15.75">
      <c r="A15" s="151">
        <v>2.2000000000000002</v>
      </c>
      <c r="B15" s="156" t="s">
        <v>657</v>
      </c>
      <c r="C15" s="156" t="s">
        <v>647</v>
      </c>
      <c r="D15" s="153"/>
      <c r="E15" s="153">
        <f t="shared" si="0"/>
        <v>4795.2299999999996</v>
      </c>
      <c r="F15" s="154">
        <v>1743.72</v>
      </c>
      <c r="G15" s="155">
        <f t="shared" si="1"/>
        <v>0</v>
      </c>
      <c r="I15" t="str">
        <f t="shared" si="2"/>
        <v>-</v>
      </c>
    </row>
    <row r="16" spans="1:9" ht="15.75">
      <c r="A16" s="151">
        <v>2.4</v>
      </c>
      <c r="B16" s="156" t="s">
        <v>649</v>
      </c>
      <c r="C16" s="156" t="s">
        <v>647</v>
      </c>
      <c r="D16" s="153"/>
      <c r="E16" s="153">
        <f t="shared" si="0"/>
        <v>4971.01</v>
      </c>
      <c r="F16" s="154">
        <v>1807.64</v>
      </c>
      <c r="G16" s="155">
        <f t="shared" si="1"/>
        <v>0</v>
      </c>
      <c r="I16" t="str">
        <f t="shared" si="2"/>
        <v>-</v>
      </c>
    </row>
    <row r="17" spans="1:9" s="141" customFormat="1" ht="15.75">
      <c r="A17" s="159">
        <v>2.5</v>
      </c>
      <c r="B17" s="158" t="s">
        <v>658</v>
      </c>
      <c r="C17" s="158" t="s">
        <v>659</v>
      </c>
      <c r="D17" s="160"/>
      <c r="E17" s="153">
        <f t="shared" si="0"/>
        <v>2722.3625000000002</v>
      </c>
      <c r="F17" s="161">
        <v>989.95</v>
      </c>
      <c r="G17" s="155">
        <f t="shared" si="1"/>
        <v>0</v>
      </c>
      <c r="I17" t="str">
        <f t="shared" si="2"/>
        <v>-</v>
      </c>
    </row>
    <row r="18" spans="1:9" ht="15.75">
      <c r="A18" s="151">
        <v>3</v>
      </c>
      <c r="B18" s="152" t="s">
        <v>660</v>
      </c>
      <c r="C18" s="152"/>
      <c r="D18" s="153"/>
      <c r="E18" s="153">
        <f t="shared" si="0"/>
        <v>0</v>
      </c>
      <c r="F18" s="154"/>
      <c r="G18" s="155">
        <f t="shared" si="1"/>
        <v>0</v>
      </c>
      <c r="I18" s="142" t="str">
        <f>IF(SUM(G19:G26)=0,"-",1)</f>
        <v>-</v>
      </c>
    </row>
    <row r="19" spans="1:9" ht="15.75">
      <c r="A19" s="151">
        <v>3.1</v>
      </c>
      <c r="B19" s="156" t="s">
        <v>646</v>
      </c>
      <c r="C19" s="156" t="s">
        <v>655</v>
      </c>
      <c r="D19" s="153"/>
      <c r="E19" s="153">
        <f t="shared" si="0"/>
        <v>1221.5775000000001</v>
      </c>
      <c r="F19" s="154">
        <v>444.21</v>
      </c>
      <c r="G19" s="155">
        <f t="shared" si="1"/>
        <v>0</v>
      </c>
      <c r="I19" t="str">
        <f t="shared" si="2"/>
        <v>-</v>
      </c>
    </row>
    <row r="20" spans="1:9" ht="15.75">
      <c r="A20" s="151">
        <v>3.2</v>
      </c>
      <c r="B20" s="156" t="s">
        <v>648</v>
      </c>
      <c r="C20" s="156" t="s">
        <v>655</v>
      </c>
      <c r="D20" s="153"/>
      <c r="E20" s="153">
        <f t="shared" si="0"/>
        <v>1464.1</v>
      </c>
      <c r="F20" s="154">
        <v>532.4</v>
      </c>
      <c r="G20" s="155">
        <f t="shared" si="1"/>
        <v>0</v>
      </c>
      <c r="I20" t="str">
        <f t="shared" si="2"/>
        <v>-</v>
      </c>
    </row>
    <row r="21" spans="1:9" ht="15.75">
      <c r="A21" s="151">
        <v>3.3</v>
      </c>
      <c r="B21" s="156" t="s">
        <v>649</v>
      </c>
      <c r="C21" s="156" t="s">
        <v>655</v>
      </c>
      <c r="D21" s="153"/>
      <c r="E21" s="153">
        <f t="shared" si="0"/>
        <v>1706.6775</v>
      </c>
      <c r="F21" s="154">
        <v>620.61</v>
      </c>
      <c r="G21" s="155">
        <f t="shared" si="1"/>
        <v>0</v>
      </c>
      <c r="I21" t="str">
        <f t="shared" si="2"/>
        <v>-</v>
      </c>
    </row>
    <row r="22" spans="1:9" ht="15.75">
      <c r="A22" s="151">
        <v>3.4</v>
      </c>
      <c r="B22" s="156" t="s">
        <v>661</v>
      </c>
      <c r="C22" s="156" t="s">
        <v>655</v>
      </c>
      <c r="D22" s="153"/>
      <c r="E22" s="153">
        <f t="shared" si="0"/>
        <v>1904.7325000000001</v>
      </c>
      <c r="F22" s="154">
        <v>692.63</v>
      </c>
      <c r="G22" s="155">
        <f t="shared" si="1"/>
        <v>0</v>
      </c>
      <c r="I22" t="str">
        <f t="shared" si="2"/>
        <v>-</v>
      </c>
    </row>
    <row r="23" spans="1:9" ht="15.75">
      <c r="A23" s="151">
        <v>3.5</v>
      </c>
      <c r="B23" s="156" t="s">
        <v>651</v>
      </c>
      <c r="C23" s="156" t="s">
        <v>655</v>
      </c>
      <c r="D23" s="162">
        <f>area!C21</f>
        <v>0</v>
      </c>
      <c r="E23" s="153">
        <f t="shared" si="0"/>
        <v>2062.83</v>
      </c>
      <c r="F23" s="154">
        <v>750.12</v>
      </c>
      <c r="G23" s="155">
        <f t="shared" si="1"/>
        <v>0</v>
      </c>
      <c r="I23" t="str">
        <f t="shared" si="2"/>
        <v>-</v>
      </c>
    </row>
    <row r="24" spans="1:9" ht="15.75">
      <c r="A24" s="151">
        <v>3.6</v>
      </c>
      <c r="B24" s="156" t="s">
        <v>652</v>
      </c>
      <c r="C24" s="156" t="s">
        <v>655</v>
      </c>
      <c r="D24" s="153"/>
      <c r="E24" s="153">
        <f t="shared" si="0"/>
        <v>1904.7325000000001</v>
      </c>
      <c r="F24" s="154">
        <v>692.63</v>
      </c>
      <c r="G24" s="155">
        <f t="shared" si="1"/>
        <v>0</v>
      </c>
      <c r="I24" t="str">
        <f t="shared" si="2"/>
        <v>-</v>
      </c>
    </row>
    <row r="25" spans="1:9" ht="15.75">
      <c r="A25" s="151">
        <v>3.7</v>
      </c>
      <c r="B25" s="156" t="s">
        <v>653</v>
      </c>
      <c r="C25" s="156" t="s">
        <v>655</v>
      </c>
      <c r="D25" s="153"/>
      <c r="E25" s="153">
        <f t="shared" si="0"/>
        <v>2062.83</v>
      </c>
      <c r="F25" s="154">
        <v>750.12</v>
      </c>
      <c r="G25" s="155">
        <f t="shared" si="1"/>
        <v>0</v>
      </c>
      <c r="I25" t="str">
        <f t="shared" si="2"/>
        <v>-</v>
      </c>
    </row>
    <row r="26" spans="1:9" ht="15.75">
      <c r="A26" s="151">
        <v>3.8</v>
      </c>
      <c r="B26" s="158" t="s">
        <v>662</v>
      </c>
      <c r="C26" s="156" t="s">
        <v>655</v>
      </c>
      <c r="D26" s="162">
        <f>D23*2</f>
        <v>0</v>
      </c>
      <c r="E26" s="153">
        <f t="shared" si="0"/>
        <v>172.81</v>
      </c>
      <c r="F26" s="154">
        <v>62.84</v>
      </c>
      <c r="G26" s="155">
        <f t="shared" si="1"/>
        <v>0</v>
      </c>
      <c r="I26" t="str">
        <f t="shared" si="2"/>
        <v>-</v>
      </c>
    </row>
    <row r="27" spans="1:9" ht="15.75">
      <c r="A27" s="151">
        <v>4</v>
      </c>
      <c r="B27" s="152" t="s">
        <v>663</v>
      </c>
      <c r="C27" s="152"/>
      <c r="D27" s="153"/>
      <c r="E27" s="153">
        <f t="shared" si="0"/>
        <v>0</v>
      </c>
      <c r="F27" s="154"/>
      <c r="G27" s="155">
        <f t="shared" si="1"/>
        <v>0</v>
      </c>
      <c r="I27" s="142" t="str">
        <f>IF(SUM(G28:G35)=0,"-",1)</f>
        <v>-</v>
      </c>
    </row>
    <row r="28" spans="1:9" ht="15.75">
      <c r="A28" s="151">
        <v>4.0999999999999996</v>
      </c>
      <c r="B28" s="158" t="s">
        <v>646</v>
      </c>
      <c r="C28" s="156" t="s">
        <v>655</v>
      </c>
      <c r="D28" s="153"/>
      <c r="E28" s="153">
        <f t="shared" si="0"/>
        <v>4563.2950000000001</v>
      </c>
      <c r="F28" s="154">
        <v>1659.38</v>
      </c>
      <c r="G28" s="155">
        <f t="shared" si="1"/>
        <v>0</v>
      </c>
      <c r="I28" t="str">
        <f t="shared" si="2"/>
        <v>-</v>
      </c>
    </row>
    <row r="29" spans="1:9" ht="15.75">
      <c r="A29" s="151">
        <v>4.2</v>
      </c>
      <c r="B29" s="156" t="s">
        <v>648</v>
      </c>
      <c r="C29" s="156" t="s">
        <v>655</v>
      </c>
      <c r="D29" s="153"/>
      <c r="E29" s="153">
        <f t="shared" si="0"/>
        <v>4703.9025000000001</v>
      </c>
      <c r="F29" s="154">
        <v>1710.51</v>
      </c>
      <c r="G29" s="155">
        <f t="shared" si="1"/>
        <v>0</v>
      </c>
      <c r="I29" t="str">
        <f t="shared" si="2"/>
        <v>-</v>
      </c>
    </row>
    <row r="30" spans="1:9" ht="15.75">
      <c r="A30" s="151">
        <v>4.3</v>
      </c>
      <c r="B30" s="158" t="s">
        <v>649</v>
      </c>
      <c r="C30" s="156" t="s">
        <v>655</v>
      </c>
      <c r="D30" s="153"/>
      <c r="E30" s="153">
        <f t="shared" si="0"/>
        <v>4844.5375000000004</v>
      </c>
      <c r="F30" s="154">
        <v>1761.65</v>
      </c>
      <c r="G30" s="155">
        <f t="shared" si="1"/>
        <v>0</v>
      </c>
      <c r="I30" t="str">
        <f t="shared" si="2"/>
        <v>-</v>
      </c>
    </row>
    <row r="31" spans="1:9" ht="15.75">
      <c r="A31" s="151">
        <v>4.4000000000000004</v>
      </c>
      <c r="B31" s="156" t="s">
        <v>661</v>
      </c>
      <c r="C31" s="156" t="s">
        <v>655</v>
      </c>
      <c r="D31" s="153"/>
      <c r="E31" s="153">
        <f t="shared" si="0"/>
        <v>4959.3500000000004</v>
      </c>
      <c r="F31" s="154">
        <v>1803.4</v>
      </c>
      <c r="G31" s="155">
        <f t="shared" si="1"/>
        <v>0</v>
      </c>
      <c r="I31" t="str">
        <f t="shared" si="2"/>
        <v>-</v>
      </c>
    </row>
    <row r="32" spans="1:9" ht="15.75">
      <c r="A32" s="151">
        <v>4.5</v>
      </c>
      <c r="B32" s="158" t="s">
        <v>664</v>
      </c>
      <c r="C32" s="156" t="s">
        <v>655</v>
      </c>
      <c r="D32" s="153"/>
      <c r="E32" s="153">
        <f t="shared" si="0"/>
        <v>5355.4049999999997</v>
      </c>
      <c r="F32" s="154">
        <v>1947.42</v>
      </c>
      <c r="G32" s="155">
        <f t="shared" si="1"/>
        <v>0</v>
      </c>
      <c r="I32" t="str">
        <f t="shared" si="2"/>
        <v>-</v>
      </c>
    </row>
    <row r="33" spans="1:9" ht="15.75">
      <c r="A33" s="151">
        <v>4.5999999999999996</v>
      </c>
      <c r="B33" s="156" t="s">
        <v>652</v>
      </c>
      <c r="C33" s="156" t="s">
        <v>655</v>
      </c>
      <c r="D33" s="153"/>
      <c r="E33" s="153">
        <f t="shared" si="0"/>
        <v>4563.2950000000001</v>
      </c>
      <c r="F33" s="154">
        <v>1659.38</v>
      </c>
      <c r="G33" s="155">
        <f t="shared" si="1"/>
        <v>0</v>
      </c>
      <c r="I33" t="str">
        <f t="shared" si="2"/>
        <v>-</v>
      </c>
    </row>
    <row r="34" spans="1:9" ht="15.75">
      <c r="A34" s="151">
        <v>4.7</v>
      </c>
      <c r="B34" s="156" t="s">
        <v>653</v>
      </c>
      <c r="C34" s="156" t="s">
        <v>655</v>
      </c>
      <c r="D34" s="153"/>
      <c r="E34" s="153">
        <f t="shared" si="0"/>
        <v>4959.3500000000004</v>
      </c>
      <c r="F34" s="154">
        <v>1803.4</v>
      </c>
      <c r="G34" s="155">
        <f t="shared" si="1"/>
        <v>0</v>
      </c>
      <c r="I34" t="str">
        <f t="shared" si="2"/>
        <v>-</v>
      </c>
    </row>
    <row r="35" spans="1:9" ht="15.75">
      <c r="A35" s="151">
        <v>4.8</v>
      </c>
      <c r="B35" s="158" t="s">
        <v>662</v>
      </c>
      <c r="C35" s="156" t="s">
        <v>655</v>
      </c>
      <c r="D35" s="153"/>
      <c r="E35" s="153">
        <f t="shared" si="0"/>
        <v>172.81</v>
      </c>
      <c r="F35" s="154">
        <v>62.84</v>
      </c>
      <c r="G35" s="155">
        <f t="shared" si="1"/>
        <v>0</v>
      </c>
      <c r="I35" t="str">
        <f t="shared" si="2"/>
        <v>-</v>
      </c>
    </row>
    <row r="36" spans="1:9" ht="15.75">
      <c r="A36" s="151">
        <v>5</v>
      </c>
      <c r="B36" s="152" t="s">
        <v>665</v>
      </c>
      <c r="C36" s="152"/>
      <c r="D36" s="153"/>
      <c r="E36" s="153">
        <f t="shared" si="0"/>
        <v>0</v>
      </c>
      <c r="F36" s="154"/>
      <c r="G36" s="155">
        <f t="shared" si="1"/>
        <v>0</v>
      </c>
      <c r="I36" s="142" t="str">
        <f>IF(SUM(G37:G44)=0,"-",1)</f>
        <v>-</v>
      </c>
    </row>
    <row r="37" spans="1:9" ht="15.75">
      <c r="A37" s="151">
        <v>5.0999999999999996</v>
      </c>
      <c r="B37" s="158" t="s">
        <v>646</v>
      </c>
      <c r="C37" s="156" t="s">
        <v>655</v>
      </c>
      <c r="D37" s="153"/>
      <c r="E37" s="153">
        <f t="shared" si="0"/>
        <v>2792.46</v>
      </c>
      <c r="F37" s="154">
        <v>1015.44</v>
      </c>
      <c r="G37" s="155">
        <f t="shared" si="1"/>
        <v>0</v>
      </c>
      <c r="I37" t="str">
        <f t="shared" si="2"/>
        <v>-</v>
      </c>
    </row>
    <row r="38" spans="1:9" ht="15.75">
      <c r="A38" s="151">
        <v>5.2</v>
      </c>
      <c r="B38" s="156" t="s">
        <v>648</v>
      </c>
      <c r="C38" s="156" t="s">
        <v>655</v>
      </c>
      <c r="D38" s="153"/>
      <c r="E38" s="153">
        <f t="shared" si="0"/>
        <v>3146.1925000000001</v>
      </c>
      <c r="F38" s="154">
        <v>1144.07</v>
      </c>
      <c r="G38" s="155">
        <f t="shared" si="1"/>
        <v>0</v>
      </c>
      <c r="I38" t="str">
        <f t="shared" si="2"/>
        <v>-</v>
      </c>
    </row>
    <row r="39" spans="1:9" ht="15.75">
      <c r="A39" s="151">
        <v>5.3</v>
      </c>
      <c r="B39" s="158" t="s">
        <v>649</v>
      </c>
      <c r="C39" s="156" t="s">
        <v>655</v>
      </c>
      <c r="D39" s="153"/>
      <c r="E39" s="153">
        <f t="shared" si="0"/>
        <v>3499.9250000000002</v>
      </c>
      <c r="F39" s="154">
        <v>1272.7</v>
      </c>
      <c r="G39" s="155">
        <f t="shared" si="1"/>
        <v>0</v>
      </c>
      <c r="I39" t="str">
        <f t="shared" si="2"/>
        <v>-</v>
      </c>
    </row>
    <row r="40" spans="1:9" ht="15.75">
      <c r="A40" s="151">
        <v>5.4</v>
      </c>
      <c r="B40" s="156" t="s">
        <v>661</v>
      </c>
      <c r="C40" s="156" t="s">
        <v>655</v>
      </c>
      <c r="D40" s="153"/>
      <c r="E40" s="153">
        <f t="shared" si="0"/>
        <v>3287.5149999999999</v>
      </c>
      <c r="F40" s="154">
        <v>1195.46</v>
      </c>
      <c r="G40" s="155">
        <f t="shared" si="1"/>
        <v>0</v>
      </c>
      <c r="I40" t="str">
        <f t="shared" si="2"/>
        <v>-</v>
      </c>
    </row>
    <row r="41" spans="1:9" ht="15.75">
      <c r="A41" s="151">
        <v>5.5</v>
      </c>
      <c r="B41" s="158" t="s">
        <v>664</v>
      </c>
      <c r="C41" s="156" t="s">
        <v>655</v>
      </c>
      <c r="D41" s="153"/>
      <c r="E41" s="153">
        <f t="shared" si="0"/>
        <v>3782.57</v>
      </c>
      <c r="F41" s="154">
        <v>1375.48</v>
      </c>
      <c r="G41" s="155">
        <f t="shared" si="1"/>
        <v>0</v>
      </c>
      <c r="I41" t="str">
        <f t="shared" si="2"/>
        <v>-</v>
      </c>
    </row>
    <row r="42" spans="1:9" ht="15.75">
      <c r="A42" s="151">
        <v>5.6</v>
      </c>
      <c r="B42" s="156" t="s">
        <v>652</v>
      </c>
      <c r="C42" s="156" t="s">
        <v>655</v>
      </c>
      <c r="D42" s="153"/>
      <c r="E42" s="153">
        <f t="shared" si="0"/>
        <v>3287.5149999999999</v>
      </c>
      <c r="F42" s="154">
        <v>1195.46</v>
      </c>
      <c r="G42" s="155">
        <f t="shared" si="1"/>
        <v>0</v>
      </c>
      <c r="I42" t="str">
        <f t="shared" si="2"/>
        <v>-</v>
      </c>
    </row>
    <row r="43" spans="1:9" ht="15.75">
      <c r="A43" s="151">
        <v>5.7</v>
      </c>
      <c r="B43" s="156" t="s">
        <v>653</v>
      </c>
      <c r="C43" s="156" t="s">
        <v>655</v>
      </c>
      <c r="D43" s="153"/>
      <c r="E43" s="153">
        <f t="shared" si="0"/>
        <v>3782.57</v>
      </c>
      <c r="F43" s="154">
        <v>1375.48</v>
      </c>
      <c r="G43" s="155">
        <f t="shared" si="1"/>
        <v>0</v>
      </c>
      <c r="I43" t="str">
        <f t="shared" si="2"/>
        <v>-</v>
      </c>
    </row>
    <row r="44" spans="1:9" ht="15.75">
      <c r="A44" s="151">
        <v>5.8</v>
      </c>
      <c r="B44" s="158" t="s">
        <v>666</v>
      </c>
      <c r="C44" s="156" t="s">
        <v>655</v>
      </c>
      <c r="D44" s="153"/>
      <c r="E44" s="153">
        <f t="shared" si="0"/>
        <v>172.81</v>
      </c>
      <c r="F44" s="154">
        <v>62.84</v>
      </c>
      <c r="G44" s="155">
        <f t="shared" si="1"/>
        <v>0</v>
      </c>
      <c r="I44" t="str">
        <f t="shared" si="2"/>
        <v>-</v>
      </c>
    </row>
    <row r="45" spans="1:9" ht="15.75">
      <c r="A45" s="151">
        <v>6</v>
      </c>
      <c r="B45" s="163" t="s">
        <v>667</v>
      </c>
      <c r="C45" s="156"/>
      <c r="D45" s="153"/>
      <c r="E45" s="153">
        <f t="shared" si="0"/>
        <v>0</v>
      </c>
      <c r="F45" s="154"/>
      <c r="G45" s="155">
        <f t="shared" si="1"/>
        <v>0</v>
      </c>
      <c r="I45" s="142" t="str">
        <f>IF(SUM(G46:G53)=0,"-",1)</f>
        <v>-</v>
      </c>
    </row>
    <row r="46" spans="1:9" ht="15.75">
      <c r="A46" s="151">
        <v>6.1</v>
      </c>
      <c r="B46" s="164" t="s">
        <v>646</v>
      </c>
      <c r="C46" s="156" t="s">
        <v>655</v>
      </c>
      <c r="D46" s="153"/>
      <c r="E46" s="153">
        <f t="shared" si="0"/>
        <v>887.83749999999998</v>
      </c>
      <c r="F46" s="154">
        <v>322.85000000000002</v>
      </c>
      <c r="G46" s="155">
        <f t="shared" si="1"/>
        <v>0</v>
      </c>
      <c r="I46" t="str">
        <f t="shared" si="2"/>
        <v>-</v>
      </c>
    </row>
    <row r="47" spans="1:9" ht="15.75">
      <c r="A47" s="151">
        <v>7</v>
      </c>
      <c r="B47" s="163" t="s">
        <v>668</v>
      </c>
      <c r="C47" s="156"/>
      <c r="D47" s="153"/>
      <c r="E47" s="153">
        <f t="shared" si="0"/>
        <v>0</v>
      </c>
      <c r="F47" s="154"/>
      <c r="G47" s="155">
        <f t="shared" si="1"/>
        <v>0</v>
      </c>
      <c r="I47" s="142" t="str">
        <f>IF(SUM(G48:G55)=0,"-",1)</f>
        <v>-</v>
      </c>
    </row>
    <row r="48" spans="1:9" ht="15.75">
      <c r="A48" s="151">
        <v>7.1</v>
      </c>
      <c r="B48" s="164" t="s">
        <v>646</v>
      </c>
      <c r="C48" s="156" t="s">
        <v>655</v>
      </c>
      <c r="D48" s="153"/>
      <c r="E48" s="153">
        <f t="shared" si="0"/>
        <v>1203.895</v>
      </c>
      <c r="F48" s="154">
        <v>437.78</v>
      </c>
      <c r="G48" s="155">
        <f t="shared" si="1"/>
        <v>0</v>
      </c>
      <c r="I48" t="str">
        <f t="shared" si="2"/>
        <v>-</v>
      </c>
    </row>
    <row r="49" spans="1:11" ht="15.75">
      <c r="A49" s="151">
        <v>8</v>
      </c>
      <c r="B49" s="165" t="s">
        <v>669</v>
      </c>
      <c r="C49" s="156" t="s">
        <v>655</v>
      </c>
      <c r="D49" s="153"/>
      <c r="E49" s="153">
        <f t="shared" si="0"/>
        <v>5830</v>
      </c>
      <c r="F49" s="154">
        <v>2120</v>
      </c>
      <c r="G49" s="155">
        <f t="shared" si="1"/>
        <v>0</v>
      </c>
      <c r="I49" t="str">
        <f t="shared" si="2"/>
        <v>-</v>
      </c>
    </row>
    <row r="50" spans="1:11" ht="15.75">
      <c r="A50" s="151">
        <v>9</v>
      </c>
      <c r="B50" s="156" t="s">
        <v>670</v>
      </c>
      <c r="C50" s="156" t="s">
        <v>659</v>
      </c>
      <c r="D50" s="153"/>
      <c r="E50" s="153">
        <f t="shared" si="0"/>
        <v>2333.1</v>
      </c>
      <c r="F50" s="154">
        <v>848.4</v>
      </c>
      <c r="G50" s="155">
        <f t="shared" si="1"/>
        <v>0</v>
      </c>
      <c r="I50" t="str">
        <f t="shared" si="2"/>
        <v>-</v>
      </c>
    </row>
    <row r="51" spans="1:11" ht="31.5">
      <c r="A51" s="151">
        <v>10</v>
      </c>
      <c r="B51" s="156" t="s">
        <v>671</v>
      </c>
      <c r="C51" s="156" t="s">
        <v>655</v>
      </c>
      <c r="D51" s="153"/>
      <c r="E51" s="153">
        <f t="shared" si="0"/>
        <v>5362.5</v>
      </c>
      <c r="F51" s="154">
        <v>1950</v>
      </c>
      <c r="G51" s="155">
        <f t="shared" si="1"/>
        <v>0</v>
      </c>
      <c r="I51" t="str">
        <f t="shared" si="2"/>
        <v>-</v>
      </c>
    </row>
    <row r="52" spans="1:11" ht="31.5">
      <c r="A52" s="159">
        <v>11</v>
      </c>
      <c r="B52" s="156" t="s">
        <v>672</v>
      </c>
      <c r="C52" s="156" t="s">
        <v>655</v>
      </c>
      <c r="D52" s="153"/>
      <c r="E52" s="153">
        <f t="shared" si="0"/>
        <v>7700</v>
      </c>
      <c r="F52" s="154">
        <v>2800</v>
      </c>
      <c r="G52" s="155">
        <f t="shared" si="1"/>
        <v>0</v>
      </c>
      <c r="I52" t="str">
        <f t="shared" si="2"/>
        <v>-</v>
      </c>
    </row>
    <row r="53" spans="1:11" ht="47.25">
      <c r="A53" s="159">
        <v>12</v>
      </c>
      <c r="B53" s="166" t="s">
        <v>673</v>
      </c>
      <c r="C53" s="156" t="s">
        <v>655</v>
      </c>
      <c r="D53" s="153"/>
      <c r="E53" s="167">
        <f t="shared" si="0"/>
        <v>12512.5</v>
      </c>
      <c r="F53" s="154">
        <v>4550</v>
      </c>
      <c r="G53" s="155">
        <f t="shared" si="1"/>
        <v>0</v>
      </c>
      <c r="I53" t="str">
        <f t="shared" si="2"/>
        <v>-</v>
      </c>
    </row>
    <row r="54" spans="1:11" ht="15.75">
      <c r="A54" s="168">
        <v>13</v>
      </c>
      <c r="B54" s="169" t="s">
        <v>674</v>
      </c>
      <c r="C54" s="170" t="s">
        <v>659</v>
      </c>
      <c r="D54" s="153"/>
      <c r="E54" s="153">
        <f t="shared" si="0"/>
        <v>1213.3</v>
      </c>
      <c r="F54" s="154">
        <v>441.2</v>
      </c>
      <c r="G54" s="155">
        <f t="shared" si="1"/>
        <v>0</v>
      </c>
      <c r="I54" t="str">
        <f t="shared" si="2"/>
        <v>-</v>
      </c>
    </row>
    <row r="55" spans="1:11" ht="15.75">
      <c r="A55" s="171"/>
      <c r="B55" s="172" t="s">
        <v>675</v>
      </c>
      <c r="C55" s="173"/>
      <c r="D55" s="174"/>
      <c r="E55" s="174"/>
      <c r="F55" s="174">
        <v>0</v>
      </c>
      <c r="G55" s="175">
        <f>SUM(G6:G54)</f>
        <v>0</v>
      </c>
      <c r="I55" t="str">
        <f t="shared" si="2"/>
        <v>-</v>
      </c>
    </row>
    <row r="56" spans="1:11" ht="15.75">
      <c r="A56" s="171"/>
      <c r="B56" s="176"/>
      <c r="C56" s="177"/>
      <c r="D56" s="178"/>
      <c r="E56" s="178"/>
      <c r="F56" s="178">
        <v>0</v>
      </c>
      <c r="G56" s="179"/>
      <c r="I56" t="str">
        <f>IF(D56=0,"-",1)</f>
        <v>-</v>
      </c>
    </row>
    <row r="57" spans="1:11" ht="20.25">
      <c r="A57" s="171"/>
      <c r="B57" s="144" t="s">
        <v>676</v>
      </c>
      <c r="C57" s="180"/>
      <c r="D57" s="181"/>
      <c r="E57" s="181"/>
      <c r="F57" s="181">
        <v>0</v>
      </c>
      <c r="G57" s="182"/>
      <c r="I57" s="142" t="str">
        <f>IF(SUM(G58:G65)=0,"-",1)</f>
        <v>-</v>
      </c>
    </row>
    <row r="58" spans="1:11" ht="15.75">
      <c r="A58" s="183" t="s">
        <v>638</v>
      </c>
      <c r="B58" s="183" t="s">
        <v>639</v>
      </c>
      <c r="C58" s="183" t="s">
        <v>640</v>
      </c>
      <c r="D58" s="184" t="s">
        <v>641</v>
      </c>
      <c r="E58" s="185" t="s">
        <v>642</v>
      </c>
      <c r="F58" s="186" t="s">
        <v>677</v>
      </c>
      <c r="G58" s="187" t="s">
        <v>644</v>
      </c>
      <c r="I58" s="142" t="str">
        <f>IF(SUM(G59:G66)=0,"-",1)</f>
        <v>-</v>
      </c>
    </row>
    <row r="59" spans="1:11" ht="31.5">
      <c r="A59" s="188">
        <v>1</v>
      </c>
      <c r="B59" s="189" t="s">
        <v>678</v>
      </c>
      <c r="C59" s="189" t="s">
        <v>655</v>
      </c>
      <c r="D59" s="190"/>
      <c r="E59" s="191">
        <f>2.75*F59</f>
        <v>250.88249999999999</v>
      </c>
      <c r="F59" s="192">
        <v>91.23</v>
      </c>
      <c r="G59" s="193">
        <f>D59*E59</f>
        <v>0</v>
      </c>
      <c r="I59" t="str">
        <f t="shared" ref="I59:I78" si="3">IF(G59=0,"-",1)</f>
        <v>-</v>
      </c>
    </row>
    <row r="60" spans="1:11" ht="31.5">
      <c r="A60" s="151">
        <v>2</v>
      </c>
      <c r="B60" s="156" t="s">
        <v>679</v>
      </c>
      <c r="C60" s="156" t="s">
        <v>655</v>
      </c>
      <c r="D60" s="190"/>
      <c r="E60" s="191">
        <f t="shared" ref="E60:E75" si="4">2.75*F60</f>
        <v>453.75</v>
      </c>
      <c r="F60" s="154">
        <v>165</v>
      </c>
      <c r="G60" s="193">
        <f t="shared" ref="G60:G75" si="5">D60*E60</f>
        <v>0</v>
      </c>
      <c r="I60" t="str">
        <f t="shared" si="3"/>
        <v>-</v>
      </c>
    </row>
    <row r="61" spans="1:11" ht="31.5">
      <c r="A61" s="151">
        <v>3</v>
      </c>
      <c r="B61" s="156" t="s">
        <v>680</v>
      </c>
      <c r="C61" s="156" t="s">
        <v>655</v>
      </c>
      <c r="D61" s="194"/>
      <c r="E61" s="191">
        <f t="shared" si="4"/>
        <v>1366.6125</v>
      </c>
      <c r="F61" s="154">
        <v>496.95</v>
      </c>
      <c r="G61" s="193">
        <f t="shared" si="5"/>
        <v>0</v>
      </c>
      <c r="I61" t="str">
        <f t="shared" si="3"/>
        <v>-</v>
      </c>
    </row>
    <row r="62" spans="1:11" ht="15.75">
      <c r="A62" s="151">
        <v>4</v>
      </c>
      <c r="B62" s="156" t="s">
        <v>681</v>
      </c>
      <c r="C62" s="156" t="s">
        <v>655</v>
      </c>
      <c r="D62" s="156"/>
      <c r="E62" s="191">
        <f t="shared" si="4"/>
        <v>3142.8649999999998</v>
      </c>
      <c r="F62" s="154">
        <v>1142.8599999999999</v>
      </c>
      <c r="G62" s="193">
        <f t="shared" si="5"/>
        <v>0</v>
      </c>
      <c r="I62" t="str">
        <f t="shared" si="3"/>
        <v>-</v>
      </c>
    </row>
    <row r="63" spans="1:11" ht="31.5">
      <c r="A63" s="151">
        <v>5</v>
      </c>
      <c r="B63" s="156" t="s">
        <v>682</v>
      </c>
      <c r="C63" s="156" t="s">
        <v>655</v>
      </c>
      <c r="D63" s="190">
        <f>area!A23</f>
        <v>0</v>
      </c>
      <c r="E63" s="191">
        <f t="shared" si="4"/>
        <v>1922.8824999999999</v>
      </c>
      <c r="F63" s="154">
        <v>699.23</v>
      </c>
      <c r="G63" s="193">
        <f t="shared" si="5"/>
        <v>0</v>
      </c>
      <c r="I63" t="str">
        <f t="shared" si="3"/>
        <v>-</v>
      </c>
      <c r="K63">
        <f>400*2.75</f>
        <v>1100</v>
      </c>
    </row>
    <row r="64" spans="1:11" ht="15.75">
      <c r="A64" s="151">
        <v>6</v>
      </c>
      <c r="B64" s="156" t="s">
        <v>683</v>
      </c>
      <c r="C64" s="156" t="s">
        <v>655</v>
      </c>
      <c r="E64" s="191">
        <f t="shared" si="4"/>
        <v>2470.16</v>
      </c>
      <c r="F64" s="154">
        <v>898.24</v>
      </c>
      <c r="G64" s="193">
        <f t="shared" si="5"/>
        <v>0</v>
      </c>
      <c r="I64" t="str">
        <f t="shared" si="3"/>
        <v>-</v>
      </c>
    </row>
    <row r="65" spans="1:9" ht="15.75">
      <c r="A65" s="151">
        <v>7</v>
      </c>
      <c r="B65" s="158" t="s">
        <v>684</v>
      </c>
      <c r="C65" s="156" t="s">
        <v>655</v>
      </c>
      <c r="D65" s="156"/>
      <c r="E65" s="191">
        <f t="shared" si="4"/>
        <v>3374.36</v>
      </c>
      <c r="F65" s="154">
        <v>1227.04</v>
      </c>
      <c r="G65" s="193">
        <f t="shared" si="5"/>
        <v>0</v>
      </c>
      <c r="I65" t="str">
        <f t="shared" si="3"/>
        <v>-</v>
      </c>
    </row>
    <row r="66" spans="1:9" ht="31.5">
      <c r="A66" s="151">
        <v>8</v>
      </c>
      <c r="B66" s="156" t="s">
        <v>685</v>
      </c>
      <c r="C66" s="156" t="s">
        <v>655</v>
      </c>
      <c r="D66" s="190"/>
      <c r="E66" s="191">
        <f t="shared" si="4"/>
        <v>2337.0050000000001</v>
      </c>
      <c r="F66" s="154">
        <v>849.82</v>
      </c>
      <c r="G66" s="193">
        <f t="shared" si="5"/>
        <v>0</v>
      </c>
      <c r="I66" t="str">
        <f t="shared" si="3"/>
        <v>-</v>
      </c>
    </row>
    <row r="67" spans="1:9" ht="31.5">
      <c r="A67" s="151">
        <v>9</v>
      </c>
      <c r="B67" s="156" t="s">
        <v>686</v>
      </c>
      <c r="C67" s="156" t="s">
        <v>655</v>
      </c>
      <c r="D67" s="195"/>
      <c r="E67" s="191">
        <f t="shared" si="4"/>
        <v>3103.375</v>
      </c>
      <c r="F67" s="154">
        <v>1128.5</v>
      </c>
      <c r="G67" s="193">
        <f t="shared" si="5"/>
        <v>0</v>
      </c>
      <c r="I67" t="str">
        <f t="shared" si="3"/>
        <v>-</v>
      </c>
    </row>
    <row r="68" spans="1:9" ht="31.5">
      <c r="A68" s="151">
        <v>10</v>
      </c>
      <c r="B68" s="156" t="s">
        <v>687</v>
      </c>
      <c r="C68" s="156" t="s">
        <v>655</v>
      </c>
      <c r="D68" s="156"/>
      <c r="E68" s="191">
        <f t="shared" si="4"/>
        <v>4158.7700000000004</v>
      </c>
      <c r="F68" s="154">
        <v>1512.28</v>
      </c>
      <c r="G68" s="193">
        <f t="shared" si="5"/>
        <v>0</v>
      </c>
      <c r="I68" t="str">
        <f t="shared" si="3"/>
        <v>-</v>
      </c>
    </row>
    <row r="69" spans="1:9" ht="31.5">
      <c r="A69" s="159">
        <v>11</v>
      </c>
      <c r="B69" s="156" t="s">
        <v>688</v>
      </c>
      <c r="C69" s="156" t="s">
        <v>655</v>
      </c>
      <c r="D69" s="190"/>
      <c r="E69" s="191">
        <f t="shared" si="4"/>
        <v>3757.71</v>
      </c>
      <c r="F69" s="154">
        <v>1366.44</v>
      </c>
      <c r="G69" s="193">
        <f t="shared" si="5"/>
        <v>0</v>
      </c>
      <c r="I69" t="str">
        <f t="shared" si="3"/>
        <v>-</v>
      </c>
    </row>
    <row r="70" spans="1:9" ht="31.5">
      <c r="A70" s="151">
        <v>12</v>
      </c>
      <c r="B70" s="156" t="s">
        <v>689</v>
      </c>
      <c r="C70" s="156" t="s">
        <v>655</v>
      </c>
      <c r="D70" s="166"/>
      <c r="E70" s="191">
        <f t="shared" si="4"/>
        <v>2720.355</v>
      </c>
      <c r="F70" s="154">
        <v>989.22</v>
      </c>
      <c r="G70" s="193">
        <f t="shared" si="5"/>
        <v>0</v>
      </c>
      <c r="I70" t="str">
        <f t="shared" si="3"/>
        <v>-</v>
      </c>
    </row>
    <row r="71" spans="1:9" ht="31.5">
      <c r="A71" s="151">
        <v>13</v>
      </c>
      <c r="B71" s="156" t="s">
        <v>690</v>
      </c>
      <c r="C71" s="156" t="s">
        <v>655</v>
      </c>
      <c r="D71" s="190"/>
      <c r="E71" s="191">
        <f t="shared" si="4"/>
        <v>5184.1625000000004</v>
      </c>
      <c r="F71" s="154">
        <v>1885.15</v>
      </c>
      <c r="G71" s="193">
        <f t="shared" si="5"/>
        <v>0</v>
      </c>
      <c r="I71" t="str">
        <f t="shared" si="3"/>
        <v>-</v>
      </c>
    </row>
    <row r="72" spans="1:9" ht="31.5">
      <c r="A72" s="151">
        <v>14</v>
      </c>
      <c r="B72" s="156" t="s">
        <v>691</v>
      </c>
      <c r="C72" s="156" t="s">
        <v>655</v>
      </c>
      <c r="D72" s="156"/>
      <c r="E72" s="191">
        <f t="shared" si="4"/>
        <v>4146.835</v>
      </c>
      <c r="F72" s="154">
        <v>1507.94</v>
      </c>
      <c r="G72" s="193">
        <f t="shared" si="5"/>
        <v>0</v>
      </c>
      <c r="I72" t="str">
        <f t="shared" si="3"/>
        <v>-</v>
      </c>
    </row>
    <row r="73" spans="1:9" ht="31.5">
      <c r="A73" s="159">
        <v>15</v>
      </c>
      <c r="B73" s="156" t="s">
        <v>692</v>
      </c>
      <c r="C73" s="156" t="s">
        <v>655</v>
      </c>
      <c r="D73" s="195"/>
      <c r="E73" s="191">
        <f t="shared" si="4"/>
        <v>3374.36</v>
      </c>
      <c r="F73" s="154">
        <v>1227.04</v>
      </c>
      <c r="G73" s="193">
        <f t="shared" si="5"/>
        <v>0</v>
      </c>
      <c r="I73" t="str">
        <f t="shared" si="3"/>
        <v>-</v>
      </c>
    </row>
    <row r="74" spans="1:9" ht="31.5">
      <c r="A74" s="151">
        <v>16</v>
      </c>
      <c r="B74" s="156" t="s">
        <v>691</v>
      </c>
      <c r="C74" s="156" t="s">
        <v>655</v>
      </c>
      <c r="D74" s="156"/>
      <c r="E74" s="191">
        <f t="shared" si="4"/>
        <v>2312.0075000000002</v>
      </c>
      <c r="F74" s="154">
        <v>840.73</v>
      </c>
      <c r="G74" s="193">
        <f t="shared" si="5"/>
        <v>0</v>
      </c>
      <c r="I74" t="str">
        <f t="shared" si="3"/>
        <v>-</v>
      </c>
    </row>
    <row r="75" spans="1:9" ht="15.75">
      <c r="A75" s="196">
        <v>17</v>
      </c>
      <c r="B75" s="166" t="s">
        <v>693</v>
      </c>
      <c r="C75" s="166" t="s">
        <v>659</v>
      </c>
      <c r="D75" s="195"/>
      <c r="E75" s="191">
        <f t="shared" si="4"/>
        <v>1100.605</v>
      </c>
      <c r="F75" s="154">
        <v>400.22</v>
      </c>
      <c r="G75" s="193">
        <f t="shared" si="5"/>
        <v>0</v>
      </c>
      <c r="I75" t="str">
        <f t="shared" si="3"/>
        <v>-</v>
      </c>
    </row>
    <row r="76" spans="1:9" ht="15.75">
      <c r="A76" s="143"/>
      <c r="B76" s="197" t="s">
        <v>694</v>
      </c>
      <c r="C76" s="197"/>
      <c r="D76" s="197"/>
      <c r="E76" s="197"/>
      <c r="F76" s="197"/>
      <c r="G76" s="198">
        <f>SUM(G59:G75)</f>
        <v>0</v>
      </c>
      <c r="I76" t="str">
        <f t="shared" si="3"/>
        <v>-</v>
      </c>
    </row>
    <row r="77" spans="1:9" ht="15.75">
      <c r="A77" s="143"/>
      <c r="B77" s="199"/>
      <c r="C77" s="199"/>
      <c r="D77" s="199"/>
      <c r="E77" s="199"/>
      <c r="F77" s="199"/>
      <c r="G77" s="199"/>
      <c r="I77" t="str">
        <f t="shared" si="3"/>
        <v>-</v>
      </c>
    </row>
    <row r="78" spans="1:9" ht="18">
      <c r="A78" s="200"/>
      <c r="B78" s="521" t="s">
        <v>695</v>
      </c>
      <c r="C78" s="521"/>
      <c r="D78" s="521"/>
      <c r="E78" s="201"/>
      <c r="F78" s="202"/>
      <c r="G78" s="203">
        <f>G76+G55</f>
        <v>0</v>
      </c>
      <c r="I78" t="str">
        <f t="shared" si="3"/>
        <v>-</v>
      </c>
    </row>
    <row r="79" spans="1:9" ht="15.75">
      <c r="A79" s="204" t="s">
        <v>696</v>
      </c>
      <c r="B79" s="205"/>
      <c r="C79" s="205"/>
      <c r="D79" s="206"/>
      <c r="E79" s="206"/>
      <c r="F79" s="206"/>
      <c r="G79" s="207"/>
      <c r="I79" s="142" t="str">
        <f>IF(SUM(G80:G87)=0,"-",1)</f>
        <v>-</v>
      </c>
    </row>
    <row r="80" spans="1:9" ht="15.75">
      <c r="A80" s="204" t="s">
        <v>697</v>
      </c>
      <c r="B80" s="205"/>
      <c r="C80" s="205"/>
      <c r="D80" s="206"/>
      <c r="E80" s="206"/>
      <c r="F80" s="206"/>
      <c r="G80" s="207"/>
      <c r="I80" s="142" t="str">
        <f>IF(SUM(G81:G88)=0,"-",1)</f>
        <v>-</v>
      </c>
    </row>
    <row r="81" spans="1:9" ht="15.75">
      <c r="A81" s="204" t="s">
        <v>698</v>
      </c>
      <c r="B81" s="208"/>
      <c r="C81" s="208"/>
      <c r="D81" s="209"/>
      <c r="E81" s="209"/>
      <c r="F81" s="209">
        <v>0</v>
      </c>
      <c r="G81" s="210"/>
      <c r="I81" s="142" t="str">
        <f>IF(SUM(G82:G89)=0,"-",1)</f>
        <v>-</v>
      </c>
    </row>
    <row r="82" spans="1:9" ht="15.75">
      <c r="A82" s="211" t="s">
        <v>699</v>
      </c>
      <c r="B82" s="212" t="s">
        <v>700</v>
      </c>
      <c r="C82" s="213" t="s">
        <v>701</v>
      </c>
      <c r="D82" s="214" t="s">
        <v>641</v>
      </c>
      <c r="E82" s="214" t="s">
        <v>702</v>
      </c>
      <c r="F82" s="214" t="s">
        <v>677</v>
      </c>
      <c r="G82" s="215" t="s">
        <v>644</v>
      </c>
      <c r="I82" s="142" t="str">
        <f>IF(SUM(G83:G90)=0,"-",1)</f>
        <v>-</v>
      </c>
    </row>
    <row r="83" spans="1:9" ht="15.75">
      <c r="A83" s="216">
        <v>1</v>
      </c>
      <c r="B83" s="216">
        <v>250</v>
      </c>
      <c r="C83" s="216" t="s">
        <v>703</v>
      </c>
      <c r="D83" s="217"/>
      <c r="E83" s="217">
        <f>2.75*F83</f>
        <v>4455</v>
      </c>
      <c r="F83" s="192">
        <v>1620</v>
      </c>
      <c r="G83" s="218">
        <f t="shared" ref="G83:G114" si="6">D83*E83</f>
        <v>0</v>
      </c>
      <c r="I83" t="str">
        <f t="shared" ref="I83:I136" si="7">IF(G83=0,"-",1)</f>
        <v>-</v>
      </c>
    </row>
    <row r="84" spans="1:9" ht="15.75">
      <c r="A84" s="219">
        <v>2</v>
      </c>
      <c r="B84" s="220">
        <v>500</v>
      </c>
      <c r="C84" s="220" t="s">
        <v>703</v>
      </c>
      <c r="D84" s="221"/>
      <c r="E84" s="217">
        <f t="shared" ref="E84:E144" si="8">2.75*F84</f>
        <v>7631.25</v>
      </c>
      <c r="F84" s="154">
        <v>2775</v>
      </c>
      <c r="G84" s="218">
        <f t="shared" si="6"/>
        <v>0</v>
      </c>
      <c r="I84" t="str">
        <f t="shared" si="7"/>
        <v>-</v>
      </c>
    </row>
    <row r="85" spans="1:9" ht="15.75">
      <c r="A85" s="220">
        <v>3</v>
      </c>
      <c r="B85" s="220">
        <v>1000</v>
      </c>
      <c r="C85" s="222" t="s">
        <v>703</v>
      </c>
      <c r="D85" s="221"/>
      <c r="E85" s="217">
        <f t="shared" si="8"/>
        <v>13818.75</v>
      </c>
      <c r="F85" s="154">
        <v>5025</v>
      </c>
      <c r="G85" s="218">
        <f t="shared" si="6"/>
        <v>0</v>
      </c>
      <c r="I85" t="str">
        <f t="shared" si="7"/>
        <v>-</v>
      </c>
    </row>
    <row r="86" spans="1:9" ht="15.75">
      <c r="A86" s="223">
        <v>4</v>
      </c>
      <c r="B86" s="220">
        <v>1500</v>
      </c>
      <c r="C86" s="222" t="s">
        <v>703</v>
      </c>
      <c r="D86" s="221"/>
      <c r="E86" s="217">
        <f t="shared" si="8"/>
        <v>15675</v>
      </c>
      <c r="F86" s="154">
        <v>5700</v>
      </c>
      <c r="G86" s="218">
        <f t="shared" si="6"/>
        <v>0</v>
      </c>
      <c r="I86" t="str">
        <f t="shared" si="7"/>
        <v>-</v>
      </c>
    </row>
    <row r="87" spans="1:9" ht="15.75">
      <c r="A87" s="224">
        <v>5</v>
      </c>
      <c r="B87" s="219">
        <v>2000</v>
      </c>
      <c r="C87" s="222" t="s">
        <v>703</v>
      </c>
      <c r="D87" s="221"/>
      <c r="E87" s="217">
        <f t="shared" si="8"/>
        <v>21862.5</v>
      </c>
      <c r="F87" s="154">
        <v>7950</v>
      </c>
      <c r="G87" s="218">
        <f t="shared" si="6"/>
        <v>0</v>
      </c>
      <c r="I87" t="str">
        <f t="shared" si="7"/>
        <v>-</v>
      </c>
    </row>
    <row r="88" spans="1:9" ht="15.75">
      <c r="A88" s="220">
        <v>7</v>
      </c>
      <c r="B88" s="225">
        <v>3000</v>
      </c>
      <c r="C88" s="225" t="s">
        <v>703</v>
      </c>
      <c r="D88" s="221"/>
      <c r="E88" s="217">
        <f t="shared" si="8"/>
        <v>33825</v>
      </c>
      <c r="F88" s="154">
        <v>12300</v>
      </c>
      <c r="G88" s="218">
        <f t="shared" si="6"/>
        <v>0</v>
      </c>
      <c r="I88" t="str">
        <f t="shared" si="7"/>
        <v>-</v>
      </c>
    </row>
    <row r="89" spans="1:9" ht="15.75">
      <c r="A89" s="223">
        <v>8</v>
      </c>
      <c r="B89" s="225">
        <v>4000</v>
      </c>
      <c r="C89" s="225" t="s">
        <v>703</v>
      </c>
      <c r="D89" s="221"/>
      <c r="E89" s="217">
        <f t="shared" si="8"/>
        <v>46612.5</v>
      </c>
      <c r="F89" s="154">
        <v>16950</v>
      </c>
      <c r="G89" s="218">
        <f t="shared" si="6"/>
        <v>0</v>
      </c>
      <c r="I89" t="str">
        <f t="shared" si="7"/>
        <v>-</v>
      </c>
    </row>
    <row r="90" spans="1:9" ht="15.75">
      <c r="A90" s="225">
        <v>9</v>
      </c>
      <c r="B90" s="225">
        <v>5000</v>
      </c>
      <c r="C90" s="225" t="s">
        <v>703</v>
      </c>
      <c r="D90" s="221"/>
      <c r="E90" s="217">
        <f t="shared" si="8"/>
        <v>56925</v>
      </c>
      <c r="F90" s="154">
        <v>20700</v>
      </c>
      <c r="G90" s="218">
        <f t="shared" si="6"/>
        <v>0</v>
      </c>
      <c r="I90" t="str">
        <f t="shared" si="7"/>
        <v>-</v>
      </c>
    </row>
    <row r="91" spans="1:9" ht="15.75">
      <c r="A91" s="226">
        <v>10</v>
      </c>
      <c r="B91" s="225">
        <v>7500</v>
      </c>
      <c r="C91" s="225" t="s">
        <v>703</v>
      </c>
      <c r="D91" s="221"/>
      <c r="E91" s="217">
        <f t="shared" si="8"/>
        <v>73928.25</v>
      </c>
      <c r="F91" s="154">
        <v>26883</v>
      </c>
      <c r="G91" s="218">
        <f t="shared" si="6"/>
        <v>0</v>
      </c>
      <c r="I91" t="str">
        <f t="shared" si="7"/>
        <v>-</v>
      </c>
    </row>
    <row r="92" spans="1:9" ht="15.75">
      <c r="A92" s="227">
        <v>11</v>
      </c>
      <c r="B92" s="227">
        <v>10000</v>
      </c>
      <c r="C92" s="227" t="s">
        <v>703</v>
      </c>
      <c r="D92" s="221"/>
      <c r="E92" s="217">
        <f t="shared" si="8"/>
        <v>111003.75</v>
      </c>
      <c r="F92" s="154">
        <v>40365</v>
      </c>
      <c r="G92" s="218">
        <f t="shared" si="6"/>
        <v>0</v>
      </c>
      <c r="I92" t="str">
        <f t="shared" si="7"/>
        <v>-</v>
      </c>
    </row>
    <row r="93" spans="1:9" ht="15.75">
      <c r="A93" s="517" t="s">
        <v>704</v>
      </c>
      <c r="B93" s="517"/>
      <c r="C93" s="228"/>
      <c r="D93" s="229"/>
      <c r="E93" s="217">
        <f t="shared" si="8"/>
        <v>0</v>
      </c>
      <c r="F93" s="229">
        <v>0</v>
      </c>
      <c r="G93" s="218">
        <f t="shared" si="6"/>
        <v>0</v>
      </c>
      <c r="I93" s="142" t="str">
        <f>IF(SUM(G94:G101)=0,"-",1)</f>
        <v>-</v>
      </c>
    </row>
    <row r="94" spans="1:9" ht="15.75">
      <c r="A94" s="230">
        <v>1</v>
      </c>
      <c r="B94" s="230">
        <v>250</v>
      </c>
      <c r="C94" s="230" t="s">
        <v>703</v>
      </c>
      <c r="D94" s="231"/>
      <c r="E94" s="217">
        <f t="shared" si="8"/>
        <v>8376.5</v>
      </c>
      <c r="F94" s="154">
        <v>3046</v>
      </c>
      <c r="G94" s="218">
        <f t="shared" si="6"/>
        <v>0</v>
      </c>
      <c r="I94" t="str">
        <f t="shared" si="7"/>
        <v>-</v>
      </c>
    </row>
    <row r="95" spans="1:9" ht="15.75">
      <c r="A95" s="225">
        <v>2</v>
      </c>
      <c r="B95" s="225">
        <v>500</v>
      </c>
      <c r="C95" s="225" t="s">
        <v>703</v>
      </c>
      <c r="D95" s="231"/>
      <c r="E95" s="217">
        <f t="shared" si="8"/>
        <v>12611.5</v>
      </c>
      <c r="F95" s="154">
        <v>4586</v>
      </c>
      <c r="G95" s="218">
        <f t="shared" si="6"/>
        <v>0</v>
      </c>
      <c r="I95" t="str">
        <f t="shared" si="7"/>
        <v>-</v>
      </c>
    </row>
    <row r="96" spans="1:9" ht="15.75">
      <c r="A96" s="226">
        <v>3</v>
      </c>
      <c r="B96" s="232">
        <v>1000</v>
      </c>
      <c r="C96" s="233" t="s">
        <v>703</v>
      </c>
      <c r="D96" s="231"/>
      <c r="E96" s="217">
        <f t="shared" si="8"/>
        <v>14877.5</v>
      </c>
      <c r="F96" s="154">
        <v>5410</v>
      </c>
      <c r="G96" s="218">
        <f t="shared" si="6"/>
        <v>0</v>
      </c>
      <c r="I96" t="str">
        <f t="shared" si="7"/>
        <v>-</v>
      </c>
    </row>
    <row r="97" spans="1:9" ht="15.75">
      <c r="A97" s="225">
        <v>4</v>
      </c>
      <c r="B97" s="234">
        <v>1500</v>
      </c>
      <c r="C97" s="235" t="s">
        <v>703</v>
      </c>
      <c r="D97" s="231"/>
      <c r="E97" s="217">
        <f t="shared" si="8"/>
        <v>20608.5</v>
      </c>
      <c r="F97" s="154">
        <v>7494</v>
      </c>
      <c r="G97" s="218">
        <f t="shared" si="6"/>
        <v>0</v>
      </c>
      <c r="I97" t="str">
        <f t="shared" si="7"/>
        <v>-</v>
      </c>
    </row>
    <row r="98" spans="1:9" ht="15.75">
      <c r="A98" s="225">
        <v>5</v>
      </c>
      <c r="B98" s="236">
        <v>2000</v>
      </c>
      <c r="C98" s="235" t="s">
        <v>703</v>
      </c>
      <c r="D98" s="231"/>
      <c r="E98" s="217">
        <f t="shared" si="8"/>
        <v>25685</v>
      </c>
      <c r="F98" s="154">
        <v>9340</v>
      </c>
      <c r="G98" s="218">
        <f t="shared" si="6"/>
        <v>0</v>
      </c>
      <c r="I98" t="str">
        <f t="shared" si="7"/>
        <v>-</v>
      </c>
    </row>
    <row r="99" spans="1:9" ht="15.75">
      <c r="A99" s="225">
        <v>6</v>
      </c>
      <c r="B99" s="225">
        <v>3000</v>
      </c>
      <c r="C99" s="225" t="s">
        <v>703</v>
      </c>
      <c r="D99" s="231"/>
      <c r="E99" s="217">
        <f t="shared" si="8"/>
        <v>39864</v>
      </c>
      <c r="F99" s="154">
        <v>14496</v>
      </c>
      <c r="G99" s="218">
        <f t="shared" si="6"/>
        <v>0</v>
      </c>
      <c r="I99" t="str">
        <f t="shared" si="7"/>
        <v>-</v>
      </c>
    </row>
    <row r="100" spans="1:9" ht="15.75">
      <c r="A100" s="234">
        <v>7</v>
      </c>
      <c r="B100" s="225">
        <v>4000</v>
      </c>
      <c r="C100" s="234" t="s">
        <v>703</v>
      </c>
      <c r="D100" s="231"/>
      <c r="E100" s="217">
        <f t="shared" si="8"/>
        <v>45551</v>
      </c>
      <c r="F100" s="154">
        <v>16564</v>
      </c>
      <c r="G100" s="218">
        <f t="shared" si="6"/>
        <v>0</v>
      </c>
      <c r="I100" t="str">
        <f t="shared" si="7"/>
        <v>-</v>
      </c>
    </row>
    <row r="101" spans="1:9" ht="15.75">
      <c r="A101" s="236">
        <v>8</v>
      </c>
      <c r="B101" s="225">
        <v>5000</v>
      </c>
      <c r="C101" s="225" t="s">
        <v>703</v>
      </c>
      <c r="D101" s="231"/>
      <c r="E101" s="217">
        <f t="shared" si="8"/>
        <v>58487</v>
      </c>
      <c r="F101" s="154">
        <v>21268</v>
      </c>
      <c r="G101" s="218">
        <f t="shared" si="6"/>
        <v>0</v>
      </c>
      <c r="I101" t="str">
        <f t="shared" si="7"/>
        <v>-</v>
      </c>
    </row>
    <row r="102" spans="1:9" ht="15.75">
      <c r="A102" s="236">
        <v>9</v>
      </c>
      <c r="B102" s="225">
        <v>7500</v>
      </c>
      <c r="C102" s="225" t="s">
        <v>703</v>
      </c>
      <c r="D102" s="231"/>
      <c r="E102" s="217">
        <f t="shared" si="8"/>
        <v>61608.25</v>
      </c>
      <c r="F102" s="154">
        <v>22403</v>
      </c>
      <c r="G102" s="218">
        <f t="shared" si="6"/>
        <v>0</v>
      </c>
      <c r="I102" t="str">
        <f t="shared" si="7"/>
        <v>-</v>
      </c>
    </row>
    <row r="103" spans="1:9" ht="15.75">
      <c r="A103" s="237">
        <v>10</v>
      </c>
      <c r="B103" s="227">
        <v>10000</v>
      </c>
      <c r="C103" s="227" t="s">
        <v>703</v>
      </c>
      <c r="D103" s="231"/>
      <c r="E103" s="217">
        <f t="shared" si="8"/>
        <v>107500.25</v>
      </c>
      <c r="F103" s="154">
        <v>39091</v>
      </c>
      <c r="G103" s="218">
        <f t="shared" si="6"/>
        <v>0</v>
      </c>
      <c r="I103" t="str">
        <f t="shared" si="7"/>
        <v>-</v>
      </c>
    </row>
    <row r="104" spans="1:9" ht="15.75">
      <c r="A104" s="517" t="s">
        <v>705</v>
      </c>
      <c r="B104" s="517"/>
      <c r="C104" s="228"/>
      <c r="D104" s="229"/>
      <c r="E104" s="217">
        <f t="shared" si="8"/>
        <v>0</v>
      </c>
      <c r="F104" s="229"/>
      <c r="G104" s="218">
        <f t="shared" si="6"/>
        <v>0</v>
      </c>
      <c r="I104" s="142" t="str">
        <f>IF(SUM(G105:G112)=0,"-",1)</f>
        <v>-</v>
      </c>
    </row>
    <row r="105" spans="1:9" ht="15.75">
      <c r="A105" s="238">
        <v>1</v>
      </c>
      <c r="B105" s="230">
        <v>250</v>
      </c>
      <c r="C105" s="230" t="s">
        <v>703</v>
      </c>
      <c r="D105" s="239"/>
      <c r="E105" s="217">
        <f t="shared" si="8"/>
        <v>5123.25</v>
      </c>
      <c r="F105" s="154">
        <v>1863</v>
      </c>
      <c r="G105" s="218">
        <f t="shared" si="6"/>
        <v>0</v>
      </c>
      <c r="I105" t="str">
        <f t="shared" si="7"/>
        <v>-</v>
      </c>
    </row>
    <row r="106" spans="1:9" ht="15.75">
      <c r="A106" s="236">
        <v>2</v>
      </c>
      <c r="B106" s="225">
        <v>500</v>
      </c>
      <c r="C106" s="240" t="s">
        <v>703</v>
      </c>
      <c r="D106" s="231"/>
      <c r="E106" s="217">
        <f t="shared" si="8"/>
        <v>8775.25</v>
      </c>
      <c r="F106" s="154">
        <v>3191</v>
      </c>
      <c r="G106" s="218">
        <f t="shared" si="6"/>
        <v>0</v>
      </c>
      <c r="I106" t="str">
        <f t="shared" si="7"/>
        <v>-</v>
      </c>
    </row>
    <row r="107" spans="1:9" ht="15.75">
      <c r="A107" s="236">
        <v>3</v>
      </c>
      <c r="B107" s="232">
        <v>1000</v>
      </c>
      <c r="C107" s="240" t="s">
        <v>703</v>
      </c>
      <c r="D107" s="231"/>
      <c r="E107" s="217">
        <f t="shared" si="8"/>
        <v>15950</v>
      </c>
      <c r="F107" s="154">
        <v>5800</v>
      </c>
      <c r="G107" s="218">
        <f t="shared" si="6"/>
        <v>0</v>
      </c>
      <c r="I107" t="str">
        <f t="shared" si="7"/>
        <v>-</v>
      </c>
    </row>
    <row r="108" spans="1:9" ht="15.75">
      <c r="A108" s="236">
        <v>4</v>
      </c>
      <c r="B108" s="234">
        <v>1500</v>
      </c>
      <c r="C108" s="240" t="s">
        <v>703</v>
      </c>
      <c r="D108" s="231"/>
      <c r="E108" s="217">
        <f t="shared" si="8"/>
        <v>18026.25</v>
      </c>
      <c r="F108" s="154">
        <v>6555</v>
      </c>
      <c r="G108" s="218">
        <f t="shared" si="6"/>
        <v>0</v>
      </c>
      <c r="I108" t="str">
        <f t="shared" si="7"/>
        <v>-</v>
      </c>
    </row>
    <row r="109" spans="1:9" ht="15.75">
      <c r="A109" s="236">
        <v>5</v>
      </c>
      <c r="B109" s="236">
        <v>2000</v>
      </c>
      <c r="C109" s="240" t="s">
        <v>703</v>
      </c>
      <c r="D109" s="231"/>
      <c r="E109" s="217">
        <f t="shared" si="8"/>
        <v>25143.25</v>
      </c>
      <c r="F109" s="154">
        <v>9143</v>
      </c>
      <c r="G109" s="218">
        <f t="shared" si="6"/>
        <v>0</v>
      </c>
      <c r="I109" t="str">
        <f t="shared" si="7"/>
        <v>-</v>
      </c>
    </row>
    <row r="110" spans="1:9" ht="15.75">
      <c r="A110" s="236">
        <v>6</v>
      </c>
      <c r="B110" s="225">
        <v>3000</v>
      </c>
      <c r="C110" s="240" t="s">
        <v>703</v>
      </c>
      <c r="D110" s="231"/>
      <c r="E110" s="217">
        <f t="shared" si="8"/>
        <v>38898.75</v>
      </c>
      <c r="F110" s="154">
        <v>14145</v>
      </c>
      <c r="G110" s="218">
        <f t="shared" si="6"/>
        <v>0</v>
      </c>
      <c r="I110" t="str">
        <f t="shared" si="7"/>
        <v>-</v>
      </c>
    </row>
    <row r="111" spans="1:9" ht="15.75">
      <c r="A111" s="236">
        <v>7</v>
      </c>
      <c r="B111" s="225">
        <v>4000</v>
      </c>
      <c r="C111" s="240" t="s">
        <v>703</v>
      </c>
      <c r="D111" s="231"/>
      <c r="E111" s="217">
        <f t="shared" si="8"/>
        <v>53605.75</v>
      </c>
      <c r="F111" s="154">
        <v>19493</v>
      </c>
      <c r="G111" s="218">
        <f t="shared" si="6"/>
        <v>0</v>
      </c>
      <c r="I111" t="str">
        <f t="shared" si="7"/>
        <v>-</v>
      </c>
    </row>
    <row r="112" spans="1:9" ht="15.75">
      <c r="A112" s="236">
        <v>8</v>
      </c>
      <c r="B112" s="225">
        <v>5000</v>
      </c>
      <c r="C112" s="240" t="s">
        <v>703</v>
      </c>
      <c r="D112" s="231"/>
      <c r="E112" s="217">
        <f t="shared" si="8"/>
        <v>65463.75</v>
      </c>
      <c r="F112" s="154">
        <v>23805</v>
      </c>
      <c r="G112" s="218">
        <f t="shared" si="6"/>
        <v>0</v>
      </c>
      <c r="I112" t="str">
        <f t="shared" si="7"/>
        <v>-</v>
      </c>
    </row>
    <row r="113" spans="1:9" ht="15.75">
      <c r="A113" s="236">
        <v>9</v>
      </c>
      <c r="B113" s="225">
        <v>7500</v>
      </c>
      <c r="C113" s="240" t="s">
        <v>703</v>
      </c>
      <c r="D113" s="231"/>
      <c r="E113" s="217">
        <f t="shared" si="8"/>
        <v>85016.25</v>
      </c>
      <c r="F113" s="154">
        <v>30915</v>
      </c>
      <c r="G113" s="218">
        <f t="shared" si="6"/>
        <v>0</v>
      </c>
      <c r="I113" t="str">
        <f t="shared" si="7"/>
        <v>-</v>
      </c>
    </row>
    <row r="114" spans="1:9" ht="15.75">
      <c r="A114" s="237">
        <v>10</v>
      </c>
      <c r="B114" s="227">
        <v>10000</v>
      </c>
      <c r="C114" s="227" t="s">
        <v>703</v>
      </c>
      <c r="D114" s="231"/>
      <c r="E114" s="217">
        <f t="shared" si="8"/>
        <v>127655</v>
      </c>
      <c r="F114" s="154">
        <v>46420</v>
      </c>
      <c r="G114" s="218">
        <f t="shared" si="6"/>
        <v>0</v>
      </c>
      <c r="I114" t="str">
        <f t="shared" si="7"/>
        <v>-</v>
      </c>
    </row>
    <row r="115" spans="1:9" ht="15.75">
      <c r="A115" s="517" t="s">
        <v>706</v>
      </c>
      <c r="B115" s="517"/>
      <c r="C115" s="228"/>
      <c r="D115" s="241"/>
      <c r="E115" s="217">
        <f t="shared" si="8"/>
        <v>0</v>
      </c>
      <c r="F115" s="241">
        <v>0</v>
      </c>
      <c r="G115" s="218">
        <f t="shared" ref="G115:G144" si="9">D115*E115</f>
        <v>0</v>
      </c>
      <c r="I115" s="142" t="str">
        <f>IF(SUM(G116:G123)=0,"-",1)</f>
        <v>-</v>
      </c>
    </row>
    <row r="116" spans="1:9" ht="15.75">
      <c r="A116" s="238">
        <v>1</v>
      </c>
      <c r="B116" s="230">
        <v>250</v>
      </c>
      <c r="C116" s="230" t="s">
        <v>703</v>
      </c>
      <c r="D116" s="239"/>
      <c r="E116" s="217">
        <f t="shared" si="8"/>
        <v>10582</v>
      </c>
      <c r="F116" s="154">
        <v>3848</v>
      </c>
      <c r="G116" s="218">
        <f t="shared" si="9"/>
        <v>0</v>
      </c>
      <c r="I116" t="str">
        <f t="shared" si="7"/>
        <v>-</v>
      </c>
    </row>
    <row r="117" spans="1:9" ht="15.75">
      <c r="A117" s="236">
        <v>2</v>
      </c>
      <c r="B117" s="225">
        <v>500</v>
      </c>
      <c r="C117" s="240" t="s">
        <v>703</v>
      </c>
      <c r="D117" s="231"/>
      <c r="E117" s="217">
        <f t="shared" si="8"/>
        <v>18125.25</v>
      </c>
      <c r="F117" s="154">
        <v>6591</v>
      </c>
      <c r="G117" s="218">
        <f t="shared" si="9"/>
        <v>0</v>
      </c>
      <c r="I117" t="str">
        <f t="shared" si="7"/>
        <v>-</v>
      </c>
    </row>
    <row r="118" spans="1:9" ht="15.75">
      <c r="A118" s="236">
        <v>3</v>
      </c>
      <c r="B118" s="232">
        <v>1000</v>
      </c>
      <c r="C118" s="240" t="s">
        <v>703</v>
      </c>
      <c r="D118" s="231"/>
      <c r="E118" s="217">
        <f t="shared" si="8"/>
        <v>33000</v>
      </c>
      <c r="F118" s="154">
        <v>12000</v>
      </c>
      <c r="G118" s="218">
        <f t="shared" si="9"/>
        <v>0</v>
      </c>
      <c r="I118" t="str">
        <f t="shared" si="7"/>
        <v>-</v>
      </c>
    </row>
    <row r="119" spans="1:9" ht="15.75">
      <c r="A119" s="236">
        <v>4</v>
      </c>
      <c r="B119" s="234">
        <v>1500</v>
      </c>
      <c r="C119" s="240" t="s">
        <v>703</v>
      </c>
      <c r="D119" s="231"/>
      <c r="E119" s="217">
        <f t="shared" si="8"/>
        <v>37229.5</v>
      </c>
      <c r="F119" s="154">
        <v>13538</v>
      </c>
      <c r="G119" s="218">
        <f t="shared" si="9"/>
        <v>0</v>
      </c>
      <c r="I119" t="str">
        <f t="shared" si="7"/>
        <v>-</v>
      </c>
    </row>
    <row r="120" spans="1:9" ht="15.75">
      <c r="A120" s="236">
        <v>5</v>
      </c>
      <c r="B120" s="236">
        <v>2000</v>
      </c>
      <c r="C120" s="240" t="s">
        <v>703</v>
      </c>
      <c r="D120" s="231"/>
      <c r="E120" s="217">
        <f t="shared" si="8"/>
        <v>51922.75</v>
      </c>
      <c r="F120" s="154">
        <v>18881</v>
      </c>
      <c r="G120" s="218">
        <f t="shared" si="9"/>
        <v>0</v>
      </c>
      <c r="I120" t="str">
        <f t="shared" si="7"/>
        <v>-</v>
      </c>
    </row>
    <row r="121" spans="1:9" ht="15.75">
      <c r="A121" s="236">
        <v>6</v>
      </c>
      <c r="B121" s="225">
        <v>3000</v>
      </c>
      <c r="C121" s="240" t="s">
        <v>703</v>
      </c>
      <c r="D121" s="231"/>
      <c r="E121" s="217">
        <f t="shared" si="8"/>
        <v>80335.75</v>
      </c>
      <c r="F121" s="154">
        <v>29213</v>
      </c>
      <c r="G121" s="218">
        <f t="shared" si="9"/>
        <v>0</v>
      </c>
      <c r="I121" t="str">
        <f t="shared" si="7"/>
        <v>-</v>
      </c>
    </row>
    <row r="122" spans="1:9" ht="15.75">
      <c r="A122" s="236">
        <v>7</v>
      </c>
      <c r="B122" s="225">
        <v>4000</v>
      </c>
      <c r="C122" s="240" t="s">
        <v>703</v>
      </c>
      <c r="D122" s="231"/>
      <c r="E122" s="217">
        <f t="shared" si="8"/>
        <v>110704</v>
      </c>
      <c r="F122" s="154">
        <v>40256</v>
      </c>
      <c r="G122" s="218">
        <f t="shared" si="9"/>
        <v>0</v>
      </c>
      <c r="I122" t="str">
        <f t="shared" si="7"/>
        <v>-</v>
      </c>
    </row>
    <row r="123" spans="1:9" ht="15.75">
      <c r="A123" s="236">
        <v>8</v>
      </c>
      <c r="B123" s="225">
        <v>5000</v>
      </c>
      <c r="C123" s="240" t="s">
        <v>703</v>
      </c>
      <c r="D123" s="231"/>
      <c r="E123" s="217">
        <f t="shared" si="8"/>
        <v>135198.25</v>
      </c>
      <c r="F123" s="154">
        <v>49163</v>
      </c>
      <c r="G123" s="218">
        <f t="shared" si="9"/>
        <v>0</v>
      </c>
      <c r="I123" t="str">
        <f t="shared" si="7"/>
        <v>-</v>
      </c>
    </row>
    <row r="124" spans="1:9" ht="15.75">
      <c r="A124" s="236">
        <v>9</v>
      </c>
      <c r="B124" s="225">
        <v>7500</v>
      </c>
      <c r="C124" s="240" t="s">
        <v>703</v>
      </c>
      <c r="D124" s="231"/>
      <c r="E124" s="217">
        <f t="shared" si="8"/>
        <v>175579.25</v>
      </c>
      <c r="F124" s="154">
        <v>63847</v>
      </c>
      <c r="G124" s="218">
        <f t="shared" si="9"/>
        <v>0</v>
      </c>
      <c r="I124" t="str">
        <f t="shared" si="7"/>
        <v>-</v>
      </c>
    </row>
    <row r="125" spans="1:9" ht="15.75">
      <c r="A125" s="237">
        <v>10</v>
      </c>
      <c r="B125" s="227">
        <v>10000</v>
      </c>
      <c r="C125" s="227" t="s">
        <v>703</v>
      </c>
      <c r="D125" s="231"/>
      <c r="E125" s="217">
        <f t="shared" si="8"/>
        <v>263634.25</v>
      </c>
      <c r="F125" s="154">
        <v>95867</v>
      </c>
      <c r="G125" s="218">
        <f t="shared" si="9"/>
        <v>0</v>
      </c>
      <c r="I125" t="str">
        <f t="shared" si="7"/>
        <v>-</v>
      </c>
    </row>
    <row r="126" spans="1:9" ht="15.75">
      <c r="A126" s="517" t="s">
        <v>707</v>
      </c>
      <c r="B126" s="517"/>
      <c r="C126" s="228"/>
      <c r="D126" s="239"/>
      <c r="E126" s="217">
        <f t="shared" si="8"/>
        <v>0</v>
      </c>
      <c r="F126" s="242"/>
      <c r="G126" s="218">
        <f t="shared" si="9"/>
        <v>0</v>
      </c>
      <c r="I126" s="142" t="str">
        <f>IF(SUM(G127:G134)=0,"-",1)</f>
        <v>-</v>
      </c>
    </row>
    <row r="127" spans="1:9" ht="15.75">
      <c r="A127" s="238">
        <v>1</v>
      </c>
      <c r="B127" s="230">
        <v>250</v>
      </c>
      <c r="C127" s="230" t="s">
        <v>703</v>
      </c>
      <c r="D127" s="239"/>
      <c r="E127" s="217">
        <f t="shared" si="8"/>
        <v>5568.75</v>
      </c>
      <c r="F127" s="154">
        <v>2025</v>
      </c>
      <c r="G127" s="218">
        <f t="shared" si="9"/>
        <v>0</v>
      </c>
      <c r="I127" t="str">
        <f t="shared" si="7"/>
        <v>-</v>
      </c>
    </row>
    <row r="128" spans="1:9" ht="15.75">
      <c r="A128" s="236">
        <v>2</v>
      </c>
      <c r="B128" s="225">
        <v>500</v>
      </c>
      <c r="C128" s="240" t="s">
        <v>703</v>
      </c>
      <c r="D128" s="231"/>
      <c r="E128" s="217">
        <f t="shared" si="8"/>
        <v>9512.25</v>
      </c>
      <c r="F128" s="154">
        <v>3459</v>
      </c>
      <c r="G128" s="218">
        <f t="shared" si="9"/>
        <v>0</v>
      </c>
      <c r="I128" t="str">
        <f t="shared" si="7"/>
        <v>-</v>
      </c>
    </row>
    <row r="129" spans="1:9" ht="15.75">
      <c r="A129" s="236">
        <v>3</v>
      </c>
      <c r="B129" s="232">
        <v>1000</v>
      </c>
      <c r="C129" s="240" t="s">
        <v>703</v>
      </c>
      <c r="D129" s="231"/>
      <c r="E129" s="217">
        <f t="shared" si="8"/>
        <v>17325</v>
      </c>
      <c r="F129" s="154">
        <v>6300</v>
      </c>
      <c r="G129" s="218">
        <f t="shared" si="9"/>
        <v>0</v>
      </c>
      <c r="I129" t="str">
        <f t="shared" si="7"/>
        <v>-</v>
      </c>
    </row>
    <row r="130" spans="1:9" ht="15.75">
      <c r="A130" s="236">
        <v>4</v>
      </c>
      <c r="B130" s="234">
        <v>1500</v>
      </c>
      <c r="C130" s="240" t="s">
        <v>703</v>
      </c>
      <c r="D130" s="231"/>
      <c r="E130" s="217">
        <f t="shared" si="8"/>
        <v>19593.75</v>
      </c>
      <c r="F130" s="154">
        <v>7125</v>
      </c>
      <c r="G130" s="218">
        <f t="shared" si="9"/>
        <v>0</v>
      </c>
      <c r="I130" t="str">
        <f t="shared" si="7"/>
        <v>-</v>
      </c>
    </row>
    <row r="131" spans="1:9" ht="15.75">
      <c r="A131" s="236">
        <v>5</v>
      </c>
      <c r="B131" s="236">
        <v>2000</v>
      </c>
      <c r="C131" s="240" t="s">
        <v>703</v>
      </c>
      <c r="D131" s="231"/>
      <c r="E131" s="217">
        <f t="shared" si="8"/>
        <v>27329.5</v>
      </c>
      <c r="F131" s="154">
        <v>9938</v>
      </c>
      <c r="G131" s="218">
        <f t="shared" si="9"/>
        <v>0</v>
      </c>
      <c r="I131" t="str">
        <f t="shared" si="7"/>
        <v>-</v>
      </c>
    </row>
    <row r="132" spans="1:9" ht="15.75">
      <c r="A132" s="236">
        <v>6</v>
      </c>
      <c r="B132" s="225">
        <v>3000</v>
      </c>
      <c r="C132" s="240" t="s">
        <v>703</v>
      </c>
      <c r="D132" s="231"/>
      <c r="E132" s="217">
        <f t="shared" si="8"/>
        <v>42281.25</v>
      </c>
      <c r="F132" s="154">
        <v>15375</v>
      </c>
      <c r="G132" s="218">
        <f t="shared" si="9"/>
        <v>0</v>
      </c>
      <c r="I132" t="str">
        <f t="shared" si="7"/>
        <v>-</v>
      </c>
    </row>
    <row r="133" spans="1:9" ht="15.75">
      <c r="A133" s="236">
        <v>7</v>
      </c>
      <c r="B133" s="225">
        <v>4000</v>
      </c>
      <c r="C133" s="240" t="s">
        <v>703</v>
      </c>
      <c r="D133" s="231"/>
      <c r="E133" s="217">
        <f t="shared" si="8"/>
        <v>58267</v>
      </c>
      <c r="F133" s="154">
        <v>21188</v>
      </c>
      <c r="G133" s="218">
        <f t="shared" si="9"/>
        <v>0</v>
      </c>
      <c r="I133" t="str">
        <f t="shared" si="7"/>
        <v>-</v>
      </c>
    </row>
    <row r="134" spans="1:9" ht="15.75">
      <c r="A134" s="236">
        <v>8</v>
      </c>
      <c r="B134" s="225">
        <v>5000</v>
      </c>
      <c r="C134" s="240" t="s">
        <v>703</v>
      </c>
      <c r="D134" s="231"/>
      <c r="E134" s="217">
        <f t="shared" si="8"/>
        <v>71156.25</v>
      </c>
      <c r="F134" s="154">
        <v>25875</v>
      </c>
      <c r="G134" s="218">
        <f t="shared" si="9"/>
        <v>0</v>
      </c>
      <c r="I134" t="str">
        <f t="shared" si="7"/>
        <v>-</v>
      </c>
    </row>
    <row r="135" spans="1:9" ht="15.75">
      <c r="A135" s="236">
        <v>9</v>
      </c>
      <c r="B135" s="225">
        <v>7500</v>
      </c>
      <c r="C135" s="240" t="s">
        <v>703</v>
      </c>
      <c r="D135" s="231"/>
      <c r="E135" s="217">
        <f t="shared" si="8"/>
        <v>92411</v>
      </c>
      <c r="F135" s="154">
        <v>33604</v>
      </c>
      <c r="G135" s="218">
        <f t="shared" si="9"/>
        <v>0</v>
      </c>
      <c r="I135" t="str">
        <f t="shared" si="7"/>
        <v>-</v>
      </c>
    </row>
    <row r="136" spans="1:9" ht="15.75">
      <c r="A136" s="237">
        <v>10</v>
      </c>
      <c r="B136" s="227">
        <v>10000</v>
      </c>
      <c r="C136" s="227" t="s">
        <v>703</v>
      </c>
      <c r="D136" s="231"/>
      <c r="E136" s="217">
        <f t="shared" si="8"/>
        <v>138754</v>
      </c>
      <c r="F136" s="154">
        <v>50456</v>
      </c>
      <c r="G136" s="218">
        <f t="shared" si="9"/>
        <v>0</v>
      </c>
      <c r="I136" t="str">
        <f t="shared" si="7"/>
        <v>-</v>
      </c>
    </row>
    <row r="137" spans="1:9" ht="15.75">
      <c r="A137" s="228"/>
      <c r="B137" s="228"/>
      <c r="C137" s="228"/>
      <c r="D137" s="239"/>
      <c r="E137" s="217">
        <f t="shared" si="8"/>
        <v>0</v>
      </c>
      <c r="F137" s="242"/>
      <c r="G137" s="218">
        <f t="shared" si="9"/>
        <v>0</v>
      </c>
      <c r="I137" t="str">
        <f>IF(D137=0,"-",1)</f>
        <v>-</v>
      </c>
    </row>
    <row r="138" spans="1:9" ht="15.75">
      <c r="A138" s="517" t="s">
        <v>708</v>
      </c>
      <c r="B138" s="517"/>
      <c r="C138" s="228"/>
      <c r="D138" s="239"/>
      <c r="E138" s="217">
        <f t="shared" si="8"/>
        <v>0</v>
      </c>
      <c r="F138" s="239"/>
      <c r="G138" s="218">
        <f t="shared" si="9"/>
        <v>0</v>
      </c>
      <c r="I138" s="142" t="str">
        <f>IF(SUM(G139:G146)=0,"-",1)</f>
        <v>-</v>
      </c>
    </row>
    <row r="139" spans="1:9" ht="31.5">
      <c r="A139" s="243"/>
      <c r="B139" s="244" t="s">
        <v>709</v>
      </c>
      <c r="C139" s="245"/>
      <c r="D139" s="246"/>
      <c r="E139" s="217">
        <f t="shared" si="8"/>
        <v>0</v>
      </c>
      <c r="F139" s="246"/>
      <c r="G139" s="218">
        <f t="shared" si="9"/>
        <v>0</v>
      </c>
      <c r="I139" s="142" t="str">
        <f>IF(SUM(G140:G147)=0,"-",1)</f>
        <v>-</v>
      </c>
    </row>
    <row r="140" spans="1:9" ht="15.75">
      <c r="A140" s="247">
        <v>1</v>
      </c>
      <c r="B140" s="230" t="s">
        <v>710</v>
      </c>
      <c r="C140" s="238" t="s">
        <v>703</v>
      </c>
      <c r="D140" s="239"/>
      <c r="E140" s="217">
        <f t="shared" si="8"/>
        <v>20391.25</v>
      </c>
      <c r="F140" s="154">
        <v>7415</v>
      </c>
      <c r="G140" s="218">
        <f t="shared" si="9"/>
        <v>0</v>
      </c>
      <c r="I140" t="str">
        <f t="shared" ref="I140:I145" si="10">IF(G140=0,"-",1)</f>
        <v>-</v>
      </c>
    </row>
    <row r="141" spans="1:9" ht="15.75">
      <c r="A141" s="234">
        <v>2</v>
      </c>
      <c r="B141" s="234" t="s">
        <v>711</v>
      </c>
      <c r="C141" s="225" t="s">
        <v>703</v>
      </c>
      <c r="D141" s="239"/>
      <c r="E141" s="217">
        <f t="shared" si="8"/>
        <v>30753.25</v>
      </c>
      <c r="F141" s="154">
        <v>11183</v>
      </c>
      <c r="G141" s="218">
        <f t="shared" si="9"/>
        <v>0</v>
      </c>
      <c r="I141" t="str">
        <f t="shared" si="10"/>
        <v>-</v>
      </c>
    </row>
    <row r="142" spans="1:9" ht="15.75">
      <c r="A142" s="225">
        <v>3</v>
      </c>
      <c r="B142" s="225" t="s">
        <v>712</v>
      </c>
      <c r="C142" s="234" t="s">
        <v>703</v>
      </c>
      <c r="D142" s="239"/>
      <c r="E142" s="217">
        <f t="shared" si="8"/>
        <v>36899.5</v>
      </c>
      <c r="F142" s="154">
        <v>13418</v>
      </c>
      <c r="G142" s="218">
        <f t="shared" si="9"/>
        <v>0</v>
      </c>
      <c r="I142" t="str">
        <f t="shared" si="10"/>
        <v>-</v>
      </c>
    </row>
    <row r="143" spans="1:9" ht="15.75">
      <c r="A143" s="225">
        <v>4</v>
      </c>
      <c r="B143" s="225" t="s">
        <v>713</v>
      </c>
      <c r="C143" s="225" t="s">
        <v>703</v>
      </c>
      <c r="D143" s="239"/>
      <c r="E143" s="217">
        <f t="shared" si="8"/>
        <v>40922.75</v>
      </c>
      <c r="F143" s="154">
        <v>14881</v>
      </c>
      <c r="G143" s="218">
        <f t="shared" si="9"/>
        <v>0</v>
      </c>
      <c r="I143" t="str">
        <f t="shared" si="10"/>
        <v>-</v>
      </c>
    </row>
    <row r="144" spans="1:9" ht="31.5">
      <c r="A144" s="248">
        <v>5</v>
      </c>
      <c r="B144" s="236" t="s">
        <v>714</v>
      </c>
      <c r="C144" s="236" t="s">
        <v>703</v>
      </c>
      <c r="D144" s="239"/>
      <c r="E144" s="217">
        <f t="shared" si="8"/>
        <v>22948.75</v>
      </c>
      <c r="F144" s="249">
        <v>8345</v>
      </c>
      <c r="G144" s="218">
        <f t="shared" si="9"/>
        <v>0</v>
      </c>
      <c r="I144" t="str">
        <f t="shared" si="10"/>
        <v>-</v>
      </c>
    </row>
    <row r="145" spans="1:9" ht="15.75">
      <c r="A145" s="228"/>
      <c r="B145" s="518" t="s">
        <v>715</v>
      </c>
      <c r="C145" s="518"/>
      <c r="D145" s="518"/>
      <c r="E145" s="199"/>
      <c r="F145" s="242">
        <v>0</v>
      </c>
      <c r="G145" s="250">
        <f>SUM(G83:G144)</f>
        <v>0</v>
      </c>
      <c r="I145" t="str">
        <f t="shared" si="10"/>
        <v>-</v>
      </c>
    </row>
    <row r="146" spans="1:9" ht="15.75">
      <c r="A146" s="228"/>
      <c r="B146" s="199"/>
      <c r="C146" s="199"/>
      <c r="D146" s="199"/>
      <c r="E146" s="199"/>
      <c r="F146" s="199">
        <v>0</v>
      </c>
      <c r="G146" s="250"/>
      <c r="I146" t="str">
        <f>IF(D146=0,"-",1)</f>
        <v>-</v>
      </c>
    </row>
    <row r="147" spans="1:9" s="142" customFormat="1" ht="15.75">
      <c r="A147" s="251" t="s">
        <v>716</v>
      </c>
      <c r="B147" s="252"/>
      <c r="C147" s="252"/>
      <c r="D147" s="253"/>
      <c r="E147" s="253"/>
      <c r="F147" s="253">
        <v>0</v>
      </c>
      <c r="G147" s="254"/>
      <c r="I147" t="str">
        <f>IF(D147=0,"-",1)</f>
        <v>-</v>
      </c>
    </row>
    <row r="148" spans="1:9" s="142" customFormat="1" ht="15.75">
      <c r="A148" s="255" t="s">
        <v>699</v>
      </c>
      <c r="B148" s="256" t="s">
        <v>717</v>
      </c>
      <c r="C148" s="256" t="s">
        <v>640</v>
      </c>
      <c r="D148" s="257" t="s">
        <v>641</v>
      </c>
      <c r="E148" s="257" t="s">
        <v>702</v>
      </c>
      <c r="F148" s="257" t="s">
        <v>677</v>
      </c>
      <c r="G148" s="258" t="s">
        <v>644</v>
      </c>
      <c r="I148"/>
    </row>
    <row r="149" spans="1:9" s="142" customFormat="1" ht="15.75">
      <c r="A149" s="259">
        <v>1</v>
      </c>
      <c r="B149" s="260" t="s">
        <v>718</v>
      </c>
      <c r="C149" s="261" t="s">
        <v>703</v>
      </c>
      <c r="D149" s="262"/>
      <c r="E149" s="263">
        <f>2.75*F149</f>
        <v>204490</v>
      </c>
      <c r="F149" s="264">
        <v>74360</v>
      </c>
      <c r="G149" s="265">
        <f>D149*E149</f>
        <v>0</v>
      </c>
      <c r="I149" t="str">
        <f t="shared" ref="I149:I154" si="11">IF(D149=0,"-",1)</f>
        <v>-</v>
      </c>
    </row>
    <row r="150" spans="1:9" s="142" customFormat="1" ht="15.75">
      <c r="A150" s="266">
        <v>2</v>
      </c>
      <c r="B150" s="267" t="s">
        <v>719</v>
      </c>
      <c r="C150" s="268" t="s">
        <v>703</v>
      </c>
      <c r="D150" s="262"/>
      <c r="E150" s="263">
        <f t="shared" ref="E150:E151" si="12">2.75*F150</f>
        <v>306735</v>
      </c>
      <c r="F150" s="264">
        <v>111540</v>
      </c>
      <c r="G150" s="265">
        <f>D150*E150</f>
        <v>0</v>
      </c>
      <c r="I150" t="str">
        <f t="shared" si="11"/>
        <v>-</v>
      </c>
    </row>
    <row r="151" spans="1:9" s="142" customFormat="1" ht="15.75">
      <c r="A151" s="269">
        <v>3</v>
      </c>
      <c r="B151" s="270" t="s">
        <v>720</v>
      </c>
      <c r="C151" s="271" t="s">
        <v>703</v>
      </c>
      <c r="D151" s="262"/>
      <c r="E151" s="263">
        <f t="shared" si="12"/>
        <v>161232.5</v>
      </c>
      <c r="F151" s="264">
        <v>58630</v>
      </c>
      <c r="G151" s="265">
        <f>D151*E151</f>
        <v>0</v>
      </c>
      <c r="I151" t="str">
        <f t="shared" si="11"/>
        <v>-</v>
      </c>
    </row>
    <row r="152" spans="1:9" s="142" customFormat="1" ht="31.5">
      <c r="A152" s="272"/>
      <c r="B152" s="253" t="s">
        <v>721</v>
      </c>
      <c r="C152" s="253"/>
      <c r="D152" s="253"/>
      <c r="E152" s="253"/>
      <c r="F152" s="253">
        <v>0</v>
      </c>
      <c r="G152" s="273">
        <f>SUM(G149:G151)</f>
        <v>0</v>
      </c>
      <c r="I152" t="str">
        <f t="shared" si="11"/>
        <v>-</v>
      </c>
    </row>
    <row r="153" spans="1:9" s="142" customFormat="1" ht="15.75">
      <c r="A153" s="519" t="s">
        <v>722</v>
      </c>
      <c r="B153" s="519"/>
      <c r="C153" s="274"/>
      <c r="D153" s="275"/>
      <c r="E153" s="275"/>
      <c r="F153" s="275">
        <v>0</v>
      </c>
      <c r="G153" s="276"/>
      <c r="I153" t="str">
        <f t="shared" si="11"/>
        <v>-</v>
      </c>
    </row>
    <row r="154" spans="1:9" s="142" customFormat="1" ht="15.75">
      <c r="A154" s="274"/>
      <c r="B154" s="274"/>
      <c r="C154" s="274"/>
      <c r="D154" s="275"/>
      <c r="E154" s="275"/>
      <c r="F154" s="275">
        <v>0</v>
      </c>
      <c r="G154" s="276"/>
      <c r="I154" t="str">
        <f t="shared" si="11"/>
        <v>-</v>
      </c>
    </row>
    <row r="155" spans="1:9" s="142" customFormat="1" ht="15.75">
      <c r="A155" s="277" t="s">
        <v>638</v>
      </c>
      <c r="B155" s="277" t="s">
        <v>639</v>
      </c>
      <c r="C155" s="277" t="s">
        <v>640</v>
      </c>
      <c r="D155" s="277" t="s">
        <v>641</v>
      </c>
      <c r="E155" s="277" t="s">
        <v>702</v>
      </c>
      <c r="F155" s="277" t="s">
        <v>677</v>
      </c>
      <c r="G155" s="278" t="s">
        <v>644</v>
      </c>
      <c r="I155"/>
    </row>
    <row r="156" spans="1:9" s="142" customFormat="1" ht="31.5">
      <c r="A156" s="279">
        <v>1</v>
      </c>
      <c r="B156" s="280" t="s">
        <v>723</v>
      </c>
      <c r="C156" s="281" t="s">
        <v>724</v>
      </c>
      <c r="D156" s="282"/>
      <c r="E156" s="283">
        <f>2.75*F156</f>
        <v>3628.625</v>
      </c>
      <c r="F156" s="264">
        <v>1319.5</v>
      </c>
      <c r="G156" s="284">
        <f t="shared" ref="G156:G187" si="13">D156*E156</f>
        <v>0</v>
      </c>
      <c r="I156" t="str">
        <f t="shared" ref="I156:I187" si="14">IF(D156=0,"-",1)</f>
        <v>-</v>
      </c>
    </row>
    <row r="157" spans="1:9" s="142" customFormat="1" ht="31.5">
      <c r="A157" s="285">
        <v>2</v>
      </c>
      <c r="B157" s="286" t="s">
        <v>725</v>
      </c>
      <c r="C157" s="285" t="s">
        <v>659</v>
      </c>
      <c r="D157" s="287"/>
      <c r="E157" s="283">
        <f t="shared" ref="E157:E206" si="15">2.75*F157</f>
        <v>2717</v>
      </c>
      <c r="F157" s="264">
        <v>988</v>
      </c>
      <c r="G157" s="284">
        <f t="shared" si="13"/>
        <v>0</v>
      </c>
      <c r="I157" t="str">
        <f t="shared" si="14"/>
        <v>-</v>
      </c>
    </row>
    <row r="158" spans="1:9" s="142" customFormat="1" ht="15.75">
      <c r="A158" s="285">
        <v>3</v>
      </c>
      <c r="B158" s="286" t="s">
        <v>726</v>
      </c>
      <c r="C158" s="285" t="s">
        <v>703</v>
      </c>
      <c r="D158" s="287"/>
      <c r="E158" s="283">
        <f t="shared" si="15"/>
        <v>23595</v>
      </c>
      <c r="F158" s="264">
        <v>8580</v>
      </c>
      <c r="G158" s="284">
        <f t="shared" si="13"/>
        <v>0</v>
      </c>
      <c r="I158" t="str">
        <f t="shared" si="14"/>
        <v>-</v>
      </c>
    </row>
    <row r="159" spans="1:9" s="142" customFormat="1" ht="31.5">
      <c r="A159" s="285"/>
      <c r="B159" s="286" t="s">
        <v>727</v>
      </c>
      <c r="C159" s="288" t="s">
        <v>724</v>
      </c>
      <c r="D159" s="287"/>
      <c r="E159" s="283">
        <f t="shared" si="15"/>
        <v>3449.875</v>
      </c>
      <c r="F159" s="264">
        <v>1254.5</v>
      </c>
      <c r="G159" s="284">
        <f t="shared" si="13"/>
        <v>0</v>
      </c>
      <c r="I159" t="str">
        <f t="shared" si="14"/>
        <v>-</v>
      </c>
    </row>
    <row r="160" spans="1:9" s="142" customFormat="1" ht="31.5">
      <c r="A160" s="285">
        <v>4</v>
      </c>
      <c r="B160" s="286" t="s">
        <v>728</v>
      </c>
      <c r="C160" s="285" t="s">
        <v>659</v>
      </c>
      <c r="D160" s="287"/>
      <c r="E160" s="283">
        <f t="shared" si="15"/>
        <v>2860</v>
      </c>
      <c r="F160" s="264">
        <v>1040</v>
      </c>
      <c r="G160" s="284">
        <f t="shared" si="13"/>
        <v>0</v>
      </c>
      <c r="I160" t="str">
        <f t="shared" si="14"/>
        <v>-</v>
      </c>
    </row>
    <row r="161" spans="1:9" s="142" customFormat="1" ht="31.5">
      <c r="A161" s="289">
        <v>5</v>
      </c>
      <c r="B161" s="286" t="s">
        <v>729</v>
      </c>
      <c r="C161" s="285" t="s">
        <v>724</v>
      </c>
      <c r="D161" s="287"/>
      <c r="E161" s="283">
        <f t="shared" si="15"/>
        <v>4004</v>
      </c>
      <c r="F161" s="264">
        <v>1456</v>
      </c>
      <c r="G161" s="284">
        <f t="shared" si="13"/>
        <v>0</v>
      </c>
      <c r="I161" t="str">
        <f t="shared" si="14"/>
        <v>-</v>
      </c>
    </row>
    <row r="162" spans="1:9" s="142" customFormat="1" ht="15.75">
      <c r="A162" s="290">
        <v>6.1</v>
      </c>
      <c r="B162" s="286" t="s">
        <v>730</v>
      </c>
      <c r="C162" s="285" t="s">
        <v>703</v>
      </c>
      <c r="D162" s="291"/>
      <c r="E162" s="283">
        <f t="shared" si="15"/>
        <v>0</v>
      </c>
      <c r="F162" s="292"/>
      <c r="G162" s="284">
        <f t="shared" si="13"/>
        <v>0</v>
      </c>
      <c r="I162" t="str">
        <f t="shared" si="14"/>
        <v>-</v>
      </c>
    </row>
    <row r="163" spans="1:9" s="142" customFormat="1" ht="15.75">
      <c r="A163" s="290">
        <v>6.2</v>
      </c>
      <c r="B163" s="286" t="s">
        <v>731</v>
      </c>
      <c r="C163" s="285" t="s">
        <v>703</v>
      </c>
      <c r="D163" s="287"/>
      <c r="E163" s="283">
        <f t="shared" si="15"/>
        <v>0</v>
      </c>
      <c r="F163" s="292"/>
      <c r="G163" s="284">
        <f t="shared" si="13"/>
        <v>0</v>
      </c>
      <c r="I163" t="str">
        <f t="shared" si="14"/>
        <v>-</v>
      </c>
    </row>
    <row r="164" spans="1:9" s="142" customFormat="1" ht="15.75">
      <c r="A164" s="290">
        <v>6.3</v>
      </c>
      <c r="B164" s="286" t="s">
        <v>732</v>
      </c>
      <c r="C164" s="285" t="s">
        <v>703</v>
      </c>
      <c r="D164" s="287"/>
      <c r="E164" s="283">
        <f t="shared" si="15"/>
        <v>0</v>
      </c>
      <c r="F164" s="292"/>
      <c r="G164" s="284">
        <f t="shared" si="13"/>
        <v>0</v>
      </c>
      <c r="I164" t="str">
        <f t="shared" si="14"/>
        <v>-</v>
      </c>
    </row>
    <row r="165" spans="1:9" s="142" customFormat="1" ht="31.5">
      <c r="A165" s="293">
        <v>1</v>
      </c>
      <c r="B165" s="294" t="s">
        <v>733</v>
      </c>
      <c r="C165" s="294"/>
      <c r="D165" s="291"/>
      <c r="E165" s="283">
        <f t="shared" si="15"/>
        <v>0</v>
      </c>
      <c r="F165" s="264">
        <v>0</v>
      </c>
      <c r="G165" s="284">
        <f t="shared" si="13"/>
        <v>0</v>
      </c>
      <c r="I165" t="str">
        <f t="shared" si="14"/>
        <v>-</v>
      </c>
    </row>
    <row r="166" spans="1:9" s="142" customFormat="1" ht="18">
      <c r="A166" s="293">
        <v>1.1000000000000001</v>
      </c>
      <c r="B166" s="295" t="s">
        <v>646</v>
      </c>
      <c r="C166" s="268" t="s">
        <v>734</v>
      </c>
      <c r="D166" s="287"/>
      <c r="E166" s="283">
        <f t="shared" si="15"/>
        <v>3861</v>
      </c>
      <c r="F166" s="264">
        <v>1404</v>
      </c>
      <c r="G166" s="284">
        <f t="shared" si="13"/>
        <v>0</v>
      </c>
      <c r="I166" t="str">
        <f t="shared" si="14"/>
        <v>-</v>
      </c>
    </row>
    <row r="167" spans="1:9" s="142" customFormat="1" ht="18">
      <c r="A167" s="293">
        <v>1.2</v>
      </c>
      <c r="B167" s="295" t="s">
        <v>648</v>
      </c>
      <c r="C167" s="268" t="s">
        <v>734</v>
      </c>
      <c r="D167" s="287"/>
      <c r="E167" s="283">
        <f t="shared" si="15"/>
        <v>4021.875</v>
      </c>
      <c r="F167" s="264">
        <v>1462.5</v>
      </c>
      <c r="G167" s="284">
        <f t="shared" si="13"/>
        <v>0</v>
      </c>
      <c r="I167" t="str">
        <f t="shared" si="14"/>
        <v>-</v>
      </c>
    </row>
    <row r="168" spans="1:9" s="142" customFormat="1" ht="18">
      <c r="A168" s="293">
        <v>1.3</v>
      </c>
      <c r="B168" s="295" t="s">
        <v>649</v>
      </c>
      <c r="C168" s="268" t="s">
        <v>734</v>
      </c>
      <c r="D168" s="291"/>
      <c r="E168" s="283">
        <f t="shared" si="15"/>
        <v>4200.625</v>
      </c>
      <c r="F168" s="264">
        <v>1527.5</v>
      </c>
      <c r="G168" s="284">
        <f t="shared" si="13"/>
        <v>0</v>
      </c>
      <c r="I168" t="str">
        <f t="shared" si="14"/>
        <v>-</v>
      </c>
    </row>
    <row r="169" spans="1:9" s="142" customFormat="1" ht="18">
      <c r="A169" s="293">
        <v>1.4</v>
      </c>
      <c r="B169" s="295" t="s">
        <v>650</v>
      </c>
      <c r="C169" s="268" t="s">
        <v>734</v>
      </c>
      <c r="D169" s="287"/>
      <c r="E169" s="283">
        <f t="shared" si="15"/>
        <v>4218.5</v>
      </c>
      <c r="F169" s="264">
        <v>1534</v>
      </c>
      <c r="G169" s="284">
        <f t="shared" si="13"/>
        <v>0</v>
      </c>
      <c r="I169" t="str">
        <f t="shared" si="14"/>
        <v>-</v>
      </c>
    </row>
    <row r="170" spans="1:9" s="142" customFormat="1" ht="18">
      <c r="A170" s="293">
        <v>1.5</v>
      </c>
      <c r="B170" s="295" t="s">
        <v>651</v>
      </c>
      <c r="C170" s="268" t="s">
        <v>734</v>
      </c>
      <c r="D170" s="291"/>
      <c r="E170" s="283">
        <f t="shared" si="15"/>
        <v>4576</v>
      </c>
      <c r="F170" s="264">
        <v>1664</v>
      </c>
      <c r="G170" s="284">
        <f t="shared" si="13"/>
        <v>0</v>
      </c>
      <c r="I170" t="str">
        <f t="shared" si="14"/>
        <v>-</v>
      </c>
    </row>
    <row r="171" spans="1:9" s="142" customFormat="1" ht="18">
      <c r="A171" s="296">
        <v>1.6</v>
      </c>
      <c r="B171" s="295" t="s">
        <v>652</v>
      </c>
      <c r="C171" s="268" t="s">
        <v>734</v>
      </c>
      <c r="D171" s="287"/>
      <c r="E171" s="283">
        <f t="shared" si="15"/>
        <v>4218.5</v>
      </c>
      <c r="F171" s="264">
        <v>1534</v>
      </c>
      <c r="G171" s="284">
        <f t="shared" si="13"/>
        <v>0</v>
      </c>
      <c r="I171" t="str">
        <f t="shared" si="14"/>
        <v>-</v>
      </c>
    </row>
    <row r="172" spans="1:9" s="142" customFormat="1" ht="18">
      <c r="A172" s="293">
        <v>1.7</v>
      </c>
      <c r="B172" s="295" t="s">
        <v>653</v>
      </c>
      <c r="C172" s="268" t="s">
        <v>734</v>
      </c>
      <c r="D172" s="287"/>
      <c r="E172" s="283">
        <f t="shared" si="15"/>
        <v>4576</v>
      </c>
      <c r="F172" s="264">
        <v>1664</v>
      </c>
      <c r="G172" s="284">
        <f t="shared" si="13"/>
        <v>0</v>
      </c>
      <c r="I172" t="str">
        <f t="shared" si="14"/>
        <v>-</v>
      </c>
    </row>
    <row r="173" spans="1:9" s="142" customFormat="1" ht="47.25">
      <c r="A173" s="297">
        <v>1.8</v>
      </c>
      <c r="B173" s="298" t="s">
        <v>654</v>
      </c>
      <c r="C173" s="299" t="s">
        <v>655</v>
      </c>
      <c r="D173" s="283"/>
      <c r="E173" s="283">
        <f t="shared" si="15"/>
        <v>160.875</v>
      </c>
      <c r="F173" s="264">
        <v>58.5</v>
      </c>
      <c r="G173" s="284">
        <f t="shared" si="13"/>
        <v>0</v>
      </c>
      <c r="I173" t="str">
        <f t="shared" si="14"/>
        <v>-</v>
      </c>
    </row>
    <row r="174" spans="1:9" s="142" customFormat="1" ht="31.5">
      <c r="A174" s="300">
        <v>2</v>
      </c>
      <c r="B174" s="301" t="s">
        <v>735</v>
      </c>
      <c r="C174" s="302"/>
      <c r="D174" s="303"/>
      <c r="E174" s="283">
        <f t="shared" si="15"/>
        <v>0</v>
      </c>
      <c r="F174" s="303">
        <v>0</v>
      </c>
      <c r="G174" s="284">
        <f t="shared" si="13"/>
        <v>0</v>
      </c>
      <c r="I174" t="str">
        <f t="shared" si="14"/>
        <v>-</v>
      </c>
    </row>
    <row r="175" spans="1:9" s="142" customFormat="1" ht="18">
      <c r="A175" s="304">
        <v>2.1</v>
      </c>
      <c r="B175" s="305" t="s">
        <v>646</v>
      </c>
      <c r="C175" s="306" t="s">
        <v>734</v>
      </c>
      <c r="D175" s="283"/>
      <c r="E175" s="283">
        <f t="shared" si="15"/>
        <v>4647.5</v>
      </c>
      <c r="F175" s="264">
        <v>1690</v>
      </c>
      <c r="G175" s="284">
        <f t="shared" si="13"/>
        <v>0</v>
      </c>
      <c r="I175" t="str">
        <f t="shared" si="14"/>
        <v>-</v>
      </c>
    </row>
    <row r="176" spans="1:9" s="142" customFormat="1" ht="31.5">
      <c r="A176" s="296">
        <v>2.2000000000000002</v>
      </c>
      <c r="B176" s="295" t="s">
        <v>736</v>
      </c>
      <c r="C176" s="268" t="s">
        <v>734</v>
      </c>
      <c r="D176" s="283"/>
      <c r="E176" s="283">
        <f t="shared" si="15"/>
        <v>4826.25</v>
      </c>
      <c r="F176" s="264">
        <v>1755</v>
      </c>
      <c r="G176" s="284">
        <f t="shared" si="13"/>
        <v>0</v>
      </c>
      <c r="I176" t="str">
        <f t="shared" si="14"/>
        <v>-</v>
      </c>
    </row>
    <row r="177" spans="1:9" s="142" customFormat="1" ht="18">
      <c r="A177" s="307">
        <v>2.2999999999999998</v>
      </c>
      <c r="B177" s="298" t="s">
        <v>649</v>
      </c>
      <c r="C177" s="299" t="s">
        <v>734</v>
      </c>
      <c r="D177" s="283"/>
      <c r="E177" s="283">
        <f t="shared" si="15"/>
        <v>5005</v>
      </c>
      <c r="F177" s="264">
        <v>1820</v>
      </c>
      <c r="G177" s="284">
        <f t="shared" si="13"/>
        <v>0</v>
      </c>
      <c r="I177" t="str">
        <f t="shared" si="14"/>
        <v>-</v>
      </c>
    </row>
    <row r="178" spans="1:9" s="142" customFormat="1" ht="15.75">
      <c r="A178" s="300">
        <v>3</v>
      </c>
      <c r="B178" s="301" t="s">
        <v>737</v>
      </c>
      <c r="C178" s="308"/>
      <c r="D178" s="303"/>
      <c r="E178" s="283">
        <f t="shared" si="15"/>
        <v>0</v>
      </c>
      <c r="F178" s="303">
        <v>0</v>
      </c>
      <c r="G178" s="284">
        <f t="shared" si="13"/>
        <v>0</v>
      </c>
      <c r="I178" t="str">
        <f t="shared" si="14"/>
        <v>-</v>
      </c>
    </row>
    <row r="179" spans="1:9" s="142" customFormat="1" ht="18">
      <c r="A179" s="304">
        <v>3.1</v>
      </c>
      <c r="B179" s="305" t="s">
        <v>646</v>
      </c>
      <c r="C179" s="306" t="s">
        <v>724</v>
      </c>
      <c r="D179" s="283"/>
      <c r="E179" s="283">
        <f t="shared" si="15"/>
        <v>893.75</v>
      </c>
      <c r="F179" s="264">
        <v>325</v>
      </c>
      <c r="G179" s="284">
        <f t="shared" si="13"/>
        <v>0</v>
      </c>
      <c r="I179" t="str">
        <f t="shared" si="14"/>
        <v>-</v>
      </c>
    </row>
    <row r="180" spans="1:9" s="142" customFormat="1" ht="18">
      <c r="A180" s="296">
        <v>3.2</v>
      </c>
      <c r="B180" s="295" t="s">
        <v>648</v>
      </c>
      <c r="C180" s="268" t="s">
        <v>724</v>
      </c>
      <c r="D180" s="283"/>
      <c r="E180" s="283">
        <f t="shared" si="15"/>
        <v>1001</v>
      </c>
      <c r="F180" s="264">
        <v>364</v>
      </c>
      <c r="G180" s="284">
        <f t="shared" si="13"/>
        <v>0</v>
      </c>
      <c r="I180" t="str">
        <f t="shared" si="14"/>
        <v>-</v>
      </c>
    </row>
    <row r="181" spans="1:9" s="142" customFormat="1" ht="18">
      <c r="A181" s="296">
        <v>3.3</v>
      </c>
      <c r="B181" s="295" t="s">
        <v>649</v>
      </c>
      <c r="C181" s="268" t="s">
        <v>724</v>
      </c>
      <c r="D181" s="283"/>
      <c r="E181" s="283">
        <f t="shared" si="15"/>
        <v>1161.875</v>
      </c>
      <c r="F181" s="264">
        <v>422.5</v>
      </c>
      <c r="G181" s="284">
        <f t="shared" si="13"/>
        <v>0</v>
      </c>
      <c r="I181" t="str">
        <f t="shared" si="14"/>
        <v>-</v>
      </c>
    </row>
    <row r="182" spans="1:9" s="142" customFormat="1" ht="18">
      <c r="A182" s="296">
        <v>3.4</v>
      </c>
      <c r="B182" s="295" t="s">
        <v>661</v>
      </c>
      <c r="C182" s="268" t="s">
        <v>724</v>
      </c>
      <c r="D182" s="283"/>
      <c r="E182" s="283">
        <f t="shared" si="15"/>
        <v>1304.875</v>
      </c>
      <c r="F182" s="264">
        <v>474.5</v>
      </c>
      <c r="G182" s="284">
        <f t="shared" si="13"/>
        <v>0</v>
      </c>
      <c r="I182" t="str">
        <f t="shared" si="14"/>
        <v>-</v>
      </c>
    </row>
    <row r="183" spans="1:9" s="142" customFormat="1" ht="18">
      <c r="A183" s="296">
        <v>3.5</v>
      </c>
      <c r="B183" s="295" t="s">
        <v>664</v>
      </c>
      <c r="C183" s="268" t="s">
        <v>724</v>
      </c>
      <c r="D183" s="283"/>
      <c r="E183" s="283">
        <f t="shared" si="15"/>
        <v>1716</v>
      </c>
      <c r="F183" s="264">
        <v>624</v>
      </c>
      <c r="G183" s="284">
        <f t="shared" si="13"/>
        <v>0</v>
      </c>
      <c r="I183" t="str">
        <f t="shared" si="14"/>
        <v>-</v>
      </c>
    </row>
    <row r="184" spans="1:9" s="142" customFormat="1" ht="18">
      <c r="A184" s="296">
        <v>3.6</v>
      </c>
      <c r="B184" s="295" t="s">
        <v>652</v>
      </c>
      <c r="C184" s="268" t="s">
        <v>724</v>
      </c>
      <c r="D184" s="283"/>
      <c r="E184" s="283">
        <f t="shared" si="15"/>
        <v>1304.875</v>
      </c>
      <c r="F184" s="264">
        <v>474.5</v>
      </c>
      <c r="G184" s="284">
        <f t="shared" si="13"/>
        <v>0</v>
      </c>
      <c r="I184" t="str">
        <f t="shared" si="14"/>
        <v>-</v>
      </c>
    </row>
    <row r="185" spans="1:9" s="142" customFormat="1" ht="18">
      <c r="A185" s="296">
        <v>3.7</v>
      </c>
      <c r="B185" s="295" t="s">
        <v>653</v>
      </c>
      <c r="C185" s="268" t="s">
        <v>724</v>
      </c>
      <c r="D185" s="283"/>
      <c r="E185" s="283">
        <f t="shared" si="15"/>
        <v>1716</v>
      </c>
      <c r="F185" s="264">
        <v>624</v>
      </c>
      <c r="G185" s="284">
        <f t="shared" si="13"/>
        <v>0</v>
      </c>
      <c r="I185" t="str">
        <f t="shared" si="14"/>
        <v>-</v>
      </c>
    </row>
    <row r="186" spans="1:9" s="142" customFormat="1" ht="47.25">
      <c r="A186" s="307">
        <v>3.8</v>
      </c>
      <c r="B186" s="298" t="s">
        <v>738</v>
      </c>
      <c r="C186" s="299" t="s">
        <v>724</v>
      </c>
      <c r="D186" s="283"/>
      <c r="E186" s="283">
        <f t="shared" si="15"/>
        <v>160.875</v>
      </c>
      <c r="F186" s="264">
        <v>58.5</v>
      </c>
      <c r="G186" s="284">
        <f t="shared" si="13"/>
        <v>0</v>
      </c>
      <c r="I186" t="str">
        <f t="shared" si="14"/>
        <v>-</v>
      </c>
    </row>
    <row r="187" spans="1:9" s="142" customFormat="1" ht="15.75">
      <c r="A187" s="300">
        <v>4</v>
      </c>
      <c r="B187" s="301" t="s">
        <v>739</v>
      </c>
      <c r="C187" s="308"/>
      <c r="D187" s="303"/>
      <c r="E187" s="283">
        <f t="shared" si="15"/>
        <v>0</v>
      </c>
      <c r="F187" s="303">
        <v>0</v>
      </c>
      <c r="G187" s="284">
        <f t="shared" si="13"/>
        <v>0</v>
      </c>
      <c r="I187" t="str">
        <f t="shared" si="14"/>
        <v>-</v>
      </c>
    </row>
    <row r="188" spans="1:9" s="142" customFormat="1" ht="18">
      <c r="A188" s="304">
        <v>4.0999999999999996</v>
      </c>
      <c r="B188" s="305" t="s">
        <v>646</v>
      </c>
      <c r="C188" s="306" t="s">
        <v>724</v>
      </c>
      <c r="D188" s="283"/>
      <c r="E188" s="283">
        <f t="shared" si="15"/>
        <v>2663.375</v>
      </c>
      <c r="F188" s="264">
        <v>968.5</v>
      </c>
      <c r="G188" s="284">
        <f t="shared" ref="G188:G206" si="16">D188*E188</f>
        <v>0</v>
      </c>
      <c r="I188" t="str">
        <f t="shared" ref="I188:I206" si="17">IF(D188=0,"-",1)</f>
        <v>-</v>
      </c>
    </row>
    <row r="189" spans="1:9" s="142" customFormat="1" ht="18">
      <c r="A189" s="296">
        <v>4.2</v>
      </c>
      <c r="B189" s="295" t="s">
        <v>648</v>
      </c>
      <c r="C189" s="268" t="s">
        <v>724</v>
      </c>
      <c r="D189" s="283"/>
      <c r="E189" s="283">
        <f t="shared" si="15"/>
        <v>2752.75</v>
      </c>
      <c r="F189" s="264">
        <v>1001</v>
      </c>
      <c r="G189" s="284">
        <f t="shared" si="16"/>
        <v>0</v>
      </c>
      <c r="I189" t="str">
        <f t="shared" si="17"/>
        <v>-</v>
      </c>
    </row>
    <row r="190" spans="1:9" s="142" customFormat="1" ht="18">
      <c r="A190" s="296">
        <v>4.3</v>
      </c>
      <c r="B190" s="295" t="s">
        <v>649</v>
      </c>
      <c r="C190" s="268" t="s">
        <v>724</v>
      </c>
      <c r="D190" s="283"/>
      <c r="E190" s="283">
        <f t="shared" si="15"/>
        <v>2949.375</v>
      </c>
      <c r="F190" s="264">
        <v>1072.5</v>
      </c>
      <c r="G190" s="284">
        <f t="shared" si="16"/>
        <v>0</v>
      </c>
      <c r="I190" t="str">
        <f t="shared" si="17"/>
        <v>-</v>
      </c>
    </row>
    <row r="191" spans="1:9" s="142" customFormat="1" ht="18">
      <c r="A191" s="296">
        <v>4.4000000000000004</v>
      </c>
      <c r="B191" s="295" t="s">
        <v>661</v>
      </c>
      <c r="C191" s="268" t="s">
        <v>724</v>
      </c>
      <c r="D191" s="283"/>
      <c r="E191" s="283">
        <f t="shared" si="15"/>
        <v>2913.625</v>
      </c>
      <c r="F191" s="264">
        <v>1059.5</v>
      </c>
      <c r="G191" s="284">
        <f t="shared" si="16"/>
        <v>0</v>
      </c>
      <c r="I191" t="str">
        <f t="shared" si="17"/>
        <v>-</v>
      </c>
    </row>
    <row r="192" spans="1:9" s="142" customFormat="1" ht="18">
      <c r="A192" s="296">
        <v>4.5</v>
      </c>
      <c r="B192" s="295" t="s">
        <v>664</v>
      </c>
      <c r="C192" s="268" t="s">
        <v>724</v>
      </c>
      <c r="D192" s="283"/>
      <c r="E192" s="283">
        <f t="shared" si="15"/>
        <v>3163.875</v>
      </c>
      <c r="F192" s="264">
        <v>1150.5</v>
      </c>
      <c r="G192" s="284">
        <f t="shared" si="16"/>
        <v>0</v>
      </c>
      <c r="I192" t="str">
        <f t="shared" si="17"/>
        <v>-</v>
      </c>
    </row>
    <row r="193" spans="1:9" s="142" customFormat="1" ht="18">
      <c r="A193" s="296">
        <v>4.5999999999999996</v>
      </c>
      <c r="B193" s="295" t="s">
        <v>652</v>
      </c>
      <c r="C193" s="268" t="s">
        <v>724</v>
      </c>
      <c r="D193" s="283"/>
      <c r="E193" s="283">
        <f t="shared" si="15"/>
        <v>2913.625</v>
      </c>
      <c r="F193" s="264">
        <v>1059.5</v>
      </c>
      <c r="G193" s="284">
        <f t="shared" si="16"/>
        <v>0</v>
      </c>
      <c r="I193" t="str">
        <f t="shared" si="17"/>
        <v>-</v>
      </c>
    </row>
    <row r="194" spans="1:9" s="142" customFormat="1" ht="18">
      <c r="A194" s="296">
        <v>4.7</v>
      </c>
      <c r="B194" s="295" t="s">
        <v>653</v>
      </c>
      <c r="C194" s="268" t="s">
        <v>724</v>
      </c>
      <c r="D194" s="283"/>
      <c r="E194" s="283">
        <f t="shared" si="15"/>
        <v>3163.875</v>
      </c>
      <c r="F194" s="264">
        <v>1150.5</v>
      </c>
      <c r="G194" s="284">
        <f t="shared" si="16"/>
        <v>0</v>
      </c>
      <c r="I194" t="str">
        <f t="shared" si="17"/>
        <v>-</v>
      </c>
    </row>
    <row r="195" spans="1:9" s="142" customFormat="1" ht="47.25">
      <c r="A195" s="309">
        <v>4.8</v>
      </c>
      <c r="B195" s="310" t="s">
        <v>662</v>
      </c>
      <c r="C195" s="271" t="s">
        <v>724</v>
      </c>
      <c r="D195" s="283"/>
      <c r="E195" s="283">
        <f t="shared" si="15"/>
        <v>143</v>
      </c>
      <c r="F195" s="264">
        <v>52</v>
      </c>
      <c r="G195" s="284">
        <f t="shared" si="16"/>
        <v>0</v>
      </c>
      <c r="I195" t="str">
        <f t="shared" si="17"/>
        <v>-</v>
      </c>
    </row>
    <row r="196" spans="1:9" s="142" customFormat="1" ht="15.75">
      <c r="A196" s="300">
        <v>5</v>
      </c>
      <c r="B196" s="301" t="s">
        <v>740</v>
      </c>
      <c r="C196" s="308"/>
      <c r="D196" s="303"/>
      <c r="E196" s="283">
        <f t="shared" si="15"/>
        <v>0</v>
      </c>
      <c r="F196" s="303">
        <v>0</v>
      </c>
      <c r="G196" s="284">
        <f t="shared" si="16"/>
        <v>0</v>
      </c>
      <c r="I196" t="str">
        <f t="shared" si="17"/>
        <v>-</v>
      </c>
    </row>
    <row r="197" spans="1:9" s="142" customFormat="1" ht="18">
      <c r="A197" s="304">
        <v>5.0999999999999996</v>
      </c>
      <c r="B197" s="305" t="s">
        <v>646</v>
      </c>
      <c r="C197" s="306" t="s">
        <v>724</v>
      </c>
      <c r="D197" s="283"/>
      <c r="E197" s="283">
        <f t="shared" si="15"/>
        <v>1340.625</v>
      </c>
      <c r="F197" s="264">
        <v>487.5</v>
      </c>
      <c r="G197" s="284">
        <f t="shared" si="16"/>
        <v>0</v>
      </c>
      <c r="I197" t="str">
        <f t="shared" si="17"/>
        <v>-</v>
      </c>
    </row>
    <row r="198" spans="1:9" s="142" customFormat="1" ht="18">
      <c r="A198" s="296">
        <v>5.2</v>
      </c>
      <c r="B198" s="295" t="s">
        <v>648</v>
      </c>
      <c r="C198" s="268" t="s">
        <v>724</v>
      </c>
      <c r="D198" s="283"/>
      <c r="E198" s="283">
        <f t="shared" si="15"/>
        <v>1430</v>
      </c>
      <c r="F198" s="264">
        <v>520</v>
      </c>
      <c r="G198" s="284">
        <f t="shared" si="16"/>
        <v>0</v>
      </c>
      <c r="I198" t="str">
        <f t="shared" si="17"/>
        <v>-</v>
      </c>
    </row>
    <row r="199" spans="1:9" s="142" customFormat="1" ht="18">
      <c r="A199" s="296">
        <v>5.3</v>
      </c>
      <c r="B199" s="295" t="s">
        <v>649</v>
      </c>
      <c r="C199" s="268" t="s">
        <v>724</v>
      </c>
      <c r="D199" s="283"/>
      <c r="E199" s="283">
        <f t="shared" si="15"/>
        <v>1590.875</v>
      </c>
      <c r="F199" s="264">
        <v>578.5</v>
      </c>
      <c r="G199" s="284">
        <f t="shared" si="16"/>
        <v>0</v>
      </c>
      <c r="I199" t="str">
        <f t="shared" si="17"/>
        <v>-</v>
      </c>
    </row>
    <row r="200" spans="1:9" s="142" customFormat="1" ht="18">
      <c r="A200" s="296">
        <v>5.4</v>
      </c>
      <c r="B200" s="295" t="s">
        <v>661</v>
      </c>
      <c r="C200" s="268" t="s">
        <v>724</v>
      </c>
      <c r="D200" s="283"/>
      <c r="E200" s="283">
        <f t="shared" si="15"/>
        <v>1608.75</v>
      </c>
      <c r="F200" s="264">
        <v>585</v>
      </c>
      <c r="G200" s="284">
        <f t="shared" si="16"/>
        <v>0</v>
      </c>
      <c r="I200" t="str">
        <f t="shared" si="17"/>
        <v>-</v>
      </c>
    </row>
    <row r="201" spans="1:9" s="142" customFormat="1" ht="18">
      <c r="A201" s="296">
        <v>5.5</v>
      </c>
      <c r="B201" s="295" t="s">
        <v>664</v>
      </c>
      <c r="C201" s="268" t="s">
        <v>724</v>
      </c>
      <c r="D201" s="283"/>
      <c r="E201" s="283">
        <f t="shared" si="15"/>
        <v>2002</v>
      </c>
      <c r="F201" s="264">
        <v>728</v>
      </c>
      <c r="G201" s="284">
        <f t="shared" si="16"/>
        <v>0</v>
      </c>
      <c r="I201" t="str">
        <f t="shared" si="17"/>
        <v>-</v>
      </c>
    </row>
    <row r="202" spans="1:9" s="142" customFormat="1" ht="18">
      <c r="A202" s="296">
        <v>5.6</v>
      </c>
      <c r="B202" s="295" t="s">
        <v>652</v>
      </c>
      <c r="C202" s="268" t="s">
        <v>724</v>
      </c>
      <c r="D202" s="283"/>
      <c r="E202" s="283">
        <f t="shared" si="15"/>
        <v>1608.75</v>
      </c>
      <c r="F202" s="264">
        <v>585</v>
      </c>
      <c r="G202" s="284">
        <f t="shared" si="16"/>
        <v>0</v>
      </c>
      <c r="I202" t="str">
        <f t="shared" si="17"/>
        <v>-</v>
      </c>
    </row>
    <row r="203" spans="1:9" s="142" customFormat="1" ht="18">
      <c r="A203" s="296">
        <v>5.7</v>
      </c>
      <c r="B203" s="295" t="s">
        <v>653</v>
      </c>
      <c r="C203" s="268" t="s">
        <v>724</v>
      </c>
      <c r="D203" s="283"/>
      <c r="E203" s="283">
        <f t="shared" si="15"/>
        <v>2002</v>
      </c>
      <c r="F203" s="264">
        <v>728</v>
      </c>
      <c r="G203" s="284">
        <f t="shared" si="16"/>
        <v>0</v>
      </c>
      <c r="I203" t="str">
        <f t="shared" si="17"/>
        <v>-</v>
      </c>
    </row>
    <row r="204" spans="1:9" s="142" customFormat="1" ht="31.5">
      <c r="A204" s="296">
        <v>5.8</v>
      </c>
      <c r="B204" s="295" t="s">
        <v>666</v>
      </c>
      <c r="C204" s="268" t="s">
        <v>724</v>
      </c>
      <c r="D204" s="283"/>
      <c r="E204" s="283">
        <f t="shared" si="15"/>
        <v>143</v>
      </c>
      <c r="F204" s="264">
        <v>52</v>
      </c>
      <c r="G204" s="284">
        <f t="shared" si="16"/>
        <v>0</v>
      </c>
      <c r="I204" t="str">
        <f t="shared" si="17"/>
        <v>-</v>
      </c>
    </row>
    <row r="205" spans="1:9" s="142" customFormat="1" ht="18">
      <c r="A205" s="296">
        <v>6</v>
      </c>
      <c r="B205" s="311" t="s">
        <v>741</v>
      </c>
      <c r="C205" s="268" t="s">
        <v>724</v>
      </c>
      <c r="D205" s="283"/>
      <c r="E205" s="283">
        <f t="shared" si="15"/>
        <v>554.125</v>
      </c>
      <c r="F205" s="264">
        <v>201.5</v>
      </c>
      <c r="G205" s="284">
        <f t="shared" si="16"/>
        <v>0</v>
      </c>
      <c r="I205" t="str">
        <f t="shared" si="17"/>
        <v>-</v>
      </c>
    </row>
    <row r="206" spans="1:9" s="142" customFormat="1" ht="18">
      <c r="A206" s="307">
        <v>7</v>
      </c>
      <c r="B206" s="295" t="s">
        <v>669</v>
      </c>
      <c r="C206" s="268" t="s">
        <v>724</v>
      </c>
      <c r="D206" s="283"/>
      <c r="E206" s="283">
        <f t="shared" si="15"/>
        <v>1430</v>
      </c>
      <c r="F206" s="264">
        <v>520</v>
      </c>
      <c r="G206" s="284">
        <f t="shared" si="16"/>
        <v>0</v>
      </c>
      <c r="I206" t="str">
        <f t="shared" si="17"/>
        <v>-</v>
      </c>
    </row>
    <row r="207" spans="1:9" ht="15.75">
      <c r="A207" s="228"/>
      <c r="B207" s="520" t="s">
        <v>742</v>
      </c>
      <c r="C207" s="520"/>
      <c r="D207" s="520"/>
      <c r="E207" s="312"/>
      <c r="F207" s="313"/>
      <c r="G207" s="314">
        <f>SUM(G156:G206)+G152</f>
        <v>0</v>
      </c>
    </row>
  </sheetData>
  <protectedRanges>
    <protectedRange sqref="F162:F164" name="Range6"/>
    <protectedRange sqref="F55:F57 D4:E57 E59:E75 D65:D68 D70:D75 D69 D59:D62 D63" name="Range1"/>
    <protectedRange sqref="E83:E144 D83:D92" name="Range3"/>
    <protectedRange sqref="F138:F139 F93 F104 F115 D93:D144" name="Range5"/>
    <protectedRange sqref="D149:E151" name="Range11"/>
    <protectedRange sqref="F174 F178 F187 F196 D156:E206" name="Range12"/>
  </protectedRanges>
  <mergeCells count="9">
    <mergeCell ref="A138:B138"/>
    <mergeCell ref="B145:D145"/>
    <mergeCell ref="A153:B153"/>
    <mergeCell ref="B207:D207"/>
    <mergeCell ref="B78:D78"/>
    <mergeCell ref="A93:B93"/>
    <mergeCell ref="A104:B104"/>
    <mergeCell ref="A115:B115"/>
    <mergeCell ref="A126:B126"/>
  </mergeCells>
  <dataValidations count="1">
    <dataValidation type="list" allowBlank="1" showInputMessage="1" showErrorMessage="1" sqref="C115">
      <formula1>"0,3,5,7,10,20,30,50"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V65"/>
  <sheetViews>
    <sheetView view="pageBreakPreview" topLeftCell="A31" zoomScaleNormal="100" workbookViewId="0">
      <selection activeCell="N41" sqref="N41"/>
    </sheetView>
  </sheetViews>
  <sheetFormatPr defaultColWidth="9.140625" defaultRowHeight="15.75"/>
  <cols>
    <col min="1" max="1" width="4.28515625" style="8" customWidth="1"/>
    <col min="2" max="3" width="6.42578125" style="8" customWidth="1"/>
    <col min="4" max="4" width="15.28515625" style="8" customWidth="1"/>
    <col min="5" max="5" width="20.42578125" style="8" customWidth="1"/>
    <col min="6" max="6" width="19.5703125" style="8" customWidth="1"/>
    <col min="7" max="7" width="14.140625" style="8" customWidth="1"/>
    <col min="8" max="8" width="6.42578125" style="8" customWidth="1"/>
    <col min="9" max="9" width="22.7109375" style="8" customWidth="1"/>
    <col min="10" max="10" width="5.85546875" style="8" customWidth="1"/>
    <col min="11" max="11" width="11" style="8" customWidth="1"/>
    <col min="12" max="12" width="16.28515625" style="8" customWidth="1"/>
    <col min="13" max="13" width="16.5703125" style="8" customWidth="1"/>
    <col min="14" max="14" width="17.7109375" style="8" customWidth="1"/>
    <col min="15" max="15" width="18.28515625" style="8" customWidth="1"/>
    <col min="16" max="16" width="9.140625" style="8"/>
    <col min="17" max="17" width="18.7109375" style="8" customWidth="1"/>
    <col min="18" max="18" width="9.7109375" style="8" customWidth="1"/>
    <col min="19" max="16384" width="9.140625" style="8"/>
  </cols>
  <sheetData>
    <row r="1" spans="1:12" ht="24.95" customHeight="1">
      <c r="A1" s="532" t="s">
        <v>743</v>
      </c>
      <c r="B1" s="532"/>
      <c r="C1" s="532"/>
      <c r="D1" s="532"/>
      <c r="E1" s="532"/>
      <c r="F1" s="532"/>
      <c r="G1" s="532"/>
      <c r="H1" s="532"/>
      <c r="I1" s="532"/>
      <c r="J1" s="532"/>
      <c r="K1" s="532"/>
      <c r="L1" s="532"/>
    </row>
    <row r="2" spans="1:12" ht="24.95" customHeight="1">
      <c r="A2" s="532" t="s">
        <v>744</v>
      </c>
      <c r="B2" s="532"/>
      <c r="C2" s="532"/>
      <c r="D2" s="532"/>
      <c r="E2" s="532"/>
      <c r="F2" s="532"/>
      <c r="G2" s="532"/>
      <c r="H2" s="532"/>
      <c r="I2" s="532"/>
      <c r="J2" s="532"/>
      <c r="K2" s="532"/>
      <c r="L2" s="532"/>
    </row>
    <row r="3" spans="1:12" ht="24.95" customHeight="1">
      <c r="A3" s="532" t="s">
        <v>745</v>
      </c>
      <c r="B3" s="532"/>
      <c r="C3" s="532"/>
      <c r="D3" s="532"/>
      <c r="E3" s="532"/>
      <c r="F3" s="532"/>
      <c r="G3" s="532"/>
      <c r="H3" s="532"/>
      <c r="I3" s="532"/>
      <c r="J3" s="532"/>
      <c r="K3" s="532"/>
      <c r="L3" s="532"/>
    </row>
    <row r="4" spans="1:12" ht="24.95" customHeight="1">
      <c r="A4" s="98"/>
      <c r="B4" s="98"/>
      <c r="C4" s="98"/>
      <c r="D4" s="98"/>
      <c r="E4" s="98"/>
      <c r="F4" s="98"/>
      <c r="G4" s="98"/>
      <c r="H4" s="98"/>
      <c r="I4" s="99" t="s">
        <v>746</v>
      </c>
      <c r="J4" s="544"/>
      <c r="K4" s="544"/>
      <c r="L4" s="544"/>
    </row>
    <row r="5" spans="1:12" ht="24.95" customHeight="1">
      <c r="A5" s="101"/>
      <c r="B5" s="87"/>
      <c r="C5" s="87"/>
      <c r="D5" s="87"/>
      <c r="E5" s="87"/>
      <c r="F5" s="87"/>
      <c r="G5" s="87"/>
      <c r="H5" s="87"/>
      <c r="I5" s="99" t="s">
        <v>747</v>
      </c>
      <c r="J5" s="102" t="s">
        <v>748</v>
      </c>
      <c r="K5" s="103"/>
      <c r="L5" s="104"/>
    </row>
    <row r="6" spans="1:12" ht="24.95" customHeight="1">
      <c r="A6" s="101">
        <v>1</v>
      </c>
      <c r="B6" s="101" t="s">
        <v>749</v>
      </c>
      <c r="F6" s="105" t="s">
        <v>750</v>
      </c>
      <c r="G6" s="106"/>
      <c r="H6" s="106"/>
    </row>
    <row r="7" spans="1:12" ht="24.95" customHeight="1">
      <c r="A7" s="101"/>
      <c r="B7" s="8" t="s">
        <v>751</v>
      </c>
      <c r="D7" s="107"/>
      <c r="E7" s="8" t="s">
        <v>752</v>
      </c>
      <c r="F7" s="8" t="s">
        <v>753</v>
      </c>
      <c r="G7" s="8" t="s">
        <v>754</v>
      </c>
      <c r="H7" s="108"/>
      <c r="I7" s="8" t="s">
        <v>755</v>
      </c>
    </row>
    <row r="8" spans="1:12" ht="24.95" customHeight="1">
      <c r="A8" s="101"/>
      <c r="B8" s="8" t="s">
        <v>756</v>
      </c>
    </row>
    <row r="9" spans="1:12" ht="24.95" customHeight="1">
      <c r="A9" s="101">
        <v>2</v>
      </c>
      <c r="B9" s="101" t="s">
        <v>757</v>
      </c>
      <c r="D9" s="109" t="s">
        <v>758</v>
      </c>
      <c r="E9" s="104"/>
      <c r="G9" s="8" t="s">
        <v>759</v>
      </c>
      <c r="I9" s="545" t="s">
        <v>760</v>
      </c>
      <c r="J9" s="546"/>
      <c r="K9" s="546"/>
      <c r="L9" s="546"/>
    </row>
    <row r="10" spans="1:12" ht="38.25" customHeight="1">
      <c r="A10" s="101"/>
      <c r="B10" s="8" t="s">
        <v>761</v>
      </c>
      <c r="D10" s="110" t="s">
        <v>110</v>
      </c>
      <c r="E10" s="8" t="s">
        <v>762</v>
      </c>
      <c r="F10" s="100"/>
      <c r="G10" s="8" t="s">
        <v>603</v>
      </c>
      <c r="H10" s="111"/>
      <c r="J10" s="99" t="s">
        <v>763</v>
      </c>
      <c r="K10" s="112"/>
    </row>
    <row r="11" spans="1:12" ht="32.25" customHeight="1">
      <c r="A11" s="101"/>
      <c r="B11" s="539" t="s">
        <v>764</v>
      </c>
      <c r="C11" s="539"/>
      <c r="D11" s="540">
        <v>331.7</v>
      </c>
      <c r="E11" s="540"/>
      <c r="F11" s="8" t="s">
        <v>765</v>
      </c>
      <c r="G11" s="113" t="s">
        <v>766</v>
      </c>
      <c r="H11" s="8" t="s">
        <v>753</v>
      </c>
      <c r="K11" s="8" t="s">
        <v>767</v>
      </c>
    </row>
    <row r="12" spans="1:12" ht="24.95" customHeight="1">
      <c r="A12" s="101"/>
      <c r="B12" s="8" t="s">
        <v>768</v>
      </c>
      <c r="D12" s="114"/>
      <c r="E12" s="104"/>
      <c r="F12" s="104"/>
      <c r="G12" s="104"/>
      <c r="H12" s="104"/>
      <c r="J12"/>
      <c r="K12" s="8" t="s">
        <v>769</v>
      </c>
    </row>
    <row r="13" spans="1:12" ht="24.95" customHeight="1">
      <c r="A13" s="101"/>
      <c r="B13" s="8" t="s">
        <v>770</v>
      </c>
      <c r="F13" s="8" t="s">
        <v>771</v>
      </c>
      <c r="J13"/>
      <c r="K13" s="8" t="s">
        <v>772</v>
      </c>
    </row>
    <row r="14" spans="1:12" ht="24.95" customHeight="1">
      <c r="A14" s="101">
        <v>3</v>
      </c>
      <c r="B14" s="8" t="s">
        <v>773</v>
      </c>
    </row>
    <row r="15" spans="1:12" ht="24.95" customHeight="1">
      <c r="A15" s="101"/>
      <c r="E15" s="8" t="s">
        <v>774</v>
      </c>
    </row>
    <row r="16" spans="1:12" ht="24.95" customHeight="1">
      <c r="A16" s="101">
        <v>4</v>
      </c>
      <c r="B16" s="101" t="s">
        <v>775</v>
      </c>
    </row>
    <row r="17" spans="1:13" ht="24.95" customHeight="1">
      <c r="A17" s="101"/>
      <c r="B17" s="8" t="s">
        <v>776</v>
      </c>
      <c r="E17" s="16"/>
      <c r="F17" s="8" t="s">
        <v>777</v>
      </c>
      <c r="I17" s="8" t="s">
        <v>778</v>
      </c>
      <c r="L17" s="8" t="s">
        <v>779</v>
      </c>
    </row>
    <row r="18" spans="1:13" ht="24.95" customHeight="1">
      <c r="A18" s="101"/>
      <c r="B18" s="8" t="s">
        <v>780</v>
      </c>
      <c r="E18" s="115" t="s">
        <v>781</v>
      </c>
      <c r="F18" s="115"/>
      <c r="G18" s="116"/>
    </row>
    <row r="19" spans="1:13" ht="24.95" customHeight="1">
      <c r="A19" s="101"/>
      <c r="B19" s="8" t="s">
        <v>782</v>
      </c>
      <c r="G19" s="115" t="s">
        <v>783</v>
      </c>
      <c r="H19" s="115"/>
      <c r="I19" s="115"/>
    </row>
    <row r="20" spans="1:13" ht="24.95" customHeight="1">
      <c r="A20" s="101"/>
      <c r="B20" s="8" t="s">
        <v>784</v>
      </c>
      <c r="F20" s="115"/>
      <c r="G20" s="115" t="s">
        <v>785</v>
      </c>
    </row>
    <row r="21" spans="1:13" ht="24.95" customHeight="1">
      <c r="A21" s="101"/>
      <c r="B21" s="8" t="s">
        <v>786</v>
      </c>
      <c r="F21" s="115"/>
      <c r="G21" s="115" t="s">
        <v>787</v>
      </c>
    </row>
    <row r="22" spans="1:13" ht="24.95" customHeight="1">
      <c r="A22" s="101"/>
      <c r="B22" s="8" t="s">
        <v>788</v>
      </c>
      <c r="F22" s="115"/>
      <c r="G22" s="115" t="s">
        <v>789</v>
      </c>
    </row>
    <row r="23" spans="1:13" ht="24.95" customHeight="1">
      <c r="A23" s="101"/>
      <c r="B23" s="8" t="s">
        <v>790</v>
      </c>
      <c r="E23" s="115" t="s">
        <v>791</v>
      </c>
      <c r="F23" s="115"/>
      <c r="G23" s="116"/>
    </row>
    <row r="24" spans="1:13" ht="36" customHeight="1">
      <c r="A24" s="101">
        <v>5</v>
      </c>
      <c r="B24" s="541" t="s">
        <v>792</v>
      </c>
      <c r="C24" s="541"/>
      <c r="D24" s="541"/>
      <c r="E24" s="541"/>
      <c r="F24" s="541"/>
      <c r="G24" s="541"/>
      <c r="H24" s="542" t="s">
        <v>793</v>
      </c>
      <c r="I24" s="543"/>
      <c r="J24" s="8" t="s">
        <v>794</v>
      </c>
      <c r="K24" s="544"/>
      <c r="L24" s="544"/>
    </row>
    <row r="25" spans="1:13" ht="24.95" customHeight="1">
      <c r="A25" s="101"/>
      <c r="B25" s="8" t="s">
        <v>795</v>
      </c>
    </row>
    <row r="26" spans="1:13" ht="37.5" customHeight="1">
      <c r="A26" s="101" t="s">
        <v>796</v>
      </c>
      <c r="B26" s="537" t="s">
        <v>797</v>
      </c>
      <c r="C26" s="537"/>
      <c r="D26" s="537"/>
      <c r="E26" s="8" t="s">
        <v>798</v>
      </c>
      <c r="F26" s="118"/>
      <c r="G26" s="8" t="s">
        <v>799</v>
      </c>
      <c r="I26" s="118"/>
      <c r="J26" s="8" t="s">
        <v>493</v>
      </c>
      <c r="K26" s="538">
        <f>area!C2</f>
        <v>61.363999999999997</v>
      </c>
      <c r="L26" s="538"/>
      <c r="M26" s="119"/>
    </row>
    <row r="27" spans="1:13" ht="24.95" customHeight="1">
      <c r="A27" s="101" t="s">
        <v>800</v>
      </c>
      <c r="B27" s="537" t="s">
        <v>801</v>
      </c>
      <c r="C27" s="537"/>
      <c r="D27" s="537"/>
      <c r="E27" s="8" t="s">
        <v>798</v>
      </c>
      <c r="F27" s="120"/>
      <c r="G27" s="8" t="s">
        <v>799</v>
      </c>
      <c r="I27" s="121"/>
      <c r="J27" s="8" t="s">
        <v>493</v>
      </c>
      <c r="K27" s="538">
        <f>area!C21</f>
        <v>0</v>
      </c>
      <c r="L27" s="538"/>
    </row>
    <row r="28" spans="1:13" ht="24.95" customHeight="1">
      <c r="A28" s="101" t="s">
        <v>802</v>
      </c>
      <c r="B28" s="537" t="s">
        <v>803</v>
      </c>
      <c r="C28" s="537"/>
      <c r="D28" s="537"/>
      <c r="E28" s="8" t="s">
        <v>798</v>
      </c>
      <c r="F28" s="120"/>
      <c r="G28" s="8" t="s">
        <v>799</v>
      </c>
      <c r="I28" s="121"/>
      <c r="J28" s="8" t="s">
        <v>493</v>
      </c>
      <c r="K28" s="538">
        <f>area!A23</f>
        <v>0</v>
      </c>
      <c r="L28" s="538"/>
    </row>
    <row r="29" spans="1:13" ht="24.95" customHeight="1">
      <c r="A29" s="101"/>
      <c r="B29" s="8" t="s">
        <v>804</v>
      </c>
      <c r="D29" s="87"/>
      <c r="E29" s="536" t="s">
        <v>805</v>
      </c>
      <c r="F29" s="536"/>
      <c r="G29" s="536"/>
      <c r="H29" s="536"/>
      <c r="I29" s="87"/>
      <c r="J29" s="87"/>
      <c r="K29" s="87"/>
      <c r="L29" s="87"/>
    </row>
    <row r="30" spans="1:13" ht="24.95" customHeight="1">
      <c r="A30" s="101"/>
      <c r="B30" s="8" t="s">
        <v>806</v>
      </c>
      <c r="E30" s="536" t="s">
        <v>807</v>
      </c>
      <c r="F30" s="536"/>
      <c r="G30" s="536"/>
      <c r="H30" s="536"/>
    </row>
    <row r="31" spans="1:13" ht="24.95" customHeight="1">
      <c r="A31" s="101"/>
      <c r="B31" s="8" t="s">
        <v>808</v>
      </c>
      <c r="E31" s="536" t="s">
        <v>809</v>
      </c>
      <c r="F31" s="536"/>
      <c r="G31" s="536"/>
      <c r="H31" s="536"/>
    </row>
    <row r="32" spans="1:13" ht="24.95" customHeight="1">
      <c r="A32" s="101"/>
      <c r="B32" s="8" t="s">
        <v>810</v>
      </c>
      <c r="E32" s="536" t="s">
        <v>811</v>
      </c>
      <c r="F32" s="536"/>
      <c r="G32" s="536"/>
      <c r="H32" s="536"/>
    </row>
    <row r="33" spans="1:22" ht="24.95" customHeight="1">
      <c r="A33" s="101"/>
      <c r="B33" s="8" t="s">
        <v>812</v>
      </c>
      <c r="E33" s="536" t="s">
        <v>813</v>
      </c>
      <c r="F33" s="536"/>
      <c r="G33" s="536"/>
      <c r="H33" s="536"/>
      <c r="I33" s="536"/>
      <c r="J33" s="536"/>
    </row>
    <row r="34" spans="1:22" ht="24.95" customHeight="1">
      <c r="A34" s="101"/>
      <c r="B34" s="8" t="s">
        <v>814</v>
      </c>
      <c r="M34" s="25">
        <f>80.67*18928</f>
        <v>1526921.76</v>
      </c>
    </row>
    <row r="35" spans="1:22" ht="24.95" customHeight="1">
      <c r="A35" s="101">
        <v>6</v>
      </c>
      <c r="B35" s="532" t="s">
        <v>815</v>
      </c>
      <c r="C35" s="532"/>
      <c r="D35" s="532"/>
      <c r="E35" s="532"/>
      <c r="F35" s="532"/>
      <c r="G35" s="116" t="s">
        <v>816</v>
      </c>
    </row>
    <row r="36" spans="1:22" ht="24.95" customHeight="1">
      <c r="A36" s="101"/>
      <c r="F36" s="8" t="s">
        <v>817</v>
      </c>
      <c r="H36" s="8" t="str">
        <f>I9</f>
        <v>28926/18</v>
      </c>
      <c r="Q36" s="36"/>
    </row>
    <row r="37" spans="1:22" ht="24.95" customHeight="1">
      <c r="A37" s="101">
        <v>7</v>
      </c>
      <c r="B37" s="8" t="s">
        <v>818</v>
      </c>
    </row>
    <row r="38" spans="1:22" ht="61.5" customHeight="1">
      <c r="A38" s="8" t="s">
        <v>819</v>
      </c>
      <c r="B38" s="122" t="s">
        <v>820</v>
      </c>
      <c r="C38" s="123"/>
      <c r="D38" s="123"/>
      <c r="E38" s="533"/>
      <c r="F38" s="533"/>
      <c r="G38" s="533"/>
      <c r="H38" s="533"/>
      <c r="I38" s="99" t="s">
        <v>616</v>
      </c>
      <c r="J38" s="531">
        <f>Location!F51</f>
        <v>1853192.8</v>
      </c>
      <c r="K38" s="531"/>
      <c r="L38" s="531"/>
      <c r="M38" s="124"/>
      <c r="N38" s="534" t="s">
        <v>821</v>
      </c>
      <c r="O38" s="534"/>
      <c r="P38" s="534"/>
      <c r="Q38" s="534"/>
      <c r="V38" s="43"/>
    </row>
    <row r="39" spans="1:22" ht="24.95" customHeight="1">
      <c r="A39" s="8" t="s">
        <v>800</v>
      </c>
      <c r="B39" s="125" t="str">
        <f>'[1]Location '!C125</f>
        <v>Internal Structure</v>
      </c>
      <c r="D39" s="126"/>
      <c r="E39" s="535"/>
      <c r="F39" s="535"/>
      <c r="G39" s="127"/>
      <c r="H39" s="128"/>
      <c r="I39" s="99" t="s">
        <v>616</v>
      </c>
      <c r="J39" s="531">
        <f>Location!D76</f>
        <v>0</v>
      </c>
      <c r="K39" s="531"/>
      <c r="L39" s="531"/>
      <c r="N39" s="36"/>
    </row>
    <row r="40" spans="1:22" ht="24.95" customHeight="1">
      <c r="A40" s="8" t="s">
        <v>802</v>
      </c>
      <c r="B40" s="125" t="str">
        <f>'[1]Location '!C126</f>
        <v>External Elecrical &amp; Sanitary Works</v>
      </c>
      <c r="D40" s="126"/>
      <c r="E40" s="101"/>
      <c r="F40" s="129"/>
      <c r="G40" s="127"/>
      <c r="H40" s="128"/>
      <c r="I40" s="99" t="s">
        <v>616</v>
      </c>
      <c r="J40" s="531">
        <f>Location!D77</f>
        <v>130801.296222912</v>
      </c>
      <c r="K40" s="531"/>
      <c r="L40" s="531"/>
      <c r="O40" s="25">
        <f>410.69*18928</f>
        <v>7773540.3200000003</v>
      </c>
      <c r="P40" s="36"/>
    </row>
    <row r="41" spans="1:22" ht="24.95" customHeight="1">
      <c r="A41" s="8" t="s">
        <v>822</v>
      </c>
      <c r="B41" s="125" t="str">
        <f>'[1]Location '!C127</f>
        <v>Fence &amp; compound =</v>
      </c>
      <c r="C41" s="130"/>
      <c r="D41" s="130"/>
      <c r="E41" s="130"/>
      <c r="I41" s="99" t="s">
        <v>616</v>
      </c>
      <c r="J41" s="531">
        <f>Location!D78</f>
        <v>0</v>
      </c>
      <c r="K41" s="531"/>
      <c r="L41" s="531"/>
      <c r="M41" s="25"/>
      <c r="N41" s="25"/>
      <c r="O41" s="25"/>
      <c r="P41" s="25"/>
    </row>
    <row r="42" spans="1:22" ht="24.95" customHeight="1">
      <c r="A42" s="8" t="s">
        <v>823</v>
      </c>
      <c r="B42" s="125" t="str">
        <f>'[1]Location '!C128</f>
        <v>Consultancy Service</v>
      </c>
      <c r="C42" s="131"/>
      <c r="D42" s="131"/>
      <c r="E42" s="131"/>
      <c r="I42" s="99" t="s">
        <v>616</v>
      </c>
      <c r="J42" s="531">
        <f>Location!D79</f>
        <v>29015.913657260087</v>
      </c>
      <c r="K42" s="531"/>
      <c r="L42" s="531"/>
    </row>
    <row r="43" spans="1:22" ht="24.95" customHeight="1">
      <c r="A43" s="8" t="s">
        <v>824</v>
      </c>
      <c r="B43" s="125" t="str">
        <f>'[1]Location '!C129</f>
        <v>Location Value</v>
      </c>
      <c r="C43" s="131"/>
      <c r="D43" s="131"/>
      <c r="E43" s="132"/>
      <c r="F43" s="528"/>
      <c r="G43" s="528"/>
      <c r="I43" s="99" t="s">
        <v>616</v>
      </c>
      <c r="J43" s="531">
        <f>Location!D80</f>
        <v>812668</v>
      </c>
      <c r="K43" s="531"/>
      <c r="L43" s="531"/>
      <c r="M43" s="36">
        <f>J43/D11</f>
        <v>2450.0090443171498</v>
      </c>
      <c r="N43" s="36"/>
      <c r="Q43" s="36"/>
    </row>
    <row r="44" spans="1:22" ht="24.95" customHeight="1">
      <c r="A44" s="101"/>
      <c r="H44" s="526" t="s">
        <v>825</v>
      </c>
      <c r="I44" s="526"/>
      <c r="J44" s="527">
        <f>J38+J39+J40+J41+J42+J43</f>
        <v>2825678.0098801721</v>
      </c>
      <c r="K44" s="527"/>
      <c r="L44" s="527"/>
      <c r="M44" s="528">
        <f>2739.2*394.5</f>
        <v>1080614.3999999999</v>
      </c>
      <c r="N44" s="528"/>
    </row>
    <row r="45" spans="1:22" ht="24.95" customHeight="1">
      <c r="A45" s="101"/>
      <c r="B45" s="8" t="s">
        <v>826</v>
      </c>
      <c r="G45" s="133" t="s">
        <v>827</v>
      </c>
      <c r="M45" s="529">
        <f>93.57*48900*1.2*0.9</f>
        <v>4941618.84</v>
      </c>
      <c r="N45" s="529"/>
      <c r="O45" s="529"/>
      <c r="P45" s="529"/>
    </row>
    <row r="46" spans="1:22" ht="24.95" customHeight="1">
      <c r="A46" s="101"/>
      <c r="B46" s="8" t="s">
        <v>828</v>
      </c>
      <c r="O46" s="25"/>
    </row>
    <row r="47" spans="1:22" ht="24.95" customHeight="1">
      <c r="A47" s="101"/>
      <c r="B47" s="8" t="s">
        <v>829</v>
      </c>
    </row>
    <row r="48" spans="1:22" ht="24.95" customHeight="1">
      <c r="A48" s="101"/>
      <c r="B48" s="8" t="s">
        <v>830</v>
      </c>
      <c r="E48" s="8" t="s">
        <v>544</v>
      </c>
      <c r="H48" s="8" t="s">
        <v>831</v>
      </c>
    </row>
    <row r="49" spans="1:13" ht="24.95" customHeight="1">
      <c r="A49" s="101"/>
      <c r="B49" s="134"/>
      <c r="C49" s="135"/>
      <c r="D49" s="135"/>
      <c r="E49" s="135"/>
      <c r="F49" s="135"/>
      <c r="G49" s="136"/>
      <c r="H49" s="136"/>
      <c r="I49" s="136"/>
      <c r="J49" s="136"/>
      <c r="K49" s="136"/>
      <c r="L49" s="136"/>
    </row>
    <row r="50" spans="1:13" ht="24.95" customHeight="1">
      <c r="A50" s="101"/>
      <c r="B50" s="137"/>
      <c r="C50" s="137"/>
      <c r="D50" s="137"/>
      <c r="E50" s="137"/>
      <c r="F50" s="137"/>
      <c r="G50" s="137"/>
      <c r="H50" s="137"/>
      <c r="I50" s="530"/>
      <c r="J50" s="530"/>
      <c r="K50" s="137"/>
    </row>
    <row r="51" spans="1:13" ht="24.95" customHeight="1">
      <c r="A51" s="101">
        <v>9</v>
      </c>
      <c r="B51" s="101" t="s">
        <v>172</v>
      </c>
      <c r="G51" s="16"/>
      <c r="H51" s="16"/>
      <c r="M51" s="8">
        <f>10.2-8.86</f>
        <v>1.34</v>
      </c>
    </row>
    <row r="52" spans="1:13" ht="60.75" customHeight="1">
      <c r="B52" s="522" t="s">
        <v>832</v>
      </c>
      <c r="C52" s="522"/>
      <c r="D52" s="522"/>
      <c r="E52" s="522"/>
      <c r="F52" s="522"/>
      <c r="G52" s="522"/>
      <c r="H52" s="522"/>
      <c r="I52" s="522"/>
      <c r="J52" s="522"/>
      <c r="K52" s="522"/>
    </row>
    <row r="53" spans="1:13" ht="24.95" customHeight="1">
      <c r="A53" s="101">
        <v>10</v>
      </c>
      <c r="B53" s="101" t="s">
        <v>833</v>
      </c>
      <c r="G53" s="16"/>
      <c r="H53" s="16"/>
    </row>
    <row r="54" spans="1:13" ht="24.95" customHeight="1">
      <c r="B54" s="101"/>
      <c r="F54" s="138" t="s">
        <v>834</v>
      </c>
      <c r="G54" s="16" t="s">
        <v>835</v>
      </c>
      <c r="H54" s="16"/>
    </row>
    <row r="55" spans="1:13" ht="24.95" customHeight="1">
      <c r="B55" s="101"/>
      <c r="G55" s="16"/>
      <c r="H55" s="16"/>
    </row>
    <row r="56" spans="1:13" ht="24.95" customHeight="1">
      <c r="B56" s="101"/>
      <c r="G56" s="16"/>
      <c r="H56" s="16"/>
    </row>
    <row r="57" spans="1:13" ht="24.95" customHeight="1">
      <c r="B57" s="101"/>
      <c r="G57" s="16"/>
      <c r="H57" s="16"/>
    </row>
    <row r="58" spans="1:13" ht="24.95" customHeight="1">
      <c r="A58" s="101"/>
    </row>
    <row r="59" spans="1:13" ht="24.95" customHeight="1">
      <c r="A59" s="101"/>
    </row>
    <row r="60" spans="1:13" ht="24.95" customHeight="1">
      <c r="A60" s="101"/>
    </row>
    <row r="61" spans="1:13" ht="24.95" customHeight="1">
      <c r="A61" s="101"/>
      <c r="B61" s="116" t="s">
        <v>836</v>
      </c>
    </row>
    <row r="62" spans="1:13" ht="24.95" customHeight="1">
      <c r="A62" s="101"/>
      <c r="B62" s="8" t="s">
        <v>837</v>
      </c>
      <c r="D62" s="8" t="s">
        <v>838</v>
      </c>
      <c r="F62" s="99"/>
    </row>
    <row r="63" spans="1:13" ht="24.95" customHeight="1">
      <c r="A63" s="101"/>
      <c r="B63" s="523" t="s">
        <v>839</v>
      </c>
      <c r="C63" s="523"/>
      <c r="E63" s="524" t="s">
        <v>840</v>
      </c>
      <c r="F63" s="524"/>
      <c r="H63" s="139"/>
      <c r="J63" s="525"/>
      <c r="K63" s="525"/>
    </row>
    <row r="64" spans="1:13" ht="24.95" customHeight="1">
      <c r="A64" s="101"/>
      <c r="B64" s="8" t="s">
        <v>841</v>
      </c>
      <c r="E64" s="8" t="s">
        <v>842</v>
      </c>
      <c r="G64" s="8" t="s">
        <v>843</v>
      </c>
      <c r="J64" s="8" t="s">
        <v>844</v>
      </c>
    </row>
    <row r="65" spans="1:1">
      <c r="A65" s="101"/>
    </row>
  </sheetData>
  <mergeCells count="47">
    <mergeCell ref="A1:L1"/>
    <mergeCell ref="A2:L2"/>
    <mergeCell ref="A3:L3"/>
    <mergeCell ref="J4:L4"/>
    <mergeCell ref="I9:L9"/>
    <mergeCell ref="B11:C11"/>
    <mergeCell ref="D11:E11"/>
    <mergeCell ref="B24:G24"/>
    <mergeCell ref="H24:I24"/>
    <mergeCell ref="K24:L24"/>
    <mergeCell ref="B26:D26"/>
    <mergeCell ref="K26:L26"/>
    <mergeCell ref="B27:D27"/>
    <mergeCell ref="K27:L27"/>
    <mergeCell ref="B28:D28"/>
    <mergeCell ref="K28:L28"/>
    <mergeCell ref="E29:F29"/>
    <mergeCell ref="G29:H29"/>
    <mergeCell ref="E30:F30"/>
    <mergeCell ref="G30:H30"/>
    <mergeCell ref="E31:F31"/>
    <mergeCell ref="G31:H31"/>
    <mergeCell ref="N38:Q38"/>
    <mergeCell ref="E39:F39"/>
    <mergeCell ref="J39:L39"/>
    <mergeCell ref="E32:F32"/>
    <mergeCell ref="G32:H32"/>
    <mergeCell ref="E33:F33"/>
    <mergeCell ref="G33:H33"/>
    <mergeCell ref="I33:J33"/>
    <mergeCell ref="F43:G43"/>
    <mergeCell ref="J43:L43"/>
    <mergeCell ref="B35:F35"/>
    <mergeCell ref="E38:H38"/>
    <mergeCell ref="J38:L38"/>
    <mergeCell ref="M44:N44"/>
    <mergeCell ref="M45:P45"/>
    <mergeCell ref="I50:J50"/>
    <mergeCell ref="J40:L40"/>
    <mergeCell ref="J41:L41"/>
    <mergeCell ref="J42:L42"/>
    <mergeCell ref="B52:K52"/>
    <mergeCell ref="B63:C63"/>
    <mergeCell ref="E63:F63"/>
    <mergeCell ref="J63:K63"/>
    <mergeCell ref="H44:I44"/>
    <mergeCell ref="J44:L44"/>
  </mergeCells>
  <pageMargins left="0.7" right="0.7" top="0.75" bottom="0.75" header="0.3" footer="0.3"/>
  <pageSetup scale="67" orientation="portrait" r:id="rId1"/>
  <rowBreaks count="1" manualBreakCount="1">
    <brk id="34" max="16383" man="1"/>
  </row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88" r:id="rId4" name="Check Box 44">
              <controlPr defaultSize="0" autoPict="0">
                <anchor moveWithCells="1">
                  <from>
                    <xdr:col>2</xdr:col>
                    <xdr:colOff>323850</xdr:colOff>
                    <xdr:row>47</xdr:row>
                    <xdr:rowOff>85725</xdr:rowOff>
                  </from>
                  <to>
                    <xdr:col>3</xdr:col>
                    <xdr:colOff>142875</xdr:colOff>
                    <xdr:row>47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0" r:id="rId5" name="Check Box 46">
              <controlPr defaultSize="0" autoPict="0">
                <anchor moveWithCells="1">
                  <from>
                    <xdr:col>5</xdr:col>
                    <xdr:colOff>323850</xdr:colOff>
                    <xdr:row>47</xdr:row>
                    <xdr:rowOff>85725</xdr:rowOff>
                  </from>
                  <to>
                    <xdr:col>5</xdr:col>
                    <xdr:colOff>571500</xdr:colOff>
                    <xdr:row>47</xdr:row>
                    <xdr:rowOff>285750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2" r:id="rId6" name="Check Box 48">
              <controlPr defaultSize="0" autoPict="0">
                <anchor moveWithCells="1">
                  <from>
                    <xdr:col>8</xdr:col>
                    <xdr:colOff>695325</xdr:colOff>
                    <xdr:row>47</xdr:row>
                    <xdr:rowOff>142875</xdr:rowOff>
                  </from>
                  <to>
                    <xdr:col>8</xdr:col>
                    <xdr:colOff>942975</xdr:colOff>
                    <xdr:row>48</xdr:row>
                    <xdr:rowOff>28575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3" r:id="rId7" name="Check Box 49">
              <controlPr defaultSize="0" autoPict="0">
                <anchor moveWithCells="1">
                  <from>
                    <xdr:col>2</xdr:col>
                    <xdr:colOff>180975</xdr:colOff>
                    <xdr:row>61</xdr:row>
                    <xdr:rowOff>114300</xdr:rowOff>
                  </from>
                  <to>
                    <xdr:col>2</xdr:col>
                    <xdr:colOff>419100</xdr:colOff>
                    <xdr:row>62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94" r:id="rId8" name="Check Box 50">
              <controlPr defaultSize="0" autoPict="0">
                <anchor moveWithCells="1">
                  <from>
                    <xdr:col>3</xdr:col>
                    <xdr:colOff>409575</xdr:colOff>
                    <xdr:row>61</xdr:row>
                    <xdr:rowOff>104775</xdr:rowOff>
                  </from>
                  <to>
                    <xdr:col>3</xdr:col>
                    <xdr:colOff>647700</xdr:colOff>
                    <xdr:row>62</xdr:row>
                    <xdr:rowOff>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Sheet3!$A$2:$A$6</xm:f>
          </x14:formula1>
          <xm:sqref>E29:H29</xm:sqref>
        </x14:dataValidation>
        <x14:dataValidation type="list" allowBlank="1" showInputMessage="1" showErrorMessage="1">
          <x14:formula1>
            <xm:f>Sheet3!$B$2:$B$6</xm:f>
          </x14:formula1>
          <xm:sqref>E30:H30</xm:sqref>
        </x14:dataValidation>
        <x14:dataValidation type="list" allowBlank="1" showInputMessage="1" showErrorMessage="1">
          <x14:formula1>
            <xm:f>Sheet3!$C$2:$C$6</xm:f>
          </x14:formula1>
          <xm:sqref>E31:H31</xm:sqref>
        </x14:dataValidation>
        <x14:dataValidation type="list" allowBlank="1" showInputMessage="1" showErrorMessage="1">
          <x14:formula1>
            <xm:f>Sheet3!$D$2:$D$4</xm:f>
          </x14:formula1>
          <xm:sqref>E32:H32</xm:sqref>
        </x14:dataValidation>
        <x14:dataValidation type="list" allowBlank="1" showInputMessage="1" showErrorMessage="1">
          <x14:formula1>
            <xm:f>Sheet3!$E$2:$E$4</xm:f>
          </x14:formula1>
          <xm:sqref>E33:G33 I33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9"/>
  <sheetViews>
    <sheetView workbookViewId="0">
      <selection activeCell="D2" sqref="D2"/>
    </sheetView>
  </sheetViews>
  <sheetFormatPr defaultColWidth="9" defaultRowHeight="15"/>
  <cols>
    <col min="1" max="1" width="15.7109375" customWidth="1"/>
    <col min="2" max="3" width="9.5703125" customWidth="1"/>
    <col min="4" max="4" width="15.28515625" style="88" customWidth="1"/>
    <col min="5" max="5" width="16.42578125" style="88" customWidth="1"/>
    <col min="6" max="6" width="14" style="88" customWidth="1"/>
    <col min="7" max="7" width="14.28515625" style="88" customWidth="1"/>
    <col min="8" max="11" width="9.140625" style="88"/>
  </cols>
  <sheetData>
    <row r="1" spans="1:9">
      <c r="A1" t="s">
        <v>845</v>
      </c>
    </row>
    <row r="2" spans="1:9">
      <c r="A2">
        <f>0.2+5.4+0.2</f>
        <v>5.8</v>
      </c>
      <c r="B2">
        <f>0.2+4.7+0.2+5.28+0.2</f>
        <v>10.58</v>
      </c>
      <c r="C2" s="2">
        <f>A2*B2</f>
        <v>61.363999999999997</v>
      </c>
      <c r="D2" s="88">
        <v>30200</v>
      </c>
      <c r="E2" s="89">
        <f>C2*D2</f>
        <v>1853192.8</v>
      </c>
    </row>
    <row r="3" spans="1:9">
      <c r="C3" s="2"/>
    </row>
    <row r="4" spans="1:9">
      <c r="B4" s="2"/>
      <c r="C4" s="2"/>
    </row>
    <row r="5" spans="1:9">
      <c r="B5" s="2"/>
      <c r="C5" s="2"/>
    </row>
    <row r="6" spans="1:9">
      <c r="B6" s="2"/>
      <c r="C6" s="2"/>
    </row>
    <row r="7" spans="1:9">
      <c r="B7" s="2"/>
      <c r="C7" s="2"/>
    </row>
    <row r="8" spans="1:9">
      <c r="C8" s="2"/>
      <c r="D8" s="89"/>
      <c r="E8" s="90"/>
    </row>
    <row r="9" spans="1:9" s="88" customFormat="1">
      <c r="A9" s="91"/>
      <c r="B9"/>
      <c r="C9" s="92"/>
      <c r="D9" s="92"/>
      <c r="E9" s="92"/>
      <c r="I9" s="93"/>
    </row>
    <row r="10" spans="1:9" s="88" customFormat="1">
      <c r="A10" s="91"/>
      <c r="B10"/>
      <c r="C10" s="92"/>
      <c r="D10" s="92"/>
      <c r="E10" s="92"/>
      <c r="I10" s="93"/>
    </row>
    <row r="11" spans="1:9" s="88" customFormat="1">
      <c r="A11" s="91"/>
      <c r="B11"/>
      <c r="C11" s="92"/>
      <c r="D11" s="92"/>
      <c r="E11" s="92"/>
      <c r="I11" s="93"/>
    </row>
    <row r="12" spans="1:9" s="88" customFormat="1">
      <c r="A12" s="91"/>
      <c r="B12"/>
      <c r="C12" s="92"/>
      <c r="D12" s="92"/>
      <c r="E12" s="92"/>
      <c r="I12" s="93"/>
    </row>
    <row r="13" spans="1:9" s="88" customFormat="1">
      <c r="A13" s="91"/>
      <c r="B13"/>
      <c r="C13" s="92"/>
      <c r="D13" s="92"/>
      <c r="E13" s="92"/>
      <c r="I13" s="93"/>
    </row>
    <row r="14" spans="1:9" s="88" customFormat="1">
      <c r="A14" s="91"/>
      <c r="B14"/>
      <c r="C14" s="92"/>
      <c r="D14" s="92"/>
      <c r="E14" s="92"/>
      <c r="I14" s="93"/>
    </row>
    <row r="15" spans="1:9" s="88" customFormat="1">
      <c r="C15" s="92"/>
      <c r="D15" s="92"/>
      <c r="E15" s="92"/>
      <c r="I15" s="93"/>
    </row>
    <row r="16" spans="1:9">
      <c r="A16" t="s">
        <v>846</v>
      </c>
      <c r="E16" s="90"/>
    </row>
    <row r="17" spans="1:3">
      <c r="B17">
        <v>2.5</v>
      </c>
      <c r="C17" s="1">
        <f>A17*B17</f>
        <v>0</v>
      </c>
    </row>
    <row r="18" spans="1:3">
      <c r="B18">
        <v>2.5</v>
      </c>
      <c r="C18" s="1">
        <f t="shared" ref="C18:C20" si="0">A18*B18</f>
        <v>0</v>
      </c>
    </row>
    <row r="19" spans="1:3">
      <c r="B19">
        <v>2.5</v>
      </c>
      <c r="C19" s="1">
        <f t="shared" si="0"/>
        <v>0</v>
      </c>
    </row>
    <row r="20" spans="1:3">
      <c r="B20">
        <v>2.5</v>
      </c>
      <c r="C20" s="1">
        <f t="shared" si="0"/>
        <v>0</v>
      </c>
    </row>
    <row r="21" spans="1:3">
      <c r="C21" s="94">
        <f>SUM(C17:C20)</f>
        <v>0</v>
      </c>
    </row>
    <row r="22" spans="1:3">
      <c r="A22" t="s">
        <v>803</v>
      </c>
    </row>
    <row r="23" spans="1:3">
      <c r="A23" s="95"/>
    </row>
    <row r="24" spans="1:3">
      <c r="A24" s="2"/>
    </row>
    <row r="48" spans="2:3">
      <c r="B48" s="88"/>
      <c r="C48" s="92"/>
    </row>
    <row r="49" spans="1:3">
      <c r="B49" s="88"/>
      <c r="C49" s="92"/>
    </row>
    <row r="50" spans="1:3">
      <c r="B50" s="88"/>
      <c r="C50" s="96"/>
    </row>
    <row r="51" spans="1:3">
      <c r="B51" s="88"/>
      <c r="C51" s="92"/>
    </row>
    <row r="52" spans="1:3">
      <c r="B52" s="88"/>
      <c r="C52" s="92"/>
    </row>
    <row r="54" spans="1:3">
      <c r="B54" s="88"/>
      <c r="C54" s="92"/>
    </row>
    <row r="55" spans="1:3">
      <c r="B55" s="88"/>
      <c r="C55" s="92"/>
    </row>
    <row r="56" spans="1:3">
      <c r="B56" s="88"/>
      <c r="C56" s="94"/>
    </row>
    <row r="57" spans="1:3">
      <c r="B57" s="88"/>
      <c r="C57" s="97"/>
    </row>
    <row r="59" spans="1:3">
      <c r="A59" s="97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"/>
  <sheetViews>
    <sheetView workbookViewId="0">
      <selection activeCell="A2" sqref="A2:E6"/>
    </sheetView>
  </sheetViews>
  <sheetFormatPr defaultColWidth="9" defaultRowHeight="15"/>
  <cols>
    <col min="1" max="1" width="17.140625" customWidth="1"/>
    <col min="2" max="2" width="15.7109375" customWidth="1"/>
    <col min="3" max="3" width="11.85546875" customWidth="1"/>
    <col min="4" max="4" width="21" customWidth="1"/>
  </cols>
  <sheetData>
    <row r="1" spans="1:7" ht="15.75">
      <c r="A1" s="8" t="s">
        <v>804</v>
      </c>
      <c r="B1" s="8" t="s">
        <v>806</v>
      </c>
      <c r="C1" t="s">
        <v>808</v>
      </c>
      <c r="D1" t="s">
        <v>810</v>
      </c>
      <c r="E1" s="8" t="s">
        <v>812</v>
      </c>
    </row>
    <row r="2" spans="1:7" ht="15.75">
      <c r="A2" s="87" t="s">
        <v>847</v>
      </c>
      <c r="B2" s="87" t="s">
        <v>807</v>
      </c>
      <c r="C2" s="87" t="s">
        <v>809</v>
      </c>
      <c r="D2" s="87" t="s">
        <v>811</v>
      </c>
      <c r="E2" s="87" t="s">
        <v>813</v>
      </c>
      <c r="F2" s="87"/>
      <c r="G2" s="87"/>
    </row>
    <row r="3" spans="1:7" ht="15.75">
      <c r="A3" s="87" t="s">
        <v>848</v>
      </c>
      <c r="B3" s="87" t="s">
        <v>849</v>
      </c>
      <c r="C3" s="87" t="s">
        <v>850</v>
      </c>
      <c r="D3" s="87" t="s">
        <v>851</v>
      </c>
      <c r="E3" s="87" t="s">
        <v>852</v>
      </c>
    </row>
    <row r="4" spans="1:7" ht="15.75">
      <c r="A4" s="87" t="s">
        <v>853</v>
      </c>
      <c r="B4" s="87" t="s">
        <v>854</v>
      </c>
      <c r="C4" s="87" t="s">
        <v>855</v>
      </c>
      <c r="D4" s="87" t="s">
        <v>856</v>
      </c>
      <c r="E4" s="87" t="s">
        <v>857</v>
      </c>
    </row>
    <row r="5" spans="1:7" ht="15.75">
      <c r="A5" s="87" t="s">
        <v>805</v>
      </c>
      <c r="B5" s="87" t="s">
        <v>858</v>
      </c>
      <c r="C5" s="87" t="s">
        <v>859</v>
      </c>
      <c r="D5" s="87"/>
      <c r="E5" s="87"/>
    </row>
    <row r="6" spans="1:7" ht="15.75">
      <c r="A6" s="87" t="s">
        <v>860</v>
      </c>
      <c r="B6" s="87" t="s">
        <v>861</v>
      </c>
      <c r="C6" s="87" t="s">
        <v>862</v>
      </c>
      <c r="D6" s="87"/>
      <c r="E6" s="87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9" r:id="rId3" name="Check Box 3">
              <controlPr defaultSize="0" autoPict="0">
                <anchor moveWithCells="1">
                  <from>
                    <xdr:col>5</xdr:col>
                    <xdr:colOff>0</xdr:colOff>
                    <xdr:row>0</xdr:row>
                    <xdr:rowOff>0</xdr:rowOff>
                  </from>
                  <to>
                    <xdr:col>5</xdr:col>
                    <xdr:colOff>0</xdr:colOff>
                    <xdr:row>0</xdr:row>
                    <xdr:rowOff>76200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4" name="Check Box 8">
              <controlPr defaultSize="0" autoPict="0">
                <anchor moveWithCells="1">
                  <from>
                    <xdr:col>6</xdr:col>
                    <xdr:colOff>0</xdr:colOff>
                    <xdr:row>0</xdr:row>
                    <xdr:rowOff>0</xdr:rowOff>
                  </from>
                  <to>
                    <xdr:col>6</xdr:col>
                    <xdr:colOff>0</xdr:colOff>
                    <xdr:row>0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0" r:id="rId5" name="Check Box 14">
              <controlPr defaultSize="0" autoPict="0">
                <anchor moveWithCells="1">
                  <from>
                    <xdr:col>5</xdr:col>
                    <xdr:colOff>0</xdr:colOff>
                    <xdr:row>0</xdr:row>
                    <xdr:rowOff>0</xdr:rowOff>
                  </from>
                  <to>
                    <xdr:col>5</xdr:col>
                    <xdr:colOff>0</xdr:colOff>
                    <xdr:row>0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9"/>
  <sheetViews>
    <sheetView view="pageBreakPreview" zoomScale="77" zoomScaleNormal="100" workbookViewId="0">
      <selection activeCell="C8" sqref="C8"/>
    </sheetView>
  </sheetViews>
  <sheetFormatPr defaultColWidth="9.140625" defaultRowHeight="15.75"/>
  <cols>
    <col min="1" max="1" width="12.42578125" style="8" customWidth="1"/>
    <col min="2" max="2" width="51.5703125" style="8" customWidth="1"/>
    <col min="3" max="3" width="31.140625" style="8" customWidth="1"/>
    <col min="4" max="5" width="29.140625" style="8" customWidth="1"/>
    <col min="6" max="6" width="29.85546875" style="8" customWidth="1"/>
    <col min="7" max="7" width="31.42578125" style="8" customWidth="1"/>
    <col min="8" max="9" width="19.140625" style="8" customWidth="1"/>
    <col min="10" max="10" width="9.28515625" style="8" customWidth="1"/>
    <col min="11" max="11" width="11.85546875" style="8" customWidth="1"/>
    <col min="12" max="12" width="8.42578125" style="8" customWidth="1"/>
    <col min="13" max="15" width="9.140625" style="8"/>
    <col min="16" max="16" width="14.5703125" style="8" customWidth="1"/>
    <col min="17" max="17" width="9.140625" style="8"/>
    <col min="18" max="18" width="28.42578125" style="8" customWidth="1"/>
    <col min="19" max="19" width="9.140625" style="8"/>
    <col min="20" max="20" width="24.7109375" style="8" customWidth="1"/>
    <col min="21" max="21" width="45.42578125" style="8" customWidth="1"/>
    <col min="22" max="16384" width="9.140625" style="8"/>
  </cols>
  <sheetData>
    <row r="1" spans="1:22" ht="33.75" customHeight="1">
      <c r="A1" s="9" t="s">
        <v>863</v>
      </c>
      <c r="B1" s="10"/>
      <c r="C1" s="11"/>
      <c r="D1" s="10"/>
      <c r="E1" s="12" t="s">
        <v>864</v>
      </c>
    </row>
    <row r="2" spans="1:22" ht="33.75" customHeight="1">
      <c r="A2" s="9" t="s">
        <v>865</v>
      </c>
      <c r="B2" s="10"/>
      <c r="C2" s="11"/>
      <c r="D2" s="10"/>
      <c r="E2" s="13"/>
    </row>
    <row r="3" spans="1:22" ht="33.75" customHeight="1">
      <c r="A3" s="13" t="s">
        <v>866</v>
      </c>
      <c r="B3" s="13"/>
      <c r="C3" s="13" t="s">
        <v>867</v>
      </c>
      <c r="D3" s="10"/>
      <c r="E3" s="14"/>
    </row>
    <row r="4" spans="1:22" ht="33.75" customHeight="1">
      <c r="A4" s="13" t="s">
        <v>868</v>
      </c>
      <c r="B4" s="13"/>
      <c r="C4" s="13" t="s">
        <v>867</v>
      </c>
      <c r="D4" s="10"/>
      <c r="E4" s="14"/>
    </row>
    <row r="5" spans="1:22" ht="33.75" customHeight="1">
      <c r="A5" s="548" t="s">
        <v>599</v>
      </c>
      <c r="B5" s="548"/>
      <c r="C5" s="13" t="s">
        <v>71</v>
      </c>
      <c r="D5" s="10"/>
      <c r="E5" s="10"/>
    </row>
    <row r="6" spans="1:22" ht="33.75" hidden="1" customHeight="1">
      <c r="A6" s="548" t="s">
        <v>869</v>
      </c>
      <c r="B6" s="548"/>
      <c r="C6" s="13" t="s">
        <v>870</v>
      </c>
      <c r="D6" s="10"/>
      <c r="E6" s="10"/>
    </row>
    <row r="7" spans="1:22" ht="33.75" customHeight="1">
      <c r="A7" s="13" t="s">
        <v>871</v>
      </c>
      <c r="B7" s="13"/>
      <c r="C7" s="15" t="s">
        <v>872</v>
      </c>
      <c r="D7" s="10"/>
      <c r="E7" s="10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</row>
    <row r="8" spans="1:22" ht="33.75" customHeight="1">
      <c r="A8" s="548" t="s">
        <v>873</v>
      </c>
      <c r="B8" s="548"/>
      <c r="C8" s="13" t="s">
        <v>874</v>
      </c>
      <c r="D8" s="10"/>
      <c r="E8" s="10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</row>
    <row r="9" spans="1:22" ht="33.75" customHeight="1">
      <c r="A9" s="548" t="s">
        <v>875</v>
      </c>
      <c r="B9" s="548"/>
      <c r="C9" s="15">
        <v>252.04</v>
      </c>
      <c r="D9" s="10"/>
      <c r="E9" s="10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</row>
    <row r="10" spans="1:22" ht="33.75" customHeight="1">
      <c r="A10" s="13" t="s">
        <v>876</v>
      </c>
      <c r="B10" s="13"/>
      <c r="C10" s="13"/>
      <c r="D10" s="10"/>
      <c r="E10" s="10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</row>
    <row r="11" spans="1:22" ht="22.5">
      <c r="A11" s="10"/>
      <c r="B11" s="15"/>
      <c r="C11" s="10"/>
      <c r="D11" s="10"/>
      <c r="E11" s="10"/>
      <c r="G11" s="17">
        <f>F14*0.29</f>
        <v>575358.28790464438</v>
      </c>
      <c r="H11" s="16"/>
      <c r="I11" s="16"/>
      <c r="J11" s="16"/>
      <c r="K11" s="18"/>
      <c r="L11" s="16"/>
      <c r="M11" s="16"/>
      <c r="N11" s="16"/>
      <c r="O11" s="16">
        <v>1</v>
      </c>
      <c r="P11" s="16"/>
      <c r="Q11" s="16"/>
      <c r="R11" s="16"/>
      <c r="S11" s="16"/>
      <c r="T11" s="16"/>
      <c r="U11" s="16"/>
      <c r="V11" s="16"/>
    </row>
    <row r="12" spans="1:22" ht="28.5" hidden="1" customHeight="1">
      <c r="A12" s="551" t="s">
        <v>877</v>
      </c>
      <c r="B12" s="551"/>
      <c r="C12" s="10"/>
      <c r="D12" s="10"/>
      <c r="E12" s="10"/>
      <c r="G12" s="16"/>
      <c r="H12" s="16"/>
      <c r="I12" s="16"/>
      <c r="J12" s="16">
        <v>1</v>
      </c>
      <c r="K12" s="18" t="s">
        <v>878</v>
      </c>
      <c r="L12" s="16">
        <v>1</v>
      </c>
      <c r="M12" s="16">
        <v>1</v>
      </c>
      <c r="N12" s="16"/>
      <c r="O12" s="16">
        <v>1</v>
      </c>
      <c r="P12" s="16"/>
      <c r="Q12" s="16"/>
      <c r="R12" s="16"/>
      <c r="S12" s="16"/>
      <c r="T12" s="16"/>
      <c r="U12" s="16"/>
      <c r="V12" s="16"/>
    </row>
    <row r="13" spans="1:22" ht="47.25" customHeight="1">
      <c r="A13" s="19" t="s">
        <v>879</v>
      </c>
      <c r="B13" s="19" t="s">
        <v>880</v>
      </c>
      <c r="C13" s="19" t="s">
        <v>881</v>
      </c>
      <c r="D13" s="19" t="s">
        <v>882</v>
      </c>
      <c r="E13" s="19" t="s">
        <v>883</v>
      </c>
      <c r="F13" s="20">
        <f>3146484.72/F14</f>
        <v>1.585934517643079</v>
      </c>
      <c r="G13" s="16"/>
      <c r="H13" s="16"/>
      <c r="I13" s="16"/>
      <c r="J13" s="16">
        <v>1</v>
      </c>
      <c r="K13" s="18" t="s">
        <v>884</v>
      </c>
      <c r="L13" s="16">
        <v>1</v>
      </c>
      <c r="M13" s="16">
        <v>1</v>
      </c>
      <c r="N13" s="16"/>
      <c r="O13" s="16">
        <v>1</v>
      </c>
      <c r="P13" s="16"/>
      <c r="Q13" s="16"/>
      <c r="R13" s="16"/>
      <c r="S13" s="16"/>
      <c r="T13" s="16"/>
      <c r="U13" s="16"/>
      <c r="V13" s="16"/>
    </row>
    <row r="14" spans="1:22" ht="24.75" customHeight="1">
      <c r="A14" s="21">
        <v>1</v>
      </c>
      <c r="B14" s="22" t="s">
        <v>885</v>
      </c>
      <c r="C14" s="23">
        <f>$F$14*G14</f>
        <v>376958.87828235328</v>
      </c>
      <c r="D14" s="23">
        <f>C14*1</f>
        <v>376958.87828235328</v>
      </c>
      <c r="E14" s="24">
        <f t="shared" ref="E14:E27" si="0">IF(C14=0,"-",C14-D14)</f>
        <v>0</v>
      </c>
      <c r="F14" s="25">
        <f>Location!D75+Location!D77+Location!D78</f>
        <v>1983994.096222912</v>
      </c>
      <c r="G14" s="5">
        <v>0.19</v>
      </c>
      <c r="H14" s="4" t="s">
        <v>885</v>
      </c>
      <c r="I14" s="26">
        <v>1</v>
      </c>
      <c r="J14" s="27" t="s">
        <v>886</v>
      </c>
      <c r="K14" s="18">
        <v>1</v>
      </c>
      <c r="L14" s="16"/>
      <c r="M14" s="17"/>
      <c r="N14" s="18"/>
      <c r="O14" s="16"/>
      <c r="P14" s="28"/>
      <c r="Q14" s="29"/>
      <c r="R14" s="27"/>
      <c r="S14" s="16"/>
      <c r="T14" s="30"/>
      <c r="U14" s="30"/>
      <c r="V14" s="16"/>
    </row>
    <row r="15" spans="1:22" ht="45.75" customHeight="1">
      <c r="A15" s="21">
        <v>2</v>
      </c>
      <c r="B15" s="31" t="s">
        <v>887</v>
      </c>
      <c r="C15" s="23">
        <f t="shared" ref="C15:C27" si="1">$F$14*G15</f>
        <v>575358.28790464438</v>
      </c>
      <c r="D15" s="23">
        <f>C15*1</f>
        <v>575358.28790464438</v>
      </c>
      <c r="E15" s="24">
        <f t="shared" si="0"/>
        <v>0</v>
      </c>
      <c r="G15" s="5">
        <v>0.28999999999999998</v>
      </c>
      <c r="H15" s="4" t="s">
        <v>887</v>
      </c>
      <c r="I15" s="18">
        <v>1</v>
      </c>
      <c r="J15" s="27" t="s">
        <v>888</v>
      </c>
      <c r="K15" s="18">
        <v>0</v>
      </c>
      <c r="L15" s="16"/>
      <c r="M15" s="17"/>
      <c r="N15" s="18"/>
      <c r="O15" s="16"/>
      <c r="P15" s="28"/>
      <c r="Q15" s="29"/>
      <c r="R15" s="32"/>
      <c r="S15" s="16"/>
      <c r="T15" s="30"/>
      <c r="U15" s="30"/>
      <c r="V15" s="16"/>
    </row>
    <row r="16" spans="1:22" ht="53.25" customHeight="1">
      <c r="A16" s="21">
        <v>3</v>
      </c>
      <c r="B16" s="31" t="s">
        <v>889</v>
      </c>
      <c r="C16" s="23">
        <f t="shared" si="1"/>
        <v>39679.881924458241</v>
      </c>
      <c r="D16" s="23">
        <f>C16*1</f>
        <v>39679.881924458241</v>
      </c>
      <c r="E16" s="24">
        <f t="shared" si="0"/>
        <v>0</v>
      </c>
      <c r="G16" s="5">
        <v>0.02</v>
      </c>
      <c r="H16" s="4" t="s">
        <v>889</v>
      </c>
      <c r="I16" s="18">
        <v>3</v>
      </c>
      <c r="J16" s="27"/>
      <c r="K16" s="18" t="e">
        <f>#REF!+K14+K15</f>
        <v>#REF!</v>
      </c>
      <c r="L16" s="16"/>
      <c r="M16" s="17"/>
      <c r="N16" s="18"/>
      <c r="O16" s="16"/>
      <c r="P16" s="28"/>
      <c r="Q16" s="29"/>
      <c r="R16" s="32"/>
      <c r="S16" s="16"/>
      <c r="T16" s="30"/>
      <c r="U16" s="30"/>
      <c r="V16" s="16"/>
    </row>
    <row r="17" spans="1:22" ht="47.25" customHeight="1">
      <c r="A17" s="21">
        <v>4</v>
      </c>
      <c r="B17" s="22" t="s">
        <v>890</v>
      </c>
      <c r="C17" s="23">
        <f t="shared" si="1"/>
        <v>99199.70481114561</v>
      </c>
      <c r="D17" s="23">
        <f>C17*1</f>
        <v>99199.70481114561</v>
      </c>
      <c r="E17" s="24">
        <f t="shared" si="0"/>
        <v>0</v>
      </c>
      <c r="G17" s="5">
        <v>0.05</v>
      </c>
      <c r="H17" s="4" t="s">
        <v>890</v>
      </c>
      <c r="I17" s="27"/>
      <c r="J17" s="27" t="e">
        <f>K16/I16</f>
        <v>#REF!</v>
      </c>
      <c r="K17" s="33"/>
      <c r="L17" s="33">
        <f>SUM(L10:L16)</f>
        <v>2</v>
      </c>
      <c r="M17" s="33">
        <f>SUM(M10:M16)</f>
        <v>2</v>
      </c>
      <c r="N17" s="33"/>
      <c r="O17" s="33">
        <f>SUM(O10:O16)</f>
        <v>3</v>
      </c>
      <c r="P17" s="28"/>
      <c r="Q17" s="29"/>
      <c r="R17" s="32"/>
      <c r="S17" s="16"/>
      <c r="T17" s="30"/>
      <c r="U17" s="30"/>
      <c r="V17" s="16"/>
    </row>
    <row r="18" spans="1:22" ht="32.25" customHeight="1">
      <c r="A18" s="21">
        <v>5</v>
      </c>
      <c r="B18" s="22" t="s">
        <v>891</v>
      </c>
      <c r="C18" s="23">
        <f t="shared" si="1"/>
        <v>59519.822886687354</v>
      </c>
      <c r="D18" s="23">
        <f>C18*1</f>
        <v>59519.822886687354</v>
      </c>
      <c r="E18" s="24">
        <f t="shared" si="0"/>
        <v>0</v>
      </c>
      <c r="G18" s="5">
        <v>0.03</v>
      </c>
      <c r="H18" s="4" t="s">
        <v>891</v>
      </c>
      <c r="I18" s="27"/>
      <c r="J18" s="27"/>
      <c r="K18" s="27"/>
      <c r="L18" s="27"/>
      <c r="M18" s="8">
        <f>M17/L17</f>
        <v>1</v>
      </c>
      <c r="O18" s="16">
        <f>O17/L17</f>
        <v>1.5</v>
      </c>
      <c r="P18" s="28"/>
      <c r="Q18" s="29"/>
      <c r="R18" s="32"/>
      <c r="S18" s="16"/>
      <c r="T18" s="30"/>
      <c r="U18" s="30"/>
      <c r="V18" s="16"/>
    </row>
    <row r="19" spans="1:22" ht="32.25" customHeight="1">
      <c r="A19" s="21">
        <v>6</v>
      </c>
      <c r="B19" s="22" t="s">
        <v>892</v>
      </c>
      <c r="C19" s="23">
        <f t="shared" si="1"/>
        <v>39679.881924458241</v>
      </c>
      <c r="D19" s="23">
        <f>C19*0</f>
        <v>0</v>
      </c>
      <c r="E19" s="24">
        <f t="shared" si="0"/>
        <v>39679.881924458241</v>
      </c>
      <c r="G19" s="5">
        <v>0.02</v>
      </c>
      <c r="H19" s="4" t="s">
        <v>892</v>
      </c>
      <c r="I19" s="27"/>
      <c r="J19" s="27"/>
      <c r="K19" s="27"/>
      <c r="L19" s="27"/>
      <c r="M19" s="16"/>
      <c r="N19" s="34"/>
      <c r="O19" s="16"/>
      <c r="P19" s="28"/>
      <c r="Q19" s="29"/>
      <c r="R19" s="32"/>
      <c r="S19" s="16"/>
      <c r="T19" s="30"/>
      <c r="U19" s="30"/>
      <c r="V19" s="16"/>
    </row>
    <row r="20" spans="1:22" ht="36.950000000000003" customHeight="1">
      <c r="A20" s="21">
        <v>7</v>
      </c>
      <c r="B20" s="22" t="s">
        <v>893</v>
      </c>
      <c r="C20" s="23">
        <f t="shared" si="1"/>
        <v>138879.58673560384</v>
      </c>
      <c r="D20" s="23">
        <f>C20*0</f>
        <v>0</v>
      </c>
      <c r="E20" s="24">
        <f t="shared" si="0"/>
        <v>138879.58673560384</v>
      </c>
      <c r="G20" s="5">
        <v>7.0000000000000007E-2</v>
      </c>
      <c r="H20" s="4" t="s">
        <v>893</v>
      </c>
      <c r="I20" s="27"/>
      <c r="J20" s="27"/>
      <c r="K20" s="27"/>
      <c r="L20" s="27"/>
      <c r="M20" s="16"/>
      <c r="N20" s="34"/>
      <c r="O20" s="16"/>
      <c r="P20" s="28"/>
      <c r="Q20" s="29"/>
      <c r="R20" s="32"/>
      <c r="S20" s="16"/>
      <c r="T20" s="30"/>
      <c r="U20" s="30"/>
      <c r="V20" s="16"/>
    </row>
    <row r="21" spans="1:22" ht="33" customHeight="1">
      <c r="A21" s="21">
        <v>8</v>
      </c>
      <c r="B21" s="31" t="s">
        <v>894</v>
      </c>
      <c r="C21" s="23">
        <f t="shared" si="1"/>
        <v>138879.58673560384</v>
      </c>
      <c r="D21" s="23">
        <f>C21*0</f>
        <v>0</v>
      </c>
      <c r="E21" s="24">
        <f t="shared" si="0"/>
        <v>138879.58673560384</v>
      </c>
      <c r="G21" s="5">
        <v>7.0000000000000007E-2</v>
      </c>
      <c r="H21" s="4" t="s">
        <v>894</v>
      </c>
      <c r="I21" s="27"/>
      <c r="J21" s="27"/>
      <c r="K21" s="27"/>
      <c r="L21" s="27"/>
      <c r="M21" s="16"/>
      <c r="N21" s="34"/>
      <c r="O21" s="16"/>
      <c r="P21" s="16"/>
      <c r="Q21" s="16"/>
      <c r="R21" s="32"/>
      <c r="S21" s="16"/>
      <c r="T21" s="30"/>
      <c r="U21" s="30"/>
      <c r="V21" s="16"/>
    </row>
    <row r="22" spans="1:22" ht="43.5" customHeight="1">
      <c r="A22" s="21">
        <v>9</v>
      </c>
      <c r="B22" s="31" t="s">
        <v>895</v>
      </c>
      <c r="C22" s="23">
        <f t="shared" si="1"/>
        <v>198399.40962229122</v>
      </c>
      <c r="D22" s="23">
        <f>C22*0.2</f>
        <v>39679.881924458248</v>
      </c>
      <c r="E22" s="24">
        <f t="shared" si="0"/>
        <v>158719.52769783296</v>
      </c>
      <c r="G22" s="5">
        <v>0.1</v>
      </c>
      <c r="H22" s="4" t="s">
        <v>895</v>
      </c>
      <c r="I22" s="27"/>
      <c r="J22" s="27"/>
      <c r="K22" s="27"/>
      <c r="L22" s="27"/>
      <c r="M22" s="35"/>
      <c r="N22" s="34"/>
      <c r="O22" s="16"/>
      <c r="P22" s="16"/>
      <c r="Q22" s="16"/>
      <c r="R22" s="32"/>
      <c r="S22" s="16"/>
      <c r="T22" s="30"/>
      <c r="U22" s="30"/>
      <c r="V22" s="16"/>
    </row>
    <row r="23" spans="1:22" ht="38.25" customHeight="1">
      <c r="A23" s="21">
        <v>10</v>
      </c>
      <c r="B23" s="22" t="s">
        <v>896</v>
      </c>
      <c r="C23" s="23">
        <f t="shared" si="1"/>
        <v>79359.763848916482</v>
      </c>
      <c r="D23" s="23">
        <f>C23*0.2</f>
        <v>15871.952769783296</v>
      </c>
      <c r="E23" s="24">
        <f t="shared" si="0"/>
        <v>63487.811079133186</v>
      </c>
      <c r="G23" s="5">
        <v>0.04</v>
      </c>
      <c r="H23" s="4" t="s">
        <v>896</v>
      </c>
      <c r="I23" s="27"/>
      <c r="J23" s="34"/>
      <c r="K23" s="27"/>
      <c r="L23" s="27"/>
      <c r="M23" s="16"/>
      <c r="N23" s="34"/>
      <c r="O23" s="16"/>
      <c r="P23" s="28"/>
      <c r="Q23" s="29"/>
      <c r="R23" s="27"/>
      <c r="S23" s="30"/>
      <c r="T23" s="30"/>
      <c r="U23" s="30"/>
      <c r="V23" s="16"/>
    </row>
    <row r="24" spans="1:22" ht="46.5" customHeight="1">
      <c r="A24" s="21">
        <v>11</v>
      </c>
      <c r="B24" s="31" t="s">
        <v>897</v>
      </c>
      <c r="C24" s="23">
        <f t="shared" si="1"/>
        <v>79359.763848916482</v>
      </c>
      <c r="D24" s="23">
        <f>C24*0</f>
        <v>0</v>
      </c>
      <c r="E24" s="24">
        <f t="shared" si="0"/>
        <v>79359.763848916482</v>
      </c>
      <c r="G24" s="5">
        <v>0.04</v>
      </c>
      <c r="H24" s="4" t="s">
        <v>897</v>
      </c>
      <c r="I24" s="27"/>
      <c r="J24" s="34"/>
      <c r="K24" s="27"/>
      <c r="L24" s="27"/>
      <c r="M24" s="16"/>
      <c r="N24" s="34"/>
      <c r="O24" s="16"/>
      <c r="P24" s="28"/>
      <c r="Q24" s="29"/>
      <c r="R24" s="27"/>
      <c r="S24" s="16"/>
      <c r="T24" s="30"/>
      <c r="U24" s="30"/>
      <c r="V24" s="16"/>
    </row>
    <row r="25" spans="1:22" ht="38.25" customHeight="1">
      <c r="A25" s="21">
        <v>12</v>
      </c>
      <c r="B25" s="22" t="s">
        <v>898</v>
      </c>
      <c r="C25" s="23">
        <f t="shared" si="1"/>
        <v>19839.94096222912</v>
      </c>
      <c r="D25" s="23">
        <f>C25*0</f>
        <v>0</v>
      </c>
      <c r="E25" s="24">
        <f t="shared" si="0"/>
        <v>19839.94096222912</v>
      </c>
      <c r="F25" s="25"/>
      <c r="G25" s="5">
        <v>0.01</v>
      </c>
      <c r="H25" s="4" t="s">
        <v>898</v>
      </c>
      <c r="I25" s="27"/>
      <c r="J25" s="16"/>
      <c r="M25" s="16"/>
      <c r="N25" s="34"/>
      <c r="O25" s="16"/>
      <c r="P25" s="28"/>
      <c r="Q25" s="29"/>
      <c r="R25" s="27"/>
      <c r="S25" s="16"/>
      <c r="T25" s="30"/>
      <c r="U25" s="30"/>
      <c r="V25" s="16"/>
    </row>
    <row r="26" spans="1:22" ht="30.75" customHeight="1">
      <c r="A26" s="21">
        <v>13</v>
      </c>
      <c r="B26" s="22" t="s">
        <v>899</v>
      </c>
      <c r="C26" s="23">
        <f t="shared" si="1"/>
        <v>59519.822886687354</v>
      </c>
      <c r="D26" s="23">
        <f>C26*0.3</f>
        <v>17855.946866006205</v>
      </c>
      <c r="E26" s="24">
        <f t="shared" si="0"/>
        <v>41663.876020681149</v>
      </c>
      <c r="F26" s="36"/>
      <c r="G26" s="5">
        <v>0.03</v>
      </c>
      <c r="H26" s="4" t="s">
        <v>899</v>
      </c>
      <c r="I26" s="27"/>
      <c r="J26" s="27"/>
      <c r="K26" s="16"/>
      <c r="L26" s="16"/>
      <c r="M26" s="16"/>
      <c r="N26" s="16"/>
      <c r="O26" s="16"/>
      <c r="P26" s="16"/>
      <c r="Q26" s="16"/>
      <c r="R26" s="37"/>
      <c r="S26" s="16"/>
      <c r="T26" s="30"/>
      <c r="U26" s="30"/>
      <c r="V26" s="16"/>
    </row>
    <row r="27" spans="1:22" ht="30.75" customHeight="1">
      <c r="A27" s="21">
        <v>14</v>
      </c>
      <c r="B27" s="22" t="s">
        <v>900</v>
      </c>
      <c r="C27" s="23">
        <f t="shared" si="1"/>
        <v>79359.763848916482</v>
      </c>
      <c r="D27" s="23">
        <f>C27*0.3</f>
        <v>23807.929154674945</v>
      </c>
      <c r="E27" s="24">
        <f t="shared" si="0"/>
        <v>55551.834694241537</v>
      </c>
      <c r="F27" s="36"/>
      <c r="G27" s="7">
        <v>0.04</v>
      </c>
      <c r="H27" s="38" t="s">
        <v>900</v>
      </c>
      <c r="I27" s="27"/>
      <c r="J27" s="27"/>
      <c r="K27" s="16"/>
      <c r="L27" s="16"/>
      <c r="M27" s="16"/>
      <c r="N27" s="16"/>
      <c r="O27" s="16"/>
      <c r="P27" s="16"/>
      <c r="Q27" s="16"/>
      <c r="R27" s="37"/>
      <c r="S27" s="16"/>
      <c r="T27" s="30"/>
      <c r="U27" s="30"/>
      <c r="V27" s="16"/>
    </row>
    <row r="28" spans="1:22" ht="30.75" hidden="1" customHeight="1">
      <c r="A28" s="21"/>
      <c r="B28" s="39"/>
      <c r="C28" s="40">
        <f>SUM(C14:C27)</f>
        <v>1983994.0962229117</v>
      </c>
      <c r="D28" s="40">
        <f>SUM(D14:D27)</f>
        <v>1247932.2865242115</v>
      </c>
      <c r="E28" s="40">
        <f>SUM(E14:E27)</f>
        <v>736061.80969870044</v>
      </c>
      <c r="F28" s="36"/>
      <c r="G28" s="34">
        <f>SUM(G14:G27)</f>
        <v>1</v>
      </c>
      <c r="H28" s="27"/>
      <c r="I28" s="16"/>
      <c r="J28" s="27"/>
      <c r="K28" s="16"/>
      <c r="L28" s="16"/>
      <c r="M28" s="27"/>
      <c r="N28" s="16"/>
      <c r="O28" s="16"/>
      <c r="P28" s="16"/>
      <c r="Q28" s="16"/>
      <c r="R28" s="16"/>
      <c r="S28" s="16"/>
      <c r="T28" s="30"/>
      <c r="U28" s="16"/>
      <c r="V28" s="16"/>
    </row>
    <row r="29" spans="1:22" ht="66.75" hidden="1" customHeight="1">
      <c r="A29" s="21">
        <v>15</v>
      </c>
      <c r="B29" s="41" t="s">
        <v>901</v>
      </c>
      <c r="C29" s="40"/>
      <c r="D29" s="40"/>
      <c r="E29" s="40"/>
      <c r="F29" s="36"/>
      <c r="G29" s="16"/>
      <c r="H29" s="27"/>
      <c r="I29" s="16"/>
      <c r="J29" s="27"/>
      <c r="K29" s="16"/>
      <c r="L29" s="16"/>
      <c r="M29" s="27"/>
      <c r="N29" s="16"/>
      <c r="O29" s="16"/>
      <c r="P29" s="16"/>
      <c r="Q29" s="16"/>
      <c r="R29" s="16"/>
      <c r="S29" s="16"/>
      <c r="T29" s="30"/>
      <c r="U29" s="16"/>
      <c r="V29" s="16"/>
    </row>
    <row r="30" spans="1:22" ht="67.5" hidden="1" customHeight="1">
      <c r="A30" s="21">
        <v>16</v>
      </c>
      <c r="B30" s="41" t="s">
        <v>902</v>
      </c>
      <c r="C30" s="40"/>
      <c r="D30" s="40"/>
      <c r="E30" s="40"/>
      <c r="F30" s="36"/>
      <c r="G30" s="16"/>
      <c r="H30" s="27"/>
      <c r="I30" s="16"/>
      <c r="J30" s="27"/>
      <c r="K30" s="16"/>
      <c r="L30" s="16"/>
      <c r="M30" s="27"/>
      <c r="N30" s="16"/>
      <c r="O30" s="16"/>
      <c r="P30" s="16"/>
      <c r="Q30" s="16"/>
      <c r="R30" s="16"/>
      <c r="S30" s="16"/>
      <c r="T30" s="30"/>
      <c r="U30" s="16"/>
      <c r="V30" s="16"/>
    </row>
    <row r="31" spans="1:22" ht="30.75" customHeight="1">
      <c r="A31" s="42"/>
      <c r="B31" s="39" t="s">
        <v>490</v>
      </c>
      <c r="C31" s="40">
        <f>C28</f>
        <v>1983994.0962229117</v>
      </c>
      <c r="D31" s="40">
        <f t="shared" ref="D31:E31" si="2">D28</f>
        <v>1247932.2865242115</v>
      </c>
      <c r="E31" s="40">
        <f t="shared" si="2"/>
        <v>736061.80969870044</v>
      </c>
      <c r="F31" s="43"/>
      <c r="G31" s="18">
        <f>SUM(G14:G27)</f>
        <v>1</v>
      </c>
      <c r="H31" s="27"/>
      <c r="I31" s="16" t="e">
        <f>C27/#REF!</f>
        <v>#REF!</v>
      </c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</row>
    <row r="32" spans="1:22" ht="44.25" customHeight="1">
      <c r="A32" s="44"/>
      <c r="B32" s="45" t="s">
        <v>903</v>
      </c>
      <c r="C32" s="46">
        <f>C31/C31</f>
        <v>1</v>
      </c>
      <c r="D32" s="47">
        <f>D31/C31</f>
        <v>0.629</v>
      </c>
      <c r="E32" s="47">
        <f>IF(C31=0,"-",E31/C31)</f>
        <v>0.37100000000000011</v>
      </c>
      <c r="F32" s="36"/>
      <c r="G32" s="16" t="e">
        <f>G31/#REF!</f>
        <v>#REF!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</row>
    <row r="33" spans="1:22" ht="21.75" customHeight="1">
      <c r="A33" s="10"/>
      <c r="B33" s="10"/>
      <c r="C33" s="10"/>
      <c r="D33" s="10"/>
      <c r="E33" s="10"/>
      <c r="G33" s="16" t="e">
        <f>G32-0.05</f>
        <v>#REF!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</row>
    <row r="34" spans="1:22" ht="48" customHeight="1">
      <c r="A34" s="48"/>
      <c r="B34" s="49" t="s">
        <v>904</v>
      </c>
      <c r="C34" s="50" t="s">
        <v>905</v>
      </c>
      <c r="D34" s="45" t="s">
        <v>906</v>
      </c>
      <c r="E34" s="49" t="e">
        <f>area!#REF!</f>
        <v>#REF!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spans="1:22" ht="27" customHeight="1">
      <c r="A35" s="48"/>
      <c r="B35" s="49" t="s">
        <v>907</v>
      </c>
      <c r="C35" s="49">
        <f>area!C2</f>
        <v>61.363999999999997</v>
      </c>
      <c r="D35" s="51" t="s">
        <v>908</v>
      </c>
      <c r="E35" s="52" t="e">
        <f>SUM(C35+C36+E34)</f>
        <v>#REF!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</row>
    <row r="36" spans="1:22" ht="27" customHeight="1">
      <c r="A36" s="48"/>
      <c r="B36" s="49" t="s">
        <v>909</v>
      </c>
      <c r="C36" s="49">
        <f>area!C5</f>
        <v>0</v>
      </c>
      <c r="D36" s="53"/>
      <c r="E36" s="54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</row>
    <row r="37" spans="1:22" ht="27" customHeight="1">
      <c r="A37" s="48"/>
      <c r="D37" s="53"/>
      <c r="E37" s="54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</row>
    <row r="38" spans="1:22" ht="27" customHeight="1">
      <c r="A38" s="48"/>
      <c r="B38" s="8" t="s">
        <v>172</v>
      </c>
      <c r="D38" s="48"/>
      <c r="E38" s="48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</row>
    <row r="39" spans="1:22" ht="27" customHeight="1">
      <c r="A39" s="10"/>
      <c r="B39" s="548" t="s">
        <v>910</v>
      </c>
      <c r="C39" s="548"/>
      <c r="D39" s="548"/>
      <c r="E39" s="548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</row>
    <row r="40" spans="1:22" ht="27" customHeight="1">
      <c r="A40" s="10"/>
      <c r="D40" s="10"/>
      <c r="E40" s="10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</row>
    <row r="41" spans="1:22" ht="28.5" customHeight="1">
      <c r="A41" s="10"/>
      <c r="B41" s="549" t="s">
        <v>605</v>
      </c>
      <c r="C41" s="549"/>
      <c r="D41" s="55">
        <f>Location!B19</f>
        <v>812668</v>
      </c>
      <c r="E41" s="56"/>
      <c r="F41" s="57">
        <v>0.102483517251832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</row>
    <row r="42" spans="1:22" ht="28.5" customHeight="1">
      <c r="A42" s="10"/>
      <c r="B42" s="549" t="s">
        <v>911</v>
      </c>
      <c r="C42" s="549"/>
      <c r="D42" s="58">
        <f>Location!B73</f>
        <v>29015.913657260087</v>
      </c>
      <c r="E42" s="59"/>
      <c r="F42" s="25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1:22" ht="50.25" customHeight="1">
      <c r="A43" s="60"/>
      <c r="B43" s="550" t="s">
        <v>912</v>
      </c>
      <c r="C43" s="550"/>
      <c r="D43" s="58">
        <f>D42+D41+D31</f>
        <v>2089616.2001814716</v>
      </c>
      <c r="E43" s="61"/>
      <c r="F43" s="36"/>
      <c r="G43" s="62"/>
      <c r="H43" s="16"/>
      <c r="I43" s="16"/>
      <c r="J43" s="27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2" ht="16.5" customHeight="1">
      <c r="A44" s="60"/>
      <c r="B44" s="63"/>
      <c r="C44" s="63"/>
      <c r="D44" s="64"/>
      <c r="E44" s="61"/>
      <c r="F44" s="36"/>
      <c r="G44" s="62"/>
      <c r="H44" s="16"/>
      <c r="I44" s="16"/>
      <c r="J44" s="27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2" ht="27.75" customHeight="1">
      <c r="A45" s="48" t="s">
        <v>913</v>
      </c>
      <c r="B45" s="64"/>
      <c r="E45" s="61" t="s">
        <v>914</v>
      </c>
      <c r="F45" s="25">
        <f>5955013.68+5478204+52297.36+220292.1</f>
        <v>11705807.140000001</v>
      </c>
      <c r="G45" s="62"/>
      <c r="H45" s="16"/>
      <c r="I45" s="16"/>
      <c r="J45" s="27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1:22" ht="30" customHeight="1">
      <c r="A46" s="48" t="s">
        <v>915</v>
      </c>
      <c r="B46" s="64"/>
      <c r="E46" s="61"/>
      <c r="G46" s="62"/>
      <c r="H46" s="16"/>
      <c r="I46" s="16"/>
      <c r="J46" s="27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2" ht="37.5" customHeight="1">
      <c r="A47" s="547" t="s">
        <v>916</v>
      </c>
      <c r="B47" s="547"/>
      <c r="E47" s="65"/>
      <c r="G47" s="62"/>
      <c r="H47" s="16"/>
      <c r="I47" s="16"/>
      <c r="J47" s="27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</row>
    <row r="48" spans="1:22" ht="45">
      <c r="A48" s="66" t="s">
        <v>879</v>
      </c>
      <c r="B48" s="66" t="s">
        <v>880</v>
      </c>
      <c r="C48" s="66" t="s">
        <v>881</v>
      </c>
      <c r="D48" s="66" t="s">
        <v>882</v>
      </c>
      <c r="E48" s="66" t="s">
        <v>883</v>
      </c>
    </row>
    <row r="49" spans="1:7" ht="22.5">
      <c r="A49" s="67"/>
      <c r="B49" s="68" t="s">
        <v>917</v>
      </c>
      <c r="C49" s="69"/>
      <c r="D49" s="70"/>
      <c r="E49" s="71"/>
      <c r="F49" s="25">
        <v>76897375.858627498</v>
      </c>
    </row>
    <row r="50" spans="1:7" ht="22.5">
      <c r="A50" s="21">
        <v>1</v>
      </c>
      <c r="B50" s="31" t="s">
        <v>918</v>
      </c>
      <c r="C50" s="23">
        <f>G50*0.3*F49</f>
        <v>3691074.0412141201</v>
      </c>
      <c r="D50" s="23">
        <f>C50*1</f>
        <v>3691074.0412141201</v>
      </c>
      <c r="E50" s="24">
        <f>IF(C50=0,"-",C50-D50)</f>
        <v>0</v>
      </c>
      <c r="F50" s="8" t="s">
        <v>885</v>
      </c>
      <c r="G50" s="43">
        <v>0.16</v>
      </c>
    </row>
    <row r="51" spans="1:7" ht="22.5">
      <c r="A51" s="21">
        <v>2</v>
      </c>
      <c r="B51" s="31" t="s">
        <v>919</v>
      </c>
      <c r="C51" s="23">
        <f>F49*0.1*G50</f>
        <v>1230358.0137380401</v>
      </c>
      <c r="D51" s="23">
        <f>C51*1</f>
        <v>1230358.0137380401</v>
      </c>
      <c r="E51" s="24">
        <f>IF(C51=0,"-",C51-D51)</f>
        <v>0</v>
      </c>
    </row>
    <row r="52" spans="1:7" ht="22.5">
      <c r="A52" s="21">
        <v>3</v>
      </c>
      <c r="B52" s="22" t="s">
        <v>920</v>
      </c>
      <c r="C52" s="23">
        <f>F49*0.6*G50</f>
        <v>7382148.0824282402</v>
      </c>
      <c r="D52" s="23">
        <f>C52*1</f>
        <v>7382148.0824282402</v>
      </c>
      <c r="E52" s="24">
        <f>IF(C52=0,"-",C52-D52)</f>
        <v>0</v>
      </c>
    </row>
    <row r="53" spans="1:7" ht="22.5">
      <c r="A53" s="72"/>
      <c r="B53" s="73" t="s">
        <v>921</v>
      </c>
      <c r="C53" s="74">
        <f>SUM(C50:C52)</f>
        <v>12303580.137380401</v>
      </c>
      <c r="D53" s="74">
        <f>SUM(D50:D52)</f>
        <v>12303580.137380401</v>
      </c>
      <c r="E53" s="74">
        <f>SUM(E50:E52)</f>
        <v>0</v>
      </c>
    </row>
    <row r="54" spans="1:7" ht="22.5">
      <c r="A54" s="75"/>
      <c r="B54" s="68" t="s">
        <v>922</v>
      </c>
      <c r="C54" s="76"/>
      <c r="D54" s="77"/>
      <c r="E54" s="78"/>
    </row>
    <row r="55" spans="1:7" ht="30" customHeight="1">
      <c r="A55" s="21">
        <v>4</v>
      </c>
      <c r="B55" s="22" t="s">
        <v>887</v>
      </c>
      <c r="C55" s="23">
        <f>$F$49*G55</f>
        <v>25376134.0333471</v>
      </c>
      <c r="D55" s="23">
        <f>C55*1</f>
        <v>25376134.0333471</v>
      </c>
      <c r="E55" s="24">
        <f t="shared" ref="E55:E67" si="3">IF(C55=0,"-",C55-D55)</f>
        <v>0</v>
      </c>
      <c r="F55" s="8" t="s">
        <v>887</v>
      </c>
      <c r="G55" s="43">
        <v>0.33</v>
      </c>
    </row>
    <row r="56" spans="1:7" ht="40.5" customHeight="1">
      <c r="A56" s="21">
        <v>5</v>
      </c>
      <c r="B56" s="31" t="s">
        <v>889</v>
      </c>
      <c r="C56" s="23">
        <f t="shared" ref="C56:C67" si="4">$F$49*G56</f>
        <v>1537947.5171725501</v>
      </c>
      <c r="D56" s="23">
        <f>C56*1</f>
        <v>1537947.5171725501</v>
      </c>
      <c r="E56" s="24">
        <f t="shared" si="3"/>
        <v>0</v>
      </c>
      <c r="F56" s="8" t="s">
        <v>889</v>
      </c>
      <c r="G56" s="43">
        <v>0.02</v>
      </c>
    </row>
    <row r="57" spans="1:7" ht="40.5" customHeight="1">
      <c r="A57" s="21">
        <v>6</v>
      </c>
      <c r="B57" s="31" t="s">
        <v>890</v>
      </c>
      <c r="C57" s="23">
        <f t="shared" si="4"/>
        <v>1537947.5171725501</v>
      </c>
      <c r="D57" s="23">
        <f>C57*1</f>
        <v>1537947.5171725501</v>
      </c>
      <c r="E57" s="24">
        <f t="shared" si="3"/>
        <v>0</v>
      </c>
      <c r="F57" s="8" t="s">
        <v>890</v>
      </c>
      <c r="G57" s="43">
        <v>0.02</v>
      </c>
    </row>
    <row r="58" spans="1:7" ht="30" customHeight="1">
      <c r="A58" s="21">
        <v>7</v>
      </c>
      <c r="B58" s="22" t="s">
        <v>891</v>
      </c>
      <c r="C58" s="23">
        <f t="shared" si="4"/>
        <v>768973.75858627504</v>
      </c>
      <c r="D58" s="23">
        <f>C58*1</f>
        <v>768973.75858627504</v>
      </c>
      <c r="E58" s="24">
        <f t="shared" si="3"/>
        <v>0</v>
      </c>
      <c r="F58" s="8" t="s">
        <v>891</v>
      </c>
      <c r="G58" s="43">
        <v>0.01</v>
      </c>
    </row>
    <row r="59" spans="1:7" ht="30" customHeight="1">
      <c r="A59" s="21">
        <v>8</v>
      </c>
      <c r="B59" s="22" t="s">
        <v>892</v>
      </c>
      <c r="C59" s="23">
        <f t="shared" si="4"/>
        <v>2306921.2757588201</v>
      </c>
      <c r="D59" s="23">
        <f>C59*0</f>
        <v>0</v>
      </c>
      <c r="E59" s="24">
        <f t="shared" si="3"/>
        <v>2306921.2757588201</v>
      </c>
      <c r="F59" s="8" t="s">
        <v>892</v>
      </c>
      <c r="G59" s="43">
        <v>0.03</v>
      </c>
    </row>
    <row r="60" spans="1:7" ht="30" customHeight="1">
      <c r="A60" s="21">
        <v>9</v>
      </c>
      <c r="B60" s="22" t="s">
        <v>893</v>
      </c>
      <c r="C60" s="23">
        <f t="shared" si="4"/>
        <v>5382816.3101039203</v>
      </c>
      <c r="D60" s="23">
        <f>C60*1</f>
        <v>5382816.3101039203</v>
      </c>
      <c r="E60" s="24">
        <f t="shared" si="3"/>
        <v>0</v>
      </c>
      <c r="F60" s="8" t="s">
        <v>893</v>
      </c>
      <c r="G60" s="43">
        <v>7.0000000000000007E-2</v>
      </c>
    </row>
    <row r="61" spans="1:7" ht="30" customHeight="1">
      <c r="A61" s="21">
        <v>10</v>
      </c>
      <c r="B61" s="22" t="s">
        <v>894</v>
      </c>
      <c r="C61" s="23">
        <f t="shared" si="4"/>
        <v>6151790.0686902003</v>
      </c>
      <c r="D61" s="23">
        <f>C61*0</f>
        <v>0</v>
      </c>
      <c r="E61" s="24">
        <f t="shared" si="3"/>
        <v>6151790.0686902003</v>
      </c>
      <c r="F61" s="8" t="s">
        <v>894</v>
      </c>
      <c r="G61" s="43">
        <v>0.08</v>
      </c>
    </row>
    <row r="62" spans="1:7" ht="41.25" customHeight="1">
      <c r="A62" s="21">
        <v>11</v>
      </c>
      <c r="B62" s="31" t="s">
        <v>895</v>
      </c>
      <c r="C62" s="23">
        <f t="shared" si="4"/>
        <v>8458711.3444490209</v>
      </c>
      <c r="D62" s="23">
        <f>C62*0.7</f>
        <v>5921097.9411143204</v>
      </c>
      <c r="E62" s="24">
        <f t="shared" si="3"/>
        <v>2537613.4033347098</v>
      </c>
      <c r="F62" s="8" t="s">
        <v>895</v>
      </c>
      <c r="G62" s="43">
        <v>0.11</v>
      </c>
    </row>
    <row r="63" spans="1:7" ht="41.25" customHeight="1">
      <c r="A63" s="21">
        <v>12</v>
      </c>
      <c r="B63" s="31" t="s">
        <v>896</v>
      </c>
      <c r="C63" s="23">
        <f t="shared" si="4"/>
        <v>2306921.2757588201</v>
      </c>
      <c r="D63" s="23">
        <f>C63*1</f>
        <v>2306921.2757588201</v>
      </c>
      <c r="E63" s="24">
        <f t="shared" si="3"/>
        <v>0</v>
      </c>
      <c r="F63" s="8" t="s">
        <v>896</v>
      </c>
      <c r="G63" s="43">
        <v>0.03</v>
      </c>
    </row>
    <row r="64" spans="1:7" ht="30" customHeight="1">
      <c r="A64" s="21">
        <v>13</v>
      </c>
      <c r="B64" s="22" t="s">
        <v>897</v>
      </c>
      <c r="C64" s="23">
        <f t="shared" si="4"/>
        <v>4613842.5515176496</v>
      </c>
      <c r="D64" s="23">
        <f>C64*1</f>
        <v>4613842.5515176496</v>
      </c>
      <c r="E64" s="24">
        <f t="shared" si="3"/>
        <v>0</v>
      </c>
      <c r="F64" s="8" t="s">
        <v>897</v>
      </c>
      <c r="G64" s="43">
        <v>0.06</v>
      </c>
    </row>
    <row r="65" spans="1:7" ht="42.75" customHeight="1">
      <c r="A65" s="21">
        <v>14</v>
      </c>
      <c r="B65" s="31" t="s">
        <v>898</v>
      </c>
      <c r="C65" s="23">
        <f t="shared" si="4"/>
        <v>0</v>
      </c>
      <c r="D65" s="23">
        <f>C65*0</f>
        <v>0</v>
      </c>
      <c r="E65" s="24" t="str">
        <f t="shared" si="3"/>
        <v>-</v>
      </c>
      <c r="F65" s="8" t="s">
        <v>898</v>
      </c>
      <c r="G65" s="43">
        <v>0</v>
      </c>
    </row>
    <row r="66" spans="1:7" ht="30" customHeight="1">
      <c r="A66" s="21">
        <v>15</v>
      </c>
      <c r="B66" s="22" t="s">
        <v>899</v>
      </c>
      <c r="C66" s="23">
        <f t="shared" si="4"/>
        <v>1537947.5171725501</v>
      </c>
      <c r="D66" s="23">
        <f>C66*0.6</f>
        <v>922768.51030353003</v>
      </c>
      <c r="E66" s="24">
        <f t="shared" si="3"/>
        <v>615179.00686902006</v>
      </c>
      <c r="F66" s="8" t="s">
        <v>899</v>
      </c>
      <c r="G66" s="43">
        <v>0.02</v>
      </c>
    </row>
    <row r="67" spans="1:7" ht="30" customHeight="1">
      <c r="A67" s="21">
        <v>16</v>
      </c>
      <c r="B67" s="22" t="s">
        <v>900</v>
      </c>
      <c r="C67" s="23">
        <f t="shared" si="4"/>
        <v>4613842.5515176496</v>
      </c>
      <c r="D67" s="23">
        <f>C67*0.6</f>
        <v>2768305.5309105902</v>
      </c>
      <c r="E67" s="24">
        <f t="shared" si="3"/>
        <v>1845537.0206070601</v>
      </c>
      <c r="F67" s="8" t="s">
        <v>900</v>
      </c>
      <c r="G67" s="43">
        <v>0.06</v>
      </c>
    </row>
    <row r="68" spans="1:7" ht="22.5">
      <c r="A68" s="79"/>
      <c r="B68" s="73" t="s">
        <v>923</v>
      </c>
      <c r="C68" s="80">
        <f>SUM(C55:C67)</f>
        <v>64593795.721247099</v>
      </c>
      <c r="D68" s="80">
        <f>SUM(D55:D67)</f>
        <v>51136754.945987299</v>
      </c>
      <c r="E68" s="80">
        <f>SUM(E55:E67)</f>
        <v>13457040.7752598</v>
      </c>
    </row>
    <row r="69" spans="1:7" ht="22.5">
      <c r="A69" s="72"/>
      <c r="B69" s="73" t="s">
        <v>924</v>
      </c>
      <c r="C69" s="80">
        <f>C53+C68</f>
        <v>76897375.858627498</v>
      </c>
      <c r="D69" s="80">
        <f>D53+D68</f>
        <v>63440335.083367698</v>
      </c>
      <c r="E69" s="81">
        <f>IF(C69=0,"-",C69-D69)</f>
        <v>13457040.7752598</v>
      </c>
      <c r="G69" s="82">
        <f>SUM(G50:G68)</f>
        <v>1</v>
      </c>
    </row>
    <row r="70" spans="1:7" ht="22.5">
      <c r="A70" s="72"/>
      <c r="B70" s="73" t="s">
        <v>925</v>
      </c>
      <c r="C70" s="80"/>
      <c r="D70" s="80"/>
      <c r="E70" s="80"/>
    </row>
    <row r="71" spans="1:7" ht="22.5">
      <c r="A71" s="72"/>
      <c r="B71" s="83" t="s">
        <v>926</v>
      </c>
      <c r="C71" s="80">
        <f>C69</f>
        <v>76897375.858627498</v>
      </c>
      <c r="D71" s="80">
        <f t="shared" ref="D71:E71" si="5">D69+D70</f>
        <v>63440335.083367698</v>
      </c>
      <c r="E71" s="80">
        <f t="shared" si="5"/>
        <v>13457040.7752598</v>
      </c>
    </row>
    <row r="72" spans="1:7" ht="22.5">
      <c r="A72" s="84"/>
      <c r="B72" s="51" t="s">
        <v>927</v>
      </c>
      <c r="C72" s="85">
        <f>C71/C71</f>
        <v>1</v>
      </c>
      <c r="D72" s="86">
        <f>D71/C71</f>
        <v>0.82499999999999996</v>
      </c>
      <c r="E72" s="86">
        <f>IF(C71=0,"-",E71/C71)</f>
        <v>0.17499999999999999</v>
      </c>
    </row>
    <row r="73" spans="1:7" ht="36.75" customHeight="1"/>
    <row r="74" spans="1:7" ht="30.75" customHeight="1">
      <c r="A74" s="547" t="s">
        <v>928</v>
      </c>
      <c r="B74" s="547"/>
    </row>
    <row r="75" spans="1:7" ht="45">
      <c r="A75" s="66" t="s">
        <v>879</v>
      </c>
      <c r="B75" s="66" t="s">
        <v>880</v>
      </c>
      <c r="C75" s="66" t="s">
        <v>881</v>
      </c>
      <c r="D75" s="66" t="s">
        <v>882</v>
      </c>
      <c r="E75" s="66" t="s">
        <v>883</v>
      </c>
    </row>
    <row r="76" spans="1:7" ht="22.5">
      <c r="A76" s="67"/>
      <c r="B76" s="68" t="s">
        <v>917</v>
      </c>
      <c r="C76" s="69"/>
      <c r="D76" s="70"/>
      <c r="E76" s="71"/>
      <c r="F76" s="25">
        <v>4447228.5328000002</v>
      </c>
    </row>
    <row r="77" spans="1:7" ht="22.5">
      <c r="A77" s="21">
        <v>1</v>
      </c>
      <c r="B77" s="31" t="s">
        <v>918</v>
      </c>
      <c r="C77" s="23">
        <f>F76*G77*0.3</f>
        <v>106733.4847872</v>
      </c>
      <c r="D77" s="23">
        <f>C77*1</f>
        <v>106733.4847872</v>
      </c>
      <c r="E77" s="24">
        <f>IF(C77=0,"-",C77-D77)</f>
        <v>0</v>
      </c>
      <c r="F77" s="8" t="s">
        <v>885</v>
      </c>
      <c r="G77" s="43">
        <v>0.08</v>
      </c>
    </row>
    <row r="78" spans="1:7" ht="22.5">
      <c r="A78" s="21">
        <v>2</v>
      </c>
      <c r="B78" s="31" t="s">
        <v>919</v>
      </c>
      <c r="C78" s="23">
        <f>F76*0.1*G77</f>
        <v>35577.828262399998</v>
      </c>
      <c r="D78" s="23">
        <f>C78*1</f>
        <v>35577.828262399998</v>
      </c>
      <c r="E78" s="24">
        <f>IF(C78=0,"-",C78-D78)</f>
        <v>0</v>
      </c>
    </row>
    <row r="79" spans="1:7" ht="22.5">
      <c r="A79" s="21">
        <v>3</v>
      </c>
      <c r="B79" s="22" t="s">
        <v>920</v>
      </c>
      <c r="C79" s="23">
        <f>F76*0.6*G77</f>
        <v>213466.96957439999</v>
      </c>
      <c r="D79" s="23">
        <f>C79*1</f>
        <v>213466.96957439999</v>
      </c>
      <c r="E79" s="24">
        <f>IF(C79=0,"-",C79-D79)</f>
        <v>0</v>
      </c>
    </row>
    <row r="80" spans="1:7" ht="22.5">
      <c r="A80" s="72"/>
      <c r="B80" s="73" t="s">
        <v>921</v>
      </c>
      <c r="C80" s="74">
        <f>SUM(C77:C79)</f>
        <v>355778.28262399998</v>
      </c>
      <c r="D80" s="74">
        <f>SUM(D77:D79)</f>
        <v>355778.28262399998</v>
      </c>
      <c r="E80" s="74">
        <f>SUM(E77:E79)</f>
        <v>0</v>
      </c>
    </row>
    <row r="81" spans="1:7" ht="22.5">
      <c r="A81" s="75"/>
      <c r="B81" s="68" t="s">
        <v>922</v>
      </c>
      <c r="C81" s="76"/>
      <c r="D81" s="77"/>
      <c r="E81" s="78"/>
    </row>
    <row r="82" spans="1:7" ht="30" customHeight="1">
      <c r="A82" s="21">
        <v>4</v>
      </c>
      <c r="B82" s="22" t="s">
        <v>929</v>
      </c>
      <c r="C82" s="23">
        <f>$F$76*G82</f>
        <v>400250.56795200001</v>
      </c>
      <c r="D82" s="23">
        <f t="shared" ref="D82:D94" si="6">C82*1</f>
        <v>400250.56795200001</v>
      </c>
      <c r="E82" s="24">
        <f t="shared" ref="E82:E94" si="7">IF(C82=0,"-",C82-D82)</f>
        <v>0</v>
      </c>
      <c r="F82" s="8" t="s">
        <v>887</v>
      </c>
      <c r="G82" s="43">
        <v>0.09</v>
      </c>
    </row>
    <row r="83" spans="1:7" ht="42" customHeight="1">
      <c r="A83" s="21">
        <v>5</v>
      </c>
      <c r="B83" s="31" t="s">
        <v>889</v>
      </c>
      <c r="C83" s="23">
        <f t="shared" ref="C83:C94" si="8">$F$76*G83</f>
        <v>222361.42663999999</v>
      </c>
      <c r="D83" s="23">
        <f t="shared" si="6"/>
        <v>222361.42663999999</v>
      </c>
      <c r="E83" s="24">
        <f t="shared" si="7"/>
        <v>0</v>
      </c>
      <c r="F83" s="8" t="s">
        <v>889</v>
      </c>
      <c r="G83" s="43">
        <v>0.05</v>
      </c>
    </row>
    <row r="84" spans="1:7" ht="42" customHeight="1">
      <c r="A84" s="21">
        <v>6</v>
      </c>
      <c r="B84" s="31" t="s">
        <v>890</v>
      </c>
      <c r="C84" s="23">
        <f t="shared" si="8"/>
        <v>578139.70926399995</v>
      </c>
      <c r="D84" s="23">
        <f t="shared" si="6"/>
        <v>578139.70926399995</v>
      </c>
      <c r="E84" s="24">
        <f t="shared" si="7"/>
        <v>0</v>
      </c>
      <c r="F84" s="8" t="s">
        <v>890</v>
      </c>
      <c r="G84" s="43">
        <v>0.13</v>
      </c>
    </row>
    <row r="85" spans="1:7" ht="30" customHeight="1">
      <c r="A85" s="21">
        <v>7</v>
      </c>
      <c r="B85" s="22" t="s">
        <v>891</v>
      </c>
      <c r="C85" s="23">
        <f t="shared" si="8"/>
        <v>355778.28262399998</v>
      </c>
      <c r="D85" s="23">
        <f t="shared" si="6"/>
        <v>355778.28262399998</v>
      </c>
      <c r="E85" s="24">
        <f t="shared" si="7"/>
        <v>0</v>
      </c>
      <c r="F85" s="8" t="s">
        <v>891</v>
      </c>
      <c r="G85" s="43">
        <v>0.08</v>
      </c>
    </row>
    <row r="86" spans="1:7" ht="30" customHeight="1">
      <c r="A86" s="21">
        <v>8</v>
      </c>
      <c r="B86" s="22" t="s">
        <v>892</v>
      </c>
      <c r="C86" s="23">
        <f t="shared" si="8"/>
        <v>133416.85598399999</v>
      </c>
      <c r="D86" s="23">
        <f t="shared" si="6"/>
        <v>133416.85598399999</v>
      </c>
      <c r="E86" s="24">
        <f t="shared" si="7"/>
        <v>0</v>
      </c>
      <c r="F86" s="8" t="s">
        <v>892</v>
      </c>
      <c r="G86" s="43">
        <v>0.03</v>
      </c>
    </row>
    <row r="87" spans="1:7" ht="30" customHeight="1">
      <c r="A87" s="21">
        <v>9</v>
      </c>
      <c r="B87" s="22" t="s">
        <v>893</v>
      </c>
      <c r="C87" s="23">
        <f t="shared" si="8"/>
        <v>222361.42663999999</v>
      </c>
      <c r="D87" s="23">
        <f t="shared" si="6"/>
        <v>222361.42663999999</v>
      </c>
      <c r="E87" s="24">
        <f t="shared" si="7"/>
        <v>0</v>
      </c>
      <c r="F87" s="8" t="s">
        <v>893</v>
      </c>
      <c r="G87" s="43">
        <v>0.05</v>
      </c>
    </row>
    <row r="88" spans="1:7" ht="30" customHeight="1">
      <c r="A88" s="21">
        <v>10</v>
      </c>
      <c r="B88" s="22" t="s">
        <v>894</v>
      </c>
      <c r="C88" s="23">
        <f t="shared" si="8"/>
        <v>266833.71196799999</v>
      </c>
      <c r="D88" s="23">
        <f t="shared" si="6"/>
        <v>266833.71196799999</v>
      </c>
      <c r="E88" s="24">
        <f t="shared" si="7"/>
        <v>0</v>
      </c>
      <c r="F88" s="8" t="s">
        <v>894</v>
      </c>
      <c r="G88" s="43">
        <v>0.06</v>
      </c>
    </row>
    <row r="89" spans="1:7" ht="47.25" customHeight="1">
      <c r="A89" s="21">
        <v>11</v>
      </c>
      <c r="B89" s="31" t="s">
        <v>895</v>
      </c>
      <c r="C89" s="23">
        <f t="shared" si="8"/>
        <v>800501.13590400002</v>
      </c>
      <c r="D89" s="23">
        <f t="shared" si="6"/>
        <v>800501.13590400002</v>
      </c>
      <c r="E89" s="24">
        <f t="shared" si="7"/>
        <v>0</v>
      </c>
      <c r="F89" s="8" t="s">
        <v>895</v>
      </c>
      <c r="G89" s="43">
        <v>0.18</v>
      </c>
    </row>
    <row r="90" spans="1:7" ht="47.25" customHeight="1">
      <c r="A90" s="21">
        <v>12</v>
      </c>
      <c r="B90" s="31" t="s">
        <v>896</v>
      </c>
      <c r="C90" s="23">
        <f t="shared" si="8"/>
        <v>444722.85327999998</v>
      </c>
      <c r="D90" s="23">
        <f t="shared" si="6"/>
        <v>444722.85327999998</v>
      </c>
      <c r="E90" s="24">
        <f t="shared" si="7"/>
        <v>0</v>
      </c>
      <c r="F90" s="8" t="s">
        <v>896</v>
      </c>
      <c r="G90" s="43">
        <v>0.1</v>
      </c>
    </row>
    <row r="91" spans="1:7" ht="30" customHeight="1">
      <c r="A91" s="21">
        <v>13</v>
      </c>
      <c r="B91" s="22" t="s">
        <v>897</v>
      </c>
      <c r="C91" s="23">
        <f t="shared" si="8"/>
        <v>355778.28262399998</v>
      </c>
      <c r="D91" s="23">
        <f t="shared" si="6"/>
        <v>355778.28262399998</v>
      </c>
      <c r="E91" s="24">
        <f t="shared" si="7"/>
        <v>0</v>
      </c>
      <c r="F91" s="8" t="s">
        <v>897</v>
      </c>
      <c r="G91" s="43">
        <v>0.08</v>
      </c>
    </row>
    <row r="92" spans="1:7" ht="43.5" customHeight="1">
      <c r="A92" s="21">
        <v>14</v>
      </c>
      <c r="B92" s="31" t="s">
        <v>898</v>
      </c>
      <c r="C92" s="23">
        <f t="shared" si="8"/>
        <v>133416.85598399999</v>
      </c>
      <c r="D92" s="23">
        <f t="shared" si="6"/>
        <v>133416.85598399999</v>
      </c>
      <c r="E92" s="24">
        <f t="shared" si="7"/>
        <v>0</v>
      </c>
      <c r="F92" s="8" t="s">
        <v>898</v>
      </c>
      <c r="G92" s="43">
        <v>0.03</v>
      </c>
    </row>
    <row r="93" spans="1:7" ht="30" customHeight="1">
      <c r="A93" s="21">
        <v>15</v>
      </c>
      <c r="B93" s="22" t="s">
        <v>899</v>
      </c>
      <c r="C93" s="23">
        <f t="shared" si="8"/>
        <v>88944.570655999996</v>
      </c>
      <c r="D93" s="23">
        <f t="shared" si="6"/>
        <v>88944.570655999996</v>
      </c>
      <c r="E93" s="24">
        <f t="shared" si="7"/>
        <v>0</v>
      </c>
      <c r="F93" s="8" t="s">
        <v>899</v>
      </c>
      <c r="G93" s="43">
        <v>0.02</v>
      </c>
    </row>
    <row r="94" spans="1:7" ht="30" customHeight="1">
      <c r="A94" s="21">
        <v>16</v>
      </c>
      <c r="B94" s="22" t="s">
        <v>900</v>
      </c>
      <c r="C94" s="23">
        <f t="shared" si="8"/>
        <v>88944.570655999996</v>
      </c>
      <c r="D94" s="23">
        <f t="shared" si="6"/>
        <v>88944.570655999996</v>
      </c>
      <c r="E94" s="24">
        <f t="shared" si="7"/>
        <v>0</v>
      </c>
      <c r="F94" s="8" t="s">
        <v>900</v>
      </c>
      <c r="G94" s="43">
        <v>0.02</v>
      </c>
    </row>
    <row r="95" spans="1:7" ht="22.5">
      <c r="A95" s="79"/>
      <c r="B95" s="73" t="s">
        <v>923</v>
      </c>
      <c r="C95" s="80">
        <f>SUM(C82:C94)</f>
        <v>4091450.2501759999</v>
      </c>
      <c r="D95" s="80">
        <f>SUM(D82:D94)</f>
        <v>4091450.2501759999</v>
      </c>
      <c r="E95" s="80">
        <f>SUM(E82:E94)</f>
        <v>0</v>
      </c>
    </row>
    <row r="96" spans="1:7" ht="22.5">
      <c r="A96" s="72"/>
      <c r="B96" s="73" t="s">
        <v>924</v>
      </c>
      <c r="C96" s="80">
        <f>C80+C95</f>
        <v>4447228.5328000002</v>
      </c>
      <c r="D96" s="80">
        <f>D80+D95</f>
        <v>4447228.5328000002</v>
      </c>
      <c r="E96" s="81">
        <f>IF(C96=0,"-",C96-D96)</f>
        <v>0</v>
      </c>
    </row>
    <row r="97" spans="1:5" ht="22.5">
      <c r="A97" s="72"/>
      <c r="B97" s="73" t="s">
        <v>925</v>
      </c>
      <c r="C97" s="80"/>
      <c r="D97" s="80"/>
      <c r="E97" s="80"/>
    </row>
    <row r="98" spans="1:5" ht="22.5">
      <c r="A98" s="72"/>
      <c r="B98" s="83" t="s">
        <v>926</v>
      </c>
      <c r="C98" s="80">
        <f>C96</f>
        <v>4447228.5328000002</v>
      </c>
      <c r="D98" s="80">
        <f t="shared" ref="D98:E98" si="9">D96+D97</f>
        <v>4447228.5328000002</v>
      </c>
      <c r="E98" s="80">
        <f t="shared" si="9"/>
        <v>0</v>
      </c>
    </row>
    <row r="99" spans="1:5" ht="22.5">
      <c r="A99" s="84"/>
      <c r="B99" s="51" t="s">
        <v>927</v>
      </c>
      <c r="C99" s="85">
        <f>C98/C98</f>
        <v>1</v>
      </c>
      <c r="D99" s="86">
        <f>D98/C98</f>
        <v>1</v>
      </c>
      <c r="E99" s="86">
        <f>IF(C98=0,"-",E98/C98)</f>
        <v>0</v>
      </c>
    </row>
  </sheetData>
  <protectedRanges>
    <protectedRange sqref="G43:G47" name="Range1_1_1_1"/>
    <protectedRange sqref="B68:B70 A49:B55 C50:D52 A56:A71 B95:B97 A76:B82 C77:D79 A83:A98 C82:D94 C55:D67 A14:B14 B28:B31 A15:A31 C14:D27" name="Range1_1_1_1_1"/>
  </protectedRanges>
  <mergeCells count="11">
    <mergeCell ref="A5:B5"/>
    <mergeCell ref="A6:B6"/>
    <mergeCell ref="A8:B8"/>
    <mergeCell ref="A9:B9"/>
    <mergeCell ref="A12:B12"/>
    <mergeCell ref="A74:B74"/>
    <mergeCell ref="B39:E39"/>
    <mergeCell ref="B41:C41"/>
    <mergeCell ref="B42:C42"/>
    <mergeCell ref="B43:C43"/>
    <mergeCell ref="A47:B47"/>
  </mergeCells>
  <pageMargins left="0.70866141732283505" right="0.70866141732283505" top="0.74803149606299202" bottom="0.74803149606299202" header="0.31496062992126" footer="0.31496062992126"/>
  <pageSetup scale="50" orientation="portrait" r:id="rId1"/>
  <rowBreaks count="1" manualBreakCount="1">
    <brk id="46" max="4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6:Z26"/>
  <sheetViews>
    <sheetView topLeftCell="B6" zoomScale="80" zoomScaleNormal="80" workbookViewId="0">
      <selection activeCell="V12" sqref="S26 V9 V11 V12"/>
    </sheetView>
  </sheetViews>
  <sheetFormatPr defaultColWidth="9" defaultRowHeight="15"/>
  <cols>
    <col min="5" max="5" width="23.140625" customWidth="1"/>
  </cols>
  <sheetData>
    <row r="6" spans="5:26" ht="27" customHeight="1">
      <c r="E6" s="555" t="s">
        <v>930</v>
      </c>
      <c r="F6" s="557" t="s">
        <v>931</v>
      </c>
      <c r="G6" s="558"/>
      <c r="H6" s="559"/>
      <c r="I6" s="557" t="s">
        <v>932</v>
      </c>
      <c r="J6" s="558"/>
      <c r="K6" s="559"/>
      <c r="L6" s="557" t="s">
        <v>933</v>
      </c>
      <c r="M6" s="558"/>
      <c r="N6" s="559"/>
      <c r="O6" s="557" t="s">
        <v>934</v>
      </c>
      <c r="P6" s="558"/>
      <c r="Q6" s="559"/>
      <c r="R6" s="557" t="s">
        <v>935</v>
      </c>
      <c r="S6" s="558"/>
      <c r="T6" s="559"/>
      <c r="U6" s="552" t="s">
        <v>936</v>
      </c>
      <c r="V6" s="553"/>
      <c r="W6" s="554"/>
    </row>
    <row r="7" spans="5:26">
      <c r="E7" s="556"/>
      <c r="F7" s="3" t="s">
        <v>937</v>
      </c>
      <c r="G7" s="3" t="s">
        <v>938</v>
      </c>
      <c r="H7" s="3" t="s">
        <v>939</v>
      </c>
      <c r="I7" s="3" t="s">
        <v>937</v>
      </c>
      <c r="J7" s="3" t="s">
        <v>938</v>
      </c>
      <c r="K7" s="3" t="s">
        <v>939</v>
      </c>
      <c r="L7" s="3" t="s">
        <v>937</v>
      </c>
      <c r="M7" s="3" t="s">
        <v>938</v>
      </c>
      <c r="N7" s="3" t="s">
        <v>939</v>
      </c>
      <c r="O7" s="3" t="s">
        <v>937</v>
      </c>
      <c r="P7" s="3" t="s">
        <v>938</v>
      </c>
      <c r="Q7" s="3" t="s">
        <v>939</v>
      </c>
      <c r="R7" s="3" t="s">
        <v>937</v>
      </c>
      <c r="S7" s="3" t="s">
        <v>938</v>
      </c>
      <c r="T7" s="3" t="s">
        <v>939</v>
      </c>
      <c r="U7" s="3" t="s">
        <v>937</v>
      </c>
      <c r="V7" s="3" t="s">
        <v>938</v>
      </c>
      <c r="W7" s="3" t="s">
        <v>939</v>
      </c>
    </row>
    <row r="8" spans="5:26">
      <c r="E8" s="4" t="s">
        <v>885</v>
      </c>
      <c r="F8" s="5">
        <v>0.13</v>
      </c>
      <c r="G8" s="5">
        <v>0.12</v>
      </c>
      <c r="H8" s="5">
        <v>7.0000000000000007E-2</v>
      </c>
      <c r="I8" s="5">
        <v>0.28999999999999998</v>
      </c>
      <c r="J8" s="5">
        <v>0.19</v>
      </c>
      <c r="K8" s="5">
        <v>0.08</v>
      </c>
      <c r="L8" s="5">
        <v>0.27</v>
      </c>
      <c r="M8" s="5">
        <v>0.19</v>
      </c>
      <c r="N8" s="5">
        <v>0.1</v>
      </c>
      <c r="O8" s="5">
        <v>0.34</v>
      </c>
      <c r="P8" s="5">
        <v>0.25</v>
      </c>
      <c r="Q8" s="5">
        <v>0.15</v>
      </c>
      <c r="R8" s="5">
        <v>0.23</v>
      </c>
      <c r="S8" s="5">
        <v>0.16</v>
      </c>
      <c r="T8" s="5">
        <v>0.1</v>
      </c>
      <c r="U8" s="5">
        <v>0.06</v>
      </c>
      <c r="V8" s="5">
        <v>0.25</v>
      </c>
      <c r="W8" s="5">
        <v>0.18</v>
      </c>
      <c r="Y8">
        <f>T8*1</f>
        <v>0.1</v>
      </c>
      <c r="Z8">
        <f>T8*1</f>
        <v>0.1</v>
      </c>
    </row>
    <row r="9" spans="5:26">
      <c r="E9" s="4" t="s">
        <v>887</v>
      </c>
      <c r="F9" s="5">
        <v>0</v>
      </c>
      <c r="G9" s="5">
        <v>7.0000000000000007E-2</v>
      </c>
      <c r="H9" s="5">
        <v>7.0000000000000007E-2</v>
      </c>
      <c r="I9" s="5">
        <v>0.33</v>
      </c>
      <c r="J9" s="5">
        <v>0.22</v>
      </c>
      <c r="K9" s="5">
        <v>0.09</v>
      </c>
      <c r="L9" s="5">
        <v>0.41</v>
      </c>
      <c r="M9" s="5">
        <v>0.28999999999999998</v>
      </c>
      <c r="N9" s="5">
        <v>0.16</v>
      </c>
      <c r="O9" s="5">
        <v>0.34</v>
      </c>
      <c r="P9" s="5">
        <v>0.26</v>
      </c>
      <c r="Q9" s="5">
        <v>0.16</v>
      </c>
      <c r="R9" s="5">
        <v>0.46</v>
      </c>
      <c r="S9" s="5">
        <v>0.33</v>
      </c>
      <c r="T9" s="5">
        <v>0.18</v>
      </c>
      <c r="U9" s="5">
        <v>0</v>
      </c>
      <c r="V9" s="5">
        <v>0.08</v>
      </c>
      <c r="W9" s="5">
        <v>0.09</v>
      </c>
      <c r="Y9">
        <f>T9*0.833</f>
        <v>0.14993999999999999</v>
      </c>
      <c r="Z9">
        <f t="shared" ref="Z9:Z21" si="0">T9*1</f>
        <v>0.18</v>
      </c>
    </row>
    <row r="10" spans="5:26">
      <c r="E10" s="4" t="s">
        <v>889</v>
      </c>
      <c r="F10" s="5">
        <v>0.04</v>
      </c>
      <c r="G10" s="5">
        <v>0.05</v>
      </c>
      <c r="H10" s="5">
        <v>0.04</v>
      </c>
      <c r="I10" s="5">
        <v>0.03</v>
      </c>
      <c r="J10" s="5">
        <v>0.03</v>
      </c>
      <c r="K10" s="5">
        <v>0.05</v>
      </c>
      <c r="L10" s="5">
        <v>0.03</v>
      </c>
      <c r="M10" s="5">
        <v>0.02</v>
      </c>
      <c r="N10" s="5">
        <v>0.03</v>
      </c>
      <c r="O10" s="5">
        <v>0.02</v>
      </c>
      <c r="P10" s="5">
        <v>0.02</v>
      </c>
      <c r="Q10" s="5">
        <v>0.01</v>
      </c>
      <c r="R10" s="5">
        <v>0.03</v>
      </c>
      <c r="S10" s="5">
        <v>0.02</v>
      </c>
      <c r="T10" s="5">
        <v>0.02</v>
      </c>
      <c r="U10" s="5">
        <v>0</v>
      </c>
      <c r="V10" s="5">
        <v>0</v>
      </c>
      <c r="W10" s="5">
        <v>0</v>
      </c>
      <c r="Y10">
        <f>T10*0.5</f>
        <v>0.01</v>
      </c>
      <c r="Z10">
        <f t="shared" si="0"/>
        <v>0.02</v>
      </c>
    </row>
    <row r="11" spans="5:26">
      <c r="E11" s="4" t="s">
        <v>890</v>
      </c>
      <c r="F11" s="5">
        <v>0.03</v>
      </c>
      <c r="G11" s="5">
        <v>0.05</v>
      </c>
      <c r="H11" s="5">
        <v>0.06</v>
      </c>
      <c r="I11" s="5">
        <v>7.0000000000000007E-2</v>
      </c>
      <c r="J11" s="5">
        <v>0.09</v>
      </c>
      <c r="K11" s="5">
        <v>0.13</v>
      </c>
      <c r="L11" s="5">
        <v>0.04</v>
      </c>
      <c r="M11" s="5">
        <v>0.05</v>
      </c>
      <c r="N11" s="5">
        <v>0.05</v>
      </c>
      <c r="O11" s="5">
        <v>0.02</v>
      </c>
      <c r="P11" s="5">
        <v>0.03</v>
      </c>
      <c r="Q11" s="5">
        <v>0.03</v>
      </c>
      <c r="R11" s="5">
        <v>0.03</v>
      </c>
      <c r="S11" s="5">
        <v>0.02</v>
      </c>
      <c r="T11" s="5">
        <v>0.02</v>
      </c>
      <c r="U11" s="5">
        <v>0.19</v>
      </c>
      <c r="V11" s="5">
        <v>0.13</v>
      </c>
      <c r="W11" s="5">
        <v>0.09</v>
      </c>
      <c r="Y11">
        <f>T11*0.5</f>
        <v>0.01</v>
      </c>
      <c r="Z11">
        <f t="shared" si="0"/>
        <v>0.02</v>
      </c>
    </row>
    <row r="12" spans="5:26">
      <c r="E12" s="4" t="s">
        <v>891</v>
      </c>
      <c r="F12" s="5">
        <v>0.17</v>
      </c>
      <c r="G12" s="5">
        <v>0.1</v>
      </c>
      <c r="H12" s="5">
        <v>0.03</v>
      </c>
      <c r="I12" s="5">
        <v>0.04</v>
      </c>
      <c r="J12" s="5">
        <v>0.05</v>
      </c>
      <c r="K12" s="5">
        <v>0.08</v>
      </c>
      <c r="L12" s="5">
        <v>0.02</v>
      </c>
      <c r="M12" s="5">
        <v>0.03</v>
      </c>
      <c r="N12" s="5">
        <v>0.08</v>
      </c>
      <c r="O12" s="5">
        <v>0.01</v>
      </c>
      <c r="P12" s="5">
        <v>0.01</v>
      </c>
      <c r="Q12" s="5">
        <v>0.03</v>
      </c>
      <c r="R12" s="5">
        <v>0.01</v>
      </c>
      <c r="S12" s="5">
        <v>0.01</v>
      </c>
      <c r="T12" s="5">
        <v>0.02</v>
      </c>
      <c r="U12" s="5">
        <v>0.51</v>
      </c>
      <c r="V12" s="5">
        <v>0.22</v>
      </c>
      <c r="W12" s="5">
        <v>0.12</v>
      </c>
      <c r="Y12">
        <f>T12*0</f>
        <v>0</v>
      </c>
      <c r="Z12">
        <f t="shared" si="0"/>
        <v>0.02</v>
      </c>
    </row>
    <row r="13" spans="5:26">
      <c r="E13" s="4" t="s">
        <v>892</v>
      </c>
      <c r="F13" s="5">
        <v>0.03</v>
      </c>
      <c r="G13" s="5">
        <v>0.06</v>
      </c>
      <c r="H13" s="5">
        <v>0.1</v>
      </c>
      <c r="I13" s="5">
        <v>0.01</v>
      </c>
      <c r="J13" s="5">
        <v>0.02</v>
      </c>
      <c r="K13" s="5">
        <v>0.03</v>
      </c>
      <c r="L13" s="5">
        <v>0.01</v>
      </c>
      <c r="M13" s="5">
        <v>0.02</v>
      </c>
      <c r="N13" s="5">
        <v>0.02</v>
      </c>
      <c r="O13" s="5">
        <v>0.02</v>
      </c>
      <c r="P13" s="5">
        <v>0.03</v>
      </c>
      <c r="Q13" s="5">
        <v>0.03</v>
      </c>
      <c r="R13" s="5">
        <v>0.02</v>
      </c>
      <c r="S13" s="5">
        <v>0.03</v>
      </c>
      <c r="T13" s="5">
        <v>0.03</v>
      </c>
      <c r="U13" s="5">
        <v>0.1</v>
      </c>
      <c r="V13" s="5">
        <v>0.02</v>
      </c>
      <c r="W13" s="5">
        <v>0</v>
      </c>
      <c r="Y13">
        <f t="shared" ref="Y13:Y19" si="1">T13*0</f>
        <v>0</v>
      </c>
      <c r="Z13">
        <f t="shared" si="0"/>
        <v>0.03</v>
      </c>
    </row>
    <row r="14" spans="5:26">
      <c r="E14" s="4" t="s">
        <v>893</v>
      </c>
      <c r="F14" s="6">
        <v>0.2</v>
      </c>
      <c r="G14" s="6">
        <v>0.1</v>
      </c>
      <c r="H14" s="6">
        <v>0.08</v>
      </c>
      <c r="I14" s="5">
        <v>0.09</v>
      </c>
      <c r="J14" s="5">
        <v>7.0000000000000007E-2</v>
      </c>
      <c r="K14" s="5">
        <v>0.05</v>
      </c>
      <c r="L14" s="5">
        <v>0.09</v>
      </c>
      <c r="M14" s="5">
        <v>7.0000000000000007E-2</v>
      </c>
      <c r="N14" s="5">
        <v>0.06</v>
      </c>
      <c r="O14" s="5">
        <v>0.05</v>
      </c>
      <c r="P14" s="5">
        <v>0.04</v>
      </c>
      <c r="Q14" s="5">
        <v>0.04</v>
      </c>
      <c r="R14" s="5">
        <v>0.08</v>
      </c>
      <c r="S14" s="5">
        <v>7.0000000000000007E-2</v>
      </c>
      <c r="T14" s="5">
        <v>7.0000000000000007E-2</v>
      </c>
      <c r="U14" s="5">
        <v>0</v>
      </c>
      <c r="V14" s="5">
        <v>0.04</v>
      </c>
      <c r="W14" s="5">
        <v>0.08</v>
      </c>
      <c r="Y14">
        <f t="shared" si="1"/>
        <v>0</v>
      </c>
      <c r="Z14">
        <f t="shared" si="0"/>
        <v>7.0000000000000007E-2</v>
      </c>
    </row>
    <row r="15" spans="5:26">
      <c r="E15" s="4" t="s">
        <v>894</v>
      </c>
      <c r="F15" s="5">
        <v>0.03</v>
      </c>
      <c r="G15" s="5">
        <v>0.1</v>
      </c>
      <c r="H15" s="5">
        <v>0.1</v>
      </c>
      <c r="I15" s="5">
        <v>0.02</v>
      </c>
      <c r="J15" s="5">
        <v>0.06</v>
      </c>
      <c r="K15" s="5">
        <v>0.06</v>
      </c>
      <c r="L15" s="5">
        <v>0.02</v>
      </c>
      <c r="M15" s="5">
        <v>7.0000000000000007E-2</v>
      </c>
      <c r="N15" s="5">
        <v>0.09</v>
      </c>
      <c r="O15" s="5">
        <v>0.02</v>
      </c>
      <c r="P15" s="5">
        <v>0.08</v>
      </c>
      <c r="Q15" s="5">
        <v>0.14000000000000001</v>
      </c>
      <c r="R15" s="5">
        <v>0.02</v>
      </c>
      <c r="S15" s="5">
        <v>0.08</v>
      </c>
      <c r="T15" s="5">
        <v>0.13</v>
      </c>
      <c r="U15" s="5">
        <v>0</v>
      </c>
      <c r="V15" s="5">
        <v>0.1</v>
      </c>
      <c r="W15" s="5">
        <v>0.16</v>
      </c>
      <c r="Y15">
        <f t="shared" si="1"/>
        <v>0</v>
      </c>
      <c r="Z15">
        <f t="shared" si="0"/>
        <v>0.13</v>
      </c>
    </row>
    <row r="16" spans="5:26">
      <c r="E16" s="4" t="s">
        <v>895</v>
      </c>
      <c r="F16" s="5">
        <v>0.14000000000000001</v>
      </c>
      <c r="G16" s="5">
        <v>0.09</v>
      </c>
      <c r="H16" s="5">
        <v>0.1</v>
      </c>
      <c r="I16" s="5">
        <v>0.02</v>
      </c>
      <c r="J16" s="5">
        <v>0.1</v>
      </c>
      <c r="K16" s="5">
        <v>0.18</v>
      </c>
      <c r="L16" s="5">
        <v>0.02</v>
      </c>
      <c r="M16" s="5">
        <v>0.1</v>
      </c>
      <c r="N16" s="5">
        <v>0.21</v>
      </c>
      <c r="O16" s="5">
        <v>0.02</v>
      </c>
      <c r="P16" s="5">
        <v>0.09</v>
      </c>
      <c r="Q16" s="5">
        <v>0.16</v>
      </c>
      <c r="R16" s="5">
        <v>0.02</v>
      </c>
      <c r="S16" s="5">
        <v>0.11</v>
      </c>
      <c r="T16" s="5">
        <v>0.23</v>
      </c>
      <c r="U16" s="5">
        <v>0</v>
      </c>
      <c r="V16" s="5">
        <v>0.02</v>
      </c>
      <c r="W16" s="5">
        <v>0.06</v>
      </c>
      <c r="Y16">
        <f t="shared" si="1"/>
        <v>0</v>
      </c>
      <c r="Z16">
        <f t="shared" si="0"/>
        <v>0.23</v>
      </c>
    </row>
    <row r="17" spans="5:26">
      <c r="E17" s="4" t="s">
        <v>896</v>
      </c>
      <c r="F17" s="5">
        <v>7.0000000000000007E-2</v>
      </c>
      <c r="G17" s="5">
        <v>0.08</v>
      </c>
      <c r="H17" s="5">
        <v>0.18</v>
      </c>
      <c r="I17" s="5">
        <v>0.01</v>
      </c>
      <c r="J17" s="5">
        <v>0.06</v>
      </c>
      <c r="K17" s="5">
        <v>0.1</v>
      </c>
      <c r="L17" s="5">
        <v>0</v>
      </c>
      <c r="M17" s="5">
        <v>0.04</v>
      </c>
      <c r="N17" s="5">
        <v>7.0000000000000007E-2</v>
      </c>
      <c r="O17" s="5">
        <v>0</v>
      </c>
      <c r="P17" s="5">
        <v>0.03</v>
      </c>
      <c r="Q17" s="5">
        <v>7.0000000000000007E-2</v>
      </c>
      <c r="R17" s="5">
        <v>0</v>
      </c>
      <c r="S17" s="5">
        <v>0.03</v>
      </c>
      <c r="T17" s="5">
        <v>0.06</v>
      </c>
      <c r="U17" s="5">
        <v>0</v>
      </c>
      <c r="V17" s="5">
        <v>0.02</v>
      </c>
      <c r="W17" s="5">
        <v>0.09</v>
      </c>
      <c r="Y17">
        <f t="shared" si="1"/>
        <v>0</v>
      </c>
      <c r="Z17">
        <f t="shared" si="0"/>
        <v>0.06</v>
      </c>
    </row>
    <row r="18" spans="5:26">
      <c r="E18" s="4" t="s">
        <v>897</v>
      </c>
      <c r="F18" s="5">
        <v>0.04</v>
      </c>
      <c r="G18" s="5">
        <v>0.06</v>
      </c>
      <c r="H18" s="5">
        <v>0.11</v>
      </c>
      <c r="I18" s="5">
        <v>0</v>
      </c>
      <c r="J18" s="5">
        <v>0.04</v>
      </c>
      <c r="K18" s="5">
        <v>0.08</v>
      </c>
      <c r="L18" s="5">
        <v>0</v>
      </c>
      <c r="M18" s="5">
        <v>0.04</v>
      </c>
      <c r="N18" s="5">
        <v>0.08</v>
      </c>
      <c r="O18" s="5">
        <v>0.02</v>
      </c>
      <c r="P18" s="5">
        <v>0.05</v>
      </c>
      <c r="Q18" s="5">
        <v>0.1</v>
      </c>
      <c r="R18" s="5">
        <v>0.02</v>
      </c>
      <c r="S18" s="5">
        <v>0.06</v>
      </c>
      <c r="T18" s="5">
        <v>0.08</v>
      </c>
      <c r="U18" s="5">
        <v>0</v>
      </c>
      <c r="V18" s="5">
        <v>0.05</v>
      </c>
      <c r="W18" s="5">
        <v>0.1</v>
      </c>
      <c r="Y18">
        <f t="shared" si="1"/>
        <v>0</v>
      </c>
      <c r="Z18">
        <f t="shared" si="0"/>
        <v>0.08</v>
      </c>
    </row>
    <row r="19" spans="5:26" ht="28.5">
      <c r="E19" s="4" t="s">
        <v>898</v>
      </c>
      <c r="F19" s="5">
        <v>0</v>
      </c>
      <c r="G19" s="5">
        <v>0</v>
      </c>
      <c r="H19" s="5">
        <v>0</v>
      </c>
      <c r="I19" s="5">
        <v>0.01</v>
      </c>
      <c r="J19" s="5">
        <v>0.01</v>
      </c>
      <c r="K19" s="5">
        <v>0.03</v>
      </c>
      <c r="L19" s="5">
        <v>0.01</v>
      </c>
      <c r="M19" s="5">
        <v>0.01</v>
      </c>
      <c r="N19" s="5">
        <v>0</v>
      </c>
      <c r="O19" s="5">
        <v>0.02</v>
      </c>
      <c r="P19" s="5">
        <v>0.01</v>
      </c>
      <c r="Q19" s="5">
        <v>0.01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Y19">
        <f t="shared" si="1"/>
        <v>0</v>
      </c>
      <c r="Z19">
        <f t="shared" si="0"/>
        <v>0</v>
      </c>
    </row>
    <row r="20" spans="5:26">
      <c r="E20" s="4" t="s">
        <v>899</v>
      </c>
      <c r="F20" s="5">
        <v>0.08</v>
      </c>
      <c r="G20" s="5">
        <v>0.06</v>
      </c>
      <c r="H20" s="5">
        <v>0.04</v>
      </c>
      <c r="I20" s="5">
        <v>0.04</v>
      </c>
      <c r="J20" s="5">
        <v>0.03</v>
      </c>
      <c r="K20" s="5">
        <v>0.02</v>
      </c>
      <c r="L20" s="5">
        <v>0.03</v>
      </c>
      <c r="M20" s="5">
        <v>0.03</v>
      </c>
      <c r="N20" s="5">
        <v>0.02</v>
      </c>
      <c r="O20" s="5">
        <v>0.03</v>
      </c>
      <c r="P20" s="5">
        <v>0.03</v>
      </c>
      <c r="Q20" s="5">
        <v>0.02</v>
      </c>
      <c r="R20" s="5">
        <v>0.02</v>
      </c>
      <c r="S20" s="5">
        <v>0.02</v>
      </c>
      <c r="T20" s="5">
        <v>0.01</v>
      </c>
      <c r="U20" s="5">
        <v>0.11</v>
      </c>
      <c r="V20" s="5">
        <v>0.04</v>
      </c>
      <c r="W20" s="5">
        <v>0.01</v>
      </c>
      <c r="Y20">
        <f>T20*0.2</f>
        <v>2E-3</v>
      </c>
      <c r="Z20">
        <f t="shared" si="0"/>
        <v>0.01</v>
      </c>
    </row>
    <row r="21" spans="5:26">
      <c r="E21" s="4" t="s">
        <v>900</v>
      </c>
      <c r="F21" s="5">
        <v>0.04</v>
      </c>
      <c r="G21" s="5">
        <v>0.06</v>
      </c>
      <c r="H21" s="5">
        <v>0.02</v>
      </c>
      <c r="I21" s="5">
        <v>0.04</v>
      </c>
      <c r="J21" s="5">
        <v>0.03</v>
      </c>
      <c r="K21" s="5">
        <v>0.02</v>
      </c>
      <c r="L21" s="5">
        <v>0.05</v>
      </c>
      <c r="M21" s="5">
        <v>0.04</v>
      </c>
      <c r="N21" s="5">
        <v>0.03</v>
      </c>
      <c r="O21" s="5">
        <v>0.09</v>
      </c>
      <c r="P21" s="5">
        <v>7.0000000000000007E-2</v>
      </c>
      <c r="Q21" s="5">
        <v>0.05</v>
      </c>
      <c r="R21" s="5">
        <v>0.06</v>
      </c>
      <c r="S21" s="5">
        <v>0.06</v>
      </c>
      <c r="T21" s="5">
        <v>0.05</v>
      </c>
      <c r="U21" s="5">
        <v>0.03</v>
      </c>
      <c r="V21" s="5">
        <v>0.03</v>
      </c>
      <c r="W21" s="5">
        <v>0.02</v>
      </c>
      <c r="Y21">
        <f>T21*0*0.2</f>
        <v>0</v>
      </c>
      <c r="Z21">
        <f t="shared" si="0"/>
        <v>0.05</v>
      </c>
    </row>
    <row r="22" spans="5:26">
      <c r="E22" s="4" t="s">
        <v>258</v>
      </c>
      <c r="F22" s="7">
        <v>1</v>
      </c>
      <c r="G22" s="7">
        <v>1</v>
      </c>
      <c r="H22" s="7">
        <v>1</v>
      </c>
      <c r="I22" s="7">
        <v>1</v>
      </c>
      <c r="J22" s="7">
        <v>1</v>
      </c>
      <c r="K22" s="7">
        <v>1</v>
      </c>
      <c r="L22" s="7">
        <v>1</v>
      </c>
      <c r="M22" s="7">
        <v>1</v>
      </c>
      <c r="N22" s="7">
        <v>1</v>
      </c>
      <c r="O22" s="7">
        <v>1</v>
      </c>
      <c r="P22" s="7">
        <v>1</v>
      </c>
      <c r="Q22" s="7">
        <v>1</v>
      </c>
      <c r="R22" s="7">
        <v>1</v>
      </c>
      <c r="S22" s="7">
        <v>1</v>
      </c>
      <c r="T22" s="7">
        <v>1</v>
      </c>
      <c r="U22" s="7">
        <v>1</v>
      </c>
      <c r="V22" s="7">
        <v>1</v>
      </c>
      <c r="W22" s="7">
        <v>1</v>
      </c>
      <c r="Y22">
        <f>SUM(Y8:Y21)</f>
        <v>0.27194000000000002</v>
      </c>
      <c r="Z22">
        <f>SUM(Z8:Z21)</f>
        <v>1</v>
      </c>
    </row>
    <row r="23" spans="5:26">
      <c r="Y23">
        <f>Y22*100</f>
        <v>27.193999999999999</v>
      </c>
      <c r="Z23">
        <f>Z22*100</f>
        <v>100</v>
      </c>
    </row>
    <row r="26" spans="5:26">
      <c r="S26">
        <f>V8*0.5</f>
        <v>0.125</v>
      </c>
    </row>
  </sheetData>
  <mergeCells count="7">
    <mergeCell ref="U6:W6"/>
    <mergeCell ref="E6:E7"/>
    <mergeCell ref="F6:H6"/>
    <mergeCell ref="I6:K6"/>
    <mergeCell ref="L6:N6"/>
    <mergeCell ref="O6:Q6"/>
    <mergeCell ref="R6:T6"/>
  </mergeCells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9"/>
  <sheetViews>
    <sheetView workbookViewId="0">
      <selection activeCell="G7" sqref="G7"/>
    </sheetView>
  </sheetViews>
  <sheetFormatPr defaultColWidth="9" defaultRowHeight="15"/>
  <cols>
    <col min="2" max="2" width="11.5703125" customWidth="1"/>
    <col min="5" max="5" width="11.5703125" customWidth="1"/>
    <col min="6" max="6" width="9.28515625" customWidth="1"/>
    <col min="7" max="7" width="9.5703125" customWidth="1"/>
    <col min="8" max="8" width="11.5703125" customWidth="1"/>
    <col min="11" max="11" width="17.140625" customWidth="1"/>
    <col min="12" max="12" width="11.5703125" customWidth="1"/>
  </cols>
  <sheetData>
    <row r="2" spans="2:12">
      <c r="B2" s="1"/>
    </row>
    <row r="4" spans="2:12">
      <c r="B4" s="1"/>
    </row>
    <row r="5" spans="2:12">
      <c r="E5" s="1">
        <f>415000</f>
        <v>415000</v>
      </c>
      <c r="F5" s="1">
        <v>200</v>
      </c>
      <c r="G5" s="1">
        <v>1250</v>
      </c>
      <c r="H5" s="1">
        <f>F5*G5</f>
        <v>250000</v>
      </c>
      <c r="J5">
        <v>200</v>
      </c>
      <c r="K5" s="1">
        <v>1390</v>
      </c>
      <c r="L5" s="2">
        <f>J5*K5</f>
        <v>278000</v>
      </c>
    </row>
    <row r="6" spans="2:12">
      <c r="B6" s="1"/>
      <c r="F6" s="1">
        <v>150</v>
      </c>
      <c r="G6" s="1">
        <v>937</v>
      </c>
      <c r="H6" s="1">
        <f>F6*G6</f>
        <v>140550</v>
      </c>
      <c r="J6">
        <v>200</v>
      </c>
      <c r="K6" s="1">
        <v>890</v>
      </c>
      <c r="L6" s="2">
        <f t="shared" ref="L6:L7" si="0">J6*K6</f>
        <v>178000</v>
      </c>
    </row>
    <row r="7" spans="2:12">
      <c r="F7" s="1">
        <f>SUM(F5:F6)</f>
        <v>350</v>
      </c>
      <c r="G7" s="1"/>
      <c r="H7" s="1">
        <f>SUM(H5:H6)</f>
        <v>390550</v>
      </c>
      <c r="J7">
        <v>20</v>
      </c>
      <c r="K7">
        <v>590</v>
      </c>
      <c r="L7" s="2">
        <f t="shared" si="0"/>
        <v>11800</v>
      </c>
    </row>
    <row r="8" spans="2:12">
      <c r="B8" s="1"/>
      <c r="J8">
        <f>SUM(J5:J7)</f>
        <v>420</v>
      </c>
      <c r="L8" s="2">
        <f>SUM(L5:L7)</f>
        <v>467800</v>
      </c>
    </row>
    <row r="9" spans="2:12">
      <c r="F9">
        <f>E5/F7</f>
        <v>1185.7142857142901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5" master="" otherUserPermission="visible"/>
  <rangeList sheetStid="14" master="" otherUserPermission="visible"/>
  <rangeList sheetStid="9" master="" otherUserPermission="visible"/>
  <rangeList sheetStid="10" master="" otherUserPermission="visible"/>
  <rangeList sheetStid="12" master="" otherUserPermission="visible"/>
  <rangeList sheetStid="13" master="" otherUserPermission="visible"/>
  <rangeList sheetStid="2" master="" otherUserPermission="visible"/>
  <rangeList sheetStid="1" master="" otherUserPermission="visible"/>
  <rangeList sheetStid="4" master="" otherUserPermission="visible">
    <arrUserId title="Range6" rangeCreator="" othersAccessPermission="edit"/>
    <arrUserId title="Range1" rangeCreator="" othersAccessPermission="edit"/>
    <arrUserId title="Range3" rangeCreator="" othersAccessPermission="edit"/>
    <arrUserId title="Range5" rangeCreator="" othersAccessPermission="edit"/>
    <arrUserId title="Range11" rangeCreator="" othersAccessPermission="edit"/>
    <arrUserId title="Range12" rangeCreator="" othersAccessPermission="edit"/>
  </rangeList>
  <rangeList sheetStid="5" master="" otherUserPermission="visible"/>
  <rangeList sheetStid="17" master="" otherUserPermission="visible"/>
  <rangeList sheetStid="20" master="" otherUserPermission="visible"/>
  <rangeList sheetStid="24" master="" otherUserPermission="visible">
    <arrUserId title="Range1_1_1_1" rangeCreator="" othersAccessPermission="edit"/>
    <arrUserId title="Range1_1_1_1_1" rangeCreator="" othersAccessPermission="edit"/>
  </rangeList>
  <rangeList sheetStid="19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142</vt:i4>
      </vt:variant>
    </vt:vector>
  </HeadingPairs>
  <TitlesOfParts>
    <vt:vector size="157" baseType="lpstr">
      <vt:lpstr>Location (2)</vt:lpstr>
      <vt:lpstr>Sheet1</vt:lpstr>
      <vt:lpstr>Villa Lower</vt:lpstr>
      <vt:lpstr>Villa Higher</vt:lpstr>
      <vt:lpstr>G+ Buildings</vt:lpstr>
      <vt:lpstr>Multi-Purposed halls</vt:lpstr>
      <vt:lpstr>Plot grade</vt:lpstr>
      <vt:lpstr>Location</vt:lpstr>
      <vt:lpstr>Fence and Compund</vt:lpstr>
      <vt:lpstr>Sheet2</vt:lpstr>
      <vt:lpstr>area</vt:lpstr>
      <vt:lpstr>Sheet3</vt:lpstr>
      <vt:lpstr>BOQ</vt:lpstr>
      <vt:lpstr>Building Component</vt:lpstr>
      <vt:lpstr>Sheet5</vt:lpstr>
      <vt:lpstr>'Building Component'!_Toc536378868</vt:lpstr>
      <vt:lpstr>'Building Component'!_Toc536378869</vt:lpstr>
      <vt:lpstr>'Building Component'!_Toc536378870</vt:lpstr>
      <vt:lpstr>'Building Component'!_Toc536378871</vt:lpstr>
      <vt:lpstr>'Building Component'!_Toc536378872</vt:lpstr>
      <vt:lpstr>'Building Component'!_Toc536378873</vt:lpstr>
      <vt:lpstr>'Building Component'!_Toc536378874</vt:lpstr>
      <vt:lpstr>'Building Component'!_Toc536378875</vt:lpstr>
      <vt:lpstr>'Building Component'!_Toc536378876</vt:lpstr>
      <vt:lpstr>'Building Component'!_Toc536378877</vt:lpstr>
      <vt:lpstr>'Building Component'!_Toc536378878</vt:lpstr>
      <vt:lpstr>'Building Component'!_Toc536378879</vt:lpstr>
      <vt:lpstr>'Building Component'!_Toc536378880</vt:lpstr>
      <vt:lpstr>'Building Component'!_Toc536378881</vt:lpstr>
      <vt:lpstr>'Building Component'!_Toc536378882</vt:lpstr>
      <vt:lpstr>'Building Component'!_Toc536378883</vt:lpstr>
      <vt:lpstr>'Building Component'!_Toc536378884</vt:lpstr>
      <vt:lpstr>'Building Component'!_Toc536378885</vt:lpstr>
      <vt:lpstr>'Building Component'!_Toc536378886</vt:lpstr>
      <vt:lpstr>'Building Component'!_Toc536378887</vt:lpstr>
      <vt:lpstr>'Building Component'!_Toc536378888</vt:lpstr>
      <vt:lpstr>'Building Component'!_Toc536378889</vt:lpstr>
      <vt:lpstr>'Building Component'!_Toc536378890</vt:lpstr>
      <vt:lpstr>'Building Component'!_Toc536378891</vt:lpstr>
      <vt:lpstr>'Building Component'!_Toc536378892</vt:lpstr>
      <vt:lpstr>'Building Component'!_Toc536378893</vt:lpstr>
      <vt:lpstr>'Building Component'!_Toc536378894</vt:lpstr>
      <vt:lpstr>'Building Component'!_Toc536378895</vt:lpstr>
      <vt:lpstr>'Building Component'!_Toc536378896</vt:lpstr>
      <vt:lpstr>'Building Component'!_Toc536378897</vt:lpstr>
      <vt:lpstr>'Building Component'!_Toc536378898</vt:lpstr>
      <vt:lpstr>'Building Component'!_Toc536378899</vt:lpstr>
      <vt:lpstr>'Building Component'!_Toc536378900</vt:lpstr>
      <vt:lpstr>'Building Component'!_Toc536378901</vt:lpstr>
      <vt:lpstr>'Building Component'!_Toc536378902</vt:lpstr>
      <vt:lpstr>'Building Component'!_Toc536378903</vt:lpstr>
      <vt:lpstr>'Building Component'!_Toc536378904</vt:lpstr>
      <vt:lpstr>'Building Component'!_Toc536378905</vt:lpstr>
      <vt:lpstr>'Building Component'!_Toc536378906</vt:lpstr>
      <vt:lpstr>'Building Component'!_Toc536378907</vt:lpstr>
      <vt:lpstr>'Building Component'!_Toc536378908</vt:lpstr>
      <vt:lpstr>'Building Component'!_Toc536378909</vt:lpstr>
      <vt:lpstr>'Building Component'!_Toc536378910</vt:lpstr>
      <vt:lpstr>'Building Component'!_Toc536378911</vt:lpstr>
      <vt:lpstr>'Building Component'!_Toc536378912</vt:lpstr>
      <vt:lpstr>'Building Component'!_Toc536378913</vt:lpstr>
      <vt:lpstr>'Building Component'!_Toc536378914</vt:lpstr>
      <vt:lpstr>'Building Component'!_Toc536378915</vt:lpstr>
      <vt:lpstr>'Building Component'!_Toc536378916</vt:lpstr>
      <vt:lpstr>'Building Component'!_Toc536378917</vt:lpstr>
      <vt:lpstr>'Building Component'!_Toc536378918</vt:lpstr>
      <vt:lpstr>'Building Component'!_Toc536378919</vt:lpstr>
      <vt:lpstr>'Building Component'!_Toc536378920</vt:lpstr>
      <vt:lpstr>'Building Component'!_Toc536378921</vt:lpstr>
      <vt:lpstr>'Building Component'!_Toc536378922</vt:lpstr>
      <vt:lpstr>'Building Component'!_Toc536378923</vt:lpstr>
      <vt:lpstr>'Building Component'!_Toc536378924</vt:lpstr>
      <vt:lpstr>'Building Component'!_Toc536378925</vt:lpstr>
      <vt:lpstr>'Building Component'!_Toc536378926</vt:lpstr>
      <vt:lpstr>'Building Component'!_Toc536378927</vt:lpstr>
      <vt:lpstr>'Building Component'!_Toc536378928</vt:lpstr>
      <vt:lpstr>'Building Component'!_Toc536378929</vt:lpstr>
      <vt:lpstr>'Building Component'!_Toc536378930</vt:lpstr>
      <vt:lpstr>'Building Component'!_Toc536378931</vt:lpstr>
      <vt:lpstr>'Building Component'!_Toc536378932</vt:lpstr>
      <vt:lpstr>'Building Component'!_Toc536378933</vt:lpstr>
      <vt:lpstr>'Building Component'!_Toc536378934</vt:lpstr>
      <vt:lpstr>'Building Component'!_Toc536378935</vt:lpstr>
      <vt:lpstr>'Building Component'!_Toc536378936</vt:lpstr>
      <vt:lpstr>'Building Component'!_Toc536378937</vt:lpstr>
      <vt:lpstr>'Building Component'!_Toc536378938</vt:lpstr>
      <vt:lpstr>'Building Component'!_Toc536378939</vt:lpstr>
      <vt:lpstr>'Building Component'!_Toc536378940</vt:lpstr>
      <vt:lpstr>'Building Component'!_Toc536378941</vt:lpstr>
      <vt:lpstr>'Building Component'!_Toc536378942</vt:lpstr>
      <vt:lpstr>'Building Component'!_Toc536378943</vt:lpstr>
      <vt:lpstr>'Building Component'!_Toc536378944</vt:lpstr>
      <vt:lpstr>'Building Component'!_Toc536378945</vt:lpstr>
      <vt:lpstr>'Building Component'!_Toc536378946</vt:lpstr>
      <vt:lpstr>'Building Component'!_Toc536378947</vt:lpstr>
      <vt:lpstr>'Building Component'!_Toc536378948</vt:lpstr>
      <vt:lpstr>'Building Component'!_Toc536378949</vt:lpstr>
      <vt:lpstr>'Building Component'!_Toc536378950</vt:lpstr>
      <vt:lpstr>'Building Component'!_Toc536378951</vt:lpstr>
      <vt:lpstr>'Building Component'!_Toc536378952</vt:lpstr>
      <vt:lpstr>'Building Component'!_Toc536378953</vt:lpstr>
      <vt:lpstr>'Building Component'!_Toc536378954</vt:lpstr>
      <vt:lpstr>'Building Component'!_Toc536378955</vt:lpstr>
      <vt:lpstr>'Building Component'!_Toc536378956</vt:lpstr>
      <vt:lpstr>'Building Component'!_Toc536378957</vt:lpstr>
      <vt:lpstr>'Building Component'!_Toc536378958</vt:lpstr>
      <vt:lpstr>'Building Component'!_Toc536378959</vt:lpstr>
      <vt:lpstr>'Building Component'!_Toc536378960</vt:lpstr>
      <vt:lpstr>'Building Component'!_Toc536378961</vt:lpstr>
      <vt:lpstr>'Building Component'!_Toc536378962</vt:lpstr>
      <vt:lpstr>'Building Component'!_Toc536378963</vt:lpstr>
      <vt:lpstr>'Building Component'!_Toc536378964</vt:lpstr>
      <vt:lpstr>'Building Component'!_Toc536378965</vt:lpstr>
      <vt:lpstr>'Building Component'!_Toc536378966</vt:lpstr>
      <vt:lpstr>'Building Component'!_Toc536378967</vt:lpstr>
      <vt:lpstr>'Building Component'!_Toc536378968</vt:lpstr>
      <vt:lpstr>'Building Component'!_Toc536378969</vt:lpstr>
      <vt:lpstr>'Building Component'!_Toc536378970</vt:lpstr>
      <vt:lpstr>'Building Component'!_Toc536378971</vt:lpstr>
      <vt:lpstr>'Building Component'!_Toc536378972</vt:lpstr>
      <vt:lpstr>'Building Component'!_Toc536378973</vt:lpstr>
      <vt:lpstr>'Building Component'!_Toc536378974</vt:lpstr>
      <vt:lpstr>'Building Component'!_Toc536378975</vt:lpstr>
      <vt:lpstr>'Building Component'!_Toc536378976</vt:lpstr>
      <vt:lpstr>'Building Component'!_Toc536378977</vt:lpstr>
      <vt:lpstr>'Building Component'!_Toc536378978</vt:lpstr>
      <vt:lpstr>'Building Component'!_Toc536378979</vt:lpstr>
      <vt:lpstr>'Building Component'!_Toc536378980</vt:lpstr>
      <vt:lpstr>'Building Component'!_Toc536378981</vt:lpstr>
      <vt:lpstr>'Building Component'!_Toc536378982</vt:lpstr>
      <vt:lpstr>'Building Component'!_Toc536378983</vt:lpstr>
      <vt:lpstr>'Building Component'!_Toc536378984</vt:lpstr>
      <vt:lpstr>'Building Component'!_Toc536378985</vt:lpstr>
      <vt:lpstr>'Building Component'!_Toc536378986</vt:lpstr>
      <vt:lpstr>'Building Component'!_Toc536378987</vt:lpstr>
      <vt:lpstr>'Building Component'!_Toc536378988</vt:lpstr>
      <vt:lpstr>'Building Component'!_Toc536378989</vt:lpstr>
      <vt:lpstr>'Building Component'!_Toc536378990</vt:lpstr>
      <vt:lpstr>'Building Component'!_Toc536378991</vt:lpstr>
      <vt:lpstr>'Building Component'!_Toc536378992</vt:lpstr>
      <vt:lpstr>'Building Component'!_Toc536378993</vt:lpstr>
      <vt:lpstr>'Building Component'!_Toc536378994</vt:lpstr>
      <vt:lpstr>'Building Component'!_Toc536378995</vt:lpstr>
      <vt:lpstr>'Building Component'!_Toc536378996</vt:lpstr>
      <vt:lpstr>'Building Component'!_Toc536378997</vt:lpstr>
      <vt:lpstr>'Building Component'!_Toc536378998</vt:lpstr>
      <vt:lpstr>'Building Component'!_Toc536378999</vt:lpstr>
      <vt:lpstr>'Building Component'!_Toc536379000</vt:lpstr>
      <vt:lpstr>'Building Component'!_Toc536379001</vt:lpstr>
      <vt:lpstr>'Building Component'!_Toc536379002</vt:lpstr>
      <vt:lpstr>'Building Component'!_Toc536379003</vt:lpstr>
      <vt:lpstr>'Building Component'!_Toc536379004</vt:lpstr>
      <vt:lpstr>'Building Component'!_Toc536379005</vt:lpstr>
      <vt:lpstr>'Building Component'!_Toc536379006</vt:lpstr>
      <vt:lpstr>BOQ!Print_Area</vt:lpstr>
      <vt:lpstr>Location!Print_Area</vt:lpstr>
      <vt:lpstr>Sheet2!Print_Area</vt:lpstr>
    </vt:vector>
  </TitlesOfParts>
  <Company>CtrlSoft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Hana Seyfu Bekele</cp:lastModifiedBy>
  <cp:lastPrinted>2025-05-02T11:35:00Z</cp:lastPrinted>
  <dcterms:created xsi:type="dcterms:W3CDTF">2022-04-13T05:50:00Z</dcterms:created>
  <dcterms:modified xsi:type="dcterms:W3CDTF">2026-07-15T10:52:17Z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A7E6B74A89B8410BA053FFE9F59D1CC2_12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