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anas\Downloads\"/>
    </mc:Choice>
  </mc:AlternateContent>
  <bookViews>
    <workbookView xWindow="0" yWindow="0" windowWidth="20325" windowHeight="9480" activeTab="5"/>
  </bookViews>
  <sheets>
    <sheet name="Sheet1" sheetId="14" r:id="rId1"/>
    <sheet name="Villa Lower" sheetId="9" r:id="rId2"/>
    <sheet name="Villa Higher" sheetId="10" r:id="rId3"/>
    <sheet name="G+ Buildings" sheetId="12" r:id="rId4"/>
    <sheet name="Multi-Purposed halls" sheetId="13" r:id="rId5"/>
    <sheet name="Plot grade" sheetId="2" r:id="rId6"/>
    <sheet name="Fence and Compund" sheetId="4" r:id="rId7"/>
    <sheet name="Location" sheetId="1" r:id="rId8"/>
    <sheet name="Sheet2" sheetId="5" r:id="rId9"/>
    <sheet name="Area" sheetId="16" r:id="rId10"/>
  </sheets>
  <externalReferences>
    <externalReference r:id="rId11"/>
  </externalReferences>
  <definedNames>
    <definedName name="G_1___2" localSheetId="3">#REF!</definedName>
    <definedName name="G_1___2" localSheetId="4">#REF!</definedName>
    <definedName name="G_1___2">#REF!</definedName>
    <definedName name="G_7___above" localSheetId="3">#REF!</definedName>
    <definedName name="G_7___above" localSheetId="4">#REF!</definedName>
    <definedName name="G_7___above">#REF!</definedName>
    <definedName name="G_7__8" localSheetId="3">#REF!</definedName>
    <definedName name="G_7__8" localSheetId="4">#REF!</definedName>
    <definedName name="G_7__8">#REF!</definedName>
    <definedName name="GH" localSheetId="3">#REF!</definedName>
    <definedName name="GH" localSheetId="4">#REF!</definedName>
    <definedName name="GH">#REF!</definedName>
    <definedName name="MNJUB" localSheetId="3">#REF!</definedName>
    <definedName name="MNJUB" localSheetId="4">#REF!</definedName>
    <definedName name="MNJUB">#REF!</definedName>
    <definedName name="_xlnm.Print_Area" localSheetId="7">Location!$A$1:$G$81</definedName>
    <definedName name="_xlnm.Print_Area" localSheetId="8">Sheet2!$A$1:$L$96</definedName>
  </definedNames>
  <calcPr calcId="162913"/>
</workbook>
</file>

<file path=xl/calcChain.xml><?xml version="1.0" encoding="utf-8"?>
<calcChain xmlns="http://schemas.openxmlformats.org/spreadsheetml/2006/main">
  <c r="B13" i="1" l="1"/>
  <c r="F15" i="16"/>
  <c r="K26" i="5"/>
  <c r="D54" i="4" l="1"/>
  <c r="D25" i="4"/>
  <c r="D9" i="16"/>
  <c r="D8" i="16"/>
  <c r="D7" i="16"/>
  <c r="D3" i="16"/>
  <c r="D6" i="16" l="1"/>
  <c r="D10" i="16" s="1"/>
  <c r="D13" i="16" s="1"/>
  <c r="K27" i="5" l="1"/>
  <c r="K28" i="5" s="1"/>
  <c r="D2" i="16"/>
  <c r="D4" i="16" s="1"/>
  <c r="D15" i="16" l="1"/>
  <c r="D66" i="4"/>
  <c r="F59" i="5"/>
  <c r="K30" i="5" l="1"/>
  <c r="B11" i="1" l="1"/>
  <c r="Q19" i="1" l="1"/>
  <c r="G181" i="10" l="1"/>
  <c r="O148" i="13" l="1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" i="13"/>
  <c r="O8" i="13"/>
  <c r="O6" i="13"/>
  <c r="O5" i="13"/>
  <c r="G5" i="13"/>
  <c r="G6" i="13"/>
  <c r="S8" i="13"/>
  <c r="F51" i="1" l="1"/>
  <c r="D75" i="1" s="1"/>
  <c r="J62" i="5" s="1"/>
  <c r="I65" i="9"/>
  <c r="O154" i="13"/>
  <c r="H77" i="4"/>
  <c r="F46" i="4"/>
  <c r="H46" i="4" s="1"/>
  <c r="G169" i="12" l="1"/>
  <c r="G170" i="12" s="1"/>
  <c r="D50" i="1"/>
  <c r="F5" i="4"/>
  <c r="F6" i="4"/>
  <c r="H6" i="4" s="1"/>
  <c r="F7" i="4"/>
  <c r="H7" i="4" s="1"/>
  <c r="F8" i="4"/>
  <c r="H8" i="4" s="1"/>
  <c r="H56" i="4"/>
  <c r="H137" i="4"/>
  <c r="H146" i="4"/>
  <c r="H147" i="4"/>
  <c r="H149" i="4"/>
  <c r="H150" i="4"/>
  <c r="H151" i="4"/>
  <c r="H152" i="4"/>
  <c r="H153" i="4"/>
  <c r="H154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65" i="1"/>
  <c r="H5" i="4" l="1"/>
  <c r="AE19" i="1"/>
  <c r="AF22" i="1"/>
  <c r="AF23" i="1" s="1"/>
  <c r="AF24" i="1" s="1"/>
  <c r="AF25" i="1" l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/>
  <c r="D22" i="1" l="1"/>
  <c r="F4" i="9" l="1"/>
  <c r="F16" i="9"/>
  <c r="F26" i="9"/>
  <c r="F31" i="9"/>
  <c r="F41" i="9"/>
  <c r="F56" i="9"/>
  <c r="D61" i="9"/>
  <c r="D62" i="9" s="1"/>
  <c r="F50" i="9"/>
  <c r="F36" i="9"/>
  <c r="F29" i="9"/>
  <c r="F22" i="9"/>
  <c r="F10" i="9"/>
  <c r="AC150" i="13"/>
  <c r="AC151" i="13" s="1"/>
  <c r="C20" i="14" s="1"/>
  <c r="G20" i="14" s="1"/>
  <c r="AB150" i="13"/>
  <c r="AB151" i="13" s="1"/>
  <c r="B20" i="14" s="1"/>
  <c r="F20" i="14" s="1"/>
  <c r="Y150" i="13"/>
  <c r="Y151" i="13" s="1"/>
  <c r="C19" i="14" s="1"/>
  <c r="G19" i="14" s="1"/>
  <c r="X150" i="13"/>
  <c r="X151" i="13" s="1"/>
  <c r="B19" i="14" s="1"/>
  <c r="F19" i="14" s="1"/>
  <c r="U150" i="13"/>
  <c r="U151" i="13" s="1"/>
  <c r="C18" i="14" s="1"/>
  <c r="G18" i="14" s="1"/>
  <c r="T150" i="13"/>
  <c r="T151" i="13" s="1"/>
  <c r="B18" i="14" s="1"/>
  <c r="F18" i="14" s="1"/>
  <c r="Q150" i="13"/>
  <c r="Q151" i="13" s="1"/>
  <c r="C17" i="14" s="1"/>
  <c r="G17" i="14" s="1"/>
  <c r="P150" i="13"/>
  <c r="P151" i="13" s="1"/>
  <c r="B17" i="14" s="1"/>
  <c r="F17" i="14" s="1"/>
  <c r="M150" i="13"/>
  <c r="M151" i="13" s="1"/>
  <c r="C16" i="14" s="1"/>
  <c r="G16" i="14" s="1"/>
  <c r="L150" i="13"/>
  <c r="L151" i="13" s="1"/>
  <c r="B16" i="14" s="1"/>
  <c r="F16" i="14" s="1"/>
  <c r="I145" i="13"/>
  <c r="H145" i="13"/>
  <c r="I140" i="13"/>
  <c r="H140" i="13"/>
  <c r="I121" i="13"/>
  <c r="H121" i="13"/>
  <c r="I97" i="13"/>
  <c r="H97" i="13"/>
  <c r="I78" i="13"/>
  <c r="H78" i="13"/>
  <c r="I61" i="13"/>
  <c r="H61" i="13"/>
  <c r="I51" i="13"/>
  <c r="H51" i="13"/>
  <c r="I46" i="13"/>
  <c r="H46" i="13"/>
  <c r="I36" i="13"/>
  <c r="H36" i="13"/>
  <c r="I25" i="13"/>
  <c r="H25" i="13"/>
  <c r="I18" i="13"/>
  <c r="H18" i="13"/>
  <c r="I5" i="13"/>
  <c r="H5" i="13"/>
  <c r="AG145" i="13"/>
  <c r="AF145" i="13"/>
  <c r="AG140" i="13"/>
  <c r="AF140" i="13"/>
  <c r="AG121" i="13"/>
  <c r="AF121" i="13"/>
  <c r="AG97" i="13"/>
  <c r="AF97" i="13"/>
  <c r="AG78" i="13"/>
  <c r="AF78" i="13"/>
  <c r="AG61" i="13"/>
  <c r="AF61" i="13"/>
  <c r="AG51" i="13"/>
  <c r="AF51" i="13"/>
  <c r="AG46" i="13"/>
  <c r="AF46" i="13"/>
  <c r="AG36" i="13"/>
  <c r="AF36" i="13"/>
  <c r="AG25" i="13"/>
  <c r="AF25" i="13"/>
  <c r="AG18" i="13"/>
  <c r="AF18" i="13"/>
  <c r="AG5" i="13"/>
  <c r="AF5" i="13"/>
  <c r="E5" i="13"/>
  <c r="E18" i="13"/>
  <c r="E25" i="13"/>
  <c r="E36" i="13"/>
  <c r="E46" i="13"/>
  <c r="E51" i="13"/>
  <c r="E61" i="13"/>
  <c r="E78" i="13"/>
  <c r="D97" i="13"/>
  <c r="E97" i="13"/>
  <c r="E121" i="13"/>
  <c r="E140" i="13"/>
  <c r="E145" i="13"/>
  <c r="D145" i="13"/>
  <c r="D140" i="13"/>
  <c r="D121" i="13"/>
  <c r="D78" i="13"/>
  <c r="D61" i="13"/>
  <c r="D51" i="13"/>
  <c r="D46" i="13"/>
  <c r="D36" i="13"/>
  <c r="D25" i="13"/>
  <c r="D18" i="13"/>
  <c r="D5" i="13"/>
  <c r="AN160" i="12"/>
  <c r="AM160" i="12"/>
  <c r="AN155" i="12"/>
  <c r="AM155" i="12"/>
  <c r="AN150" i="12"/>
  <c r="AM150" i="12"/>
  <c r="AN129" i="12"/>
  <c r="AM129" i="12"/>
  <c r="AN103" i="12"/>
  <c r="AM103" i="12"/>
  <c r="AN85" i="12"/>
  <c r="AM85" i="12"/>
  <c r="AN65" i="12"/>
  <c r="AM65" i="12"/>
  <c r="AN51" i="12"/>
  <c r="AM51" i="12"/>
  <c r="AN43" i="12"/>
  <c r="AM43" i="12"/>
  <c r="AN27" i="12"/>
  <c r="AM27" i="12"/>
  <c r="AN19" i="12"/>
  <c r="AM19" i="12"/>
  <c r="AN11" i="12"/>
  <c r="AM11" i="12"/>
  <c r="AN8" i="12"/>
  <c r="AM8" i="12"/>
  <c r="AN6" i="12"/>
  <c r="AM6" i="12"/>
  <c r="AI160" i="12"/>
  <c r="AH160" i="12"/>
  <c r="AI155" i="12"/>
  <c r="AH155" i="12"/>
  <c r="AI150" i="12"/>
  <c r="AH150" i="12"/>
  <c r="AI129" i="12"/>
  <c r="AH129" i="12"/>
  <c r="AI103" i="12"/>
  <c r="AH103" i="12"/>
  <c r="AI85" i="12"/>
  <c r="AH85" i="12"/>
  <c r="AI65" i="12"/>
  <c r="AH65" i="12"/>
  <c r="AI51" i="12"/>
  <c r="AH51" i="12"/>
  <c r="AI43" i="12"/>
  <c r="AH43" i="12"/>
  <c r="AI27" i="12"/>
  <c r="AH27" i="12"/>
  <c r="AI19" i="12"/>
  <c r="AH19" i="12"/>
  <c r="AI11" i="12"/>
  <c r="AH11" i="12"/>
  <c r="AI8" i="12"/>
  <c r="AH8" i="12"/>
  <c r="AI6" i="12"/>
  <c r="AH6" i="12"/>
  <c r="AD160" i="12"/>
  <c r="AC160" i="12"/>
  <c r="AD155" i="12"/>
  <c r="AC155" i="12"/>
  <c r="AD150" i="12"/>
  <c r="AC150" i="12"/>
  <c r="AD129" i="12"/>
  <c r="AC129" i="12"/>
  <c r="AD103" i="12"/>
  <c r="AC103" i="12"/>
  <c r="AD85" i="12"/>
  <c r="AC85" i="12"/>
  <c r="AD65" i="12"/>
  <c r="AC65" i="12"/>
  <c r="AD51" i="12"/>
  <c r="AC51" i="12"/>
  <c r="AD43" i="12"/>
  <c r="AC43" i="12"/>
  <c r="AD27" i="12"/>
  <c r="AC27" i="12"/>
  <c r="AD19" i="12"/>
  <c r="AC19" i="12"/>
  <c r="AD11" i="12"/>
  <c r="AC11" i="12"/>
  <c r="AD8" i="12"/>
  <c r="AC8" i="12"/>
  <c r="AD6" i="12"/>
  <c r="AC6" i="12"/>
  <c r="Y160" i="12"/>
  <c r="X160" i="12"/>
  <c r="Y155" i="12"/>
  <c r="X155" i="12"/>
  <c r="Y150" i="12"/>
  <c r="X150" i="12"/>
  <c r="Y129" i="12"/>
  <c r="X129" i="12"/>
  <c r="Y103" i="12"/>
  <c r="X103" i="12"/>
  <c r="Y85" i="12"/>
  <c r="X85" i="12"/>
  <c r="Y65" i="12"/>
  <c r="X65" i="12"/>
  <c r="Y51" i="12"/>
  <c r="X51" i="12"/>
  <c r="Y43" i="12"/>
  <c r="X43" i="12"/>
  <c r="Y27" i="12"/>
  <c r="X27" i="12"/>
  <c r="Y19" i="12"/>
  <c r="X19" i="12"/>
  <c r="Y11" i="12"/>
  <c r="X11" i="12"/>
  <c r="Y8" i="12"/>
  <c r="X8" i="12"/>
  <c r="Y6" i="12"/>
  <c r="X6" i="12"/>
  <c r="T160" i="12"/>
  <c r="S160" i="12"/>
  <c r="T155" i="12"/>
  <c r="S155" i="12"/>
  <c r="T150" i="12"/>
  <c r="S150" i="12"/>
  <c r="T129" i="12"/>
  <c r="S129" i="12"/>
  <c r="T103" i="12"/>
  <c r="S103" i="12"/>
  <c r="T85" i="12"/>
  <c r="S85" i="12"/>
  <c r="T65" i="12"/>
  <c r="S65" i="12"/>
  <c r="T51" i="12"/>
  <c r="S51" i="12"/>
  <c r="T43" i="12"/>
  <c r="S43" i="12"/>
  <c r="T27" i="12"/>
  <c r="S27" i="12"/>
  <c r="T19" i="12"/>
  <c r="S19" i="12"/>
  <c r="T11" i="12"/>
  <c r="S11" i="12"/>
  <c r="T8" i="12"/>
  <c r="S8" i="12"/>
  <c r="T6" i="12"/>
  <c r="S6" i="12"/>
  <c r="O160" i="12"/>
  <c r="N160" i="12"/>
  <c r="O155" i="12"/>
  <c r="N155" i="12"/>
  <c r="O150" i="12"/>
  <c r="N150" i="12"/>
  <c r="O129" i="12"/>
  <c r="N129" i="12"/>
  <c r="O103" i="12"/>
  <c r="N103" i="12"/>
  <c r="O85" i="12"/>
  <c r="N85" i="12"/>
  <c r="O65" i="12"/>
  <c r="N65" i="12"/>
  <c r="O51" i="12"/>
  <c r="N51" i="12"/>
  <c r="O43" i="12"/>
  <c r="N43" i="12"/>
  <c r="O27" i="12"/>
  <c r="N27" i="12"/>
  <c r="O19" i="12"/>
  <c r="N19" i="12"/>
  <c r="O11" i="12"/>
  <c r="N11" i="12"/>
  <c r="O8" i="12"/>
  <c r="N8" i="12"/>
  <c r="O6" i="12"/>
  <c r="N6" i="12"/>
  <c r="J160" i="12"/>
  <c r="I160" i="12"/>
  <c r="J155" i="12"/>
  <c r="I155" i="12"/>
  <c r="J150" i="12"/>
  <c r="I150" i="12"/>
  <c r="J129" i="12"/>
  <c r="I129" i="12"/>
  <c r="J103" i="12"/>
  <c r="I103" i="12"/>
  <c r="J85" i="12"/>
  <c r="I85" i="12"/>
  <c r="J65" i="12"/>
  <c r="I65" i="12"/>
  <c r="J51" i="12"/>
  <c r="I51" i="12"/>
  <c r="J43" i="12"/>
  <c r="I43" i="12"/>
  <c r="J27" i="12"/>
  <c r="I27" i="12"/>
  <c r="J19" i="12"/>
  <c r="I19" i="12"/>
  <c r="J11" i="12"/>
  <c r="I11" i="12"/>
  <c r="J8" i="12"/>
  <c r="I8" i="12"/>
  <c r="J6" i="12"/>
  <c r="I6" i="12"/>
  <c r="E11" i="12"/>
  <c r="E8" i="12"/>
  <c r="E6" i="12"/>
  <c r="E19" i="12"/>
  <c r="E27" i="12"/>
  <c r="E43" i="12"/>
  <c r="E51" i="12"/>
  <c r="E65" i="12"/>
  <c r="E85" i="12"/>
  <c r="E103" i="12"/>
  <c r="E150" i="12"/>
  <c r="E129" i="12"/>
  <c r="E155" i="12"/>
  <c r="E160" i="12"/>
  <c r="D155" i="12"/>
  <c r="D160" i="12"/>
  <c r="D150" i="12"/>
  <c r="D129" i="12"/>
  <c r="D103" i="12"/>
  <c r="D85" i="12"/>
  <c r="D65" i="12"/>
  <c r="D51" i="12"/>
  <c r="D43" i="12"/>
  <c r="D27" i="12"/>
  <c r="D19" i="12"/>
  <c r="D11" i="12"/>
  <c r="D8" i="12"/>
  <c r="D6" i="12"/>
  <c r="E172" i="10"/>
  <c r="E167" i="10"/>
  <c r="E146" i="10"/>
  <c r="E117" i="10"/>
  <c r="E98" i="10"/>
  <c r="E78" i="10"/>
  <c r="E64" i="10"/>
  <c r="E56" i="10"/>
  <c r="E40" i="10"/>
  <c r="E28" i="10"/>
  <c r="E15" i="10"/>
  <c r="E10" i="10"/>
  <c r="E4" i="10"/>
  <c r="D172" i="10"/>
  <c r="D167" i="10"/>
  <c r="D146" i="10"/>
  <c r="D117" i="10"/>
  <c r="D98" i="10"/>
  <c r="D78" i="10"/>
  <c r="D64" i="10"/>
  <c r="D56" i="10"/>
  <c r="D40" i="10"/>
  <c r="D28" i="10"/>
  <c r="D15" i="10"/>
  <c r="D10" i="10"/>
  <c r="D4" i="10"/>
  <c r="G56" i="9"/>
  <c r="G50" i="9"/>
  <c r="G41" i="9"/>
  <c r="G36" i="9"/>
  <c r="G31" i="9"/>
  <c r="G29" i="9"/>
  <c r="G26" i="9"/>
  <c r="G22" i="9"/>
  <c r="G16" i="9"/>
  <c r="G10" i="9"/>
  <c r="G4" i="9"/>
  <c r="E56" i="9"/>
  <c r="E50" i="9"/>
  <c r="E41" i="9"/>
  <c r="E36" i="9"/>
  <c r="E31" i="9"/>
  <c r="E29" i="9"/>
  <c r="E26" i="9"/>
  <c r="E22" i="9"/>
  <c r="E16" i="9"/>
  <c r="E10" i="9"/>
  <c r="E4" i="9"/>
  <c r="AC165" i="12" l="1"/>
  <c r="AC166" i="12" s="1"/>
  <c r="B9" i="14" s="1"/>
  <c r="F9" i="14" s="1"/>
  <c r="D150" i="13"/>
  <c r="D151" i="13" s="1"/>
  <c r="B14" i="14" s="1"/>
  <c r="F14" i="14" s="1"/>
  <c r="G61" i="9"/>
  <c r="G62" i="9" s="1"/>
  <c r="C13" i="14" s="1"/>
  <c r="G13" i="14" s="1"/>
  <c r="E177" i="10"/>
  <c r="E178" i="10" s="1"/>
  <c r="C12" i="14" s="1"/>
  <c r="G12" i="14" s="1"/>
  <c r="I165" i="12"/>
  <c r="I166" i="12" s="1"/>
  <c r="B5" i="14" s="1"/>
  <c r="F5" i="14" s="1"/>
  <c r="AF150" i="13"/>
  <c r="AF151" i="13" s="1"/>
  <c r="B21" i="14" s="1"/>
  <c r="F21" i="14" s="1"/>
  <c r="AI165" i="12"/>
  <c r="AI166" i="12" s="1"/>
  <c r="C10" i="14" s="1"/>
  <c r="G10" i="14" s="1"/>
  <c r="AG150" i="13"/>
  <c r="AG151" i="13" s="1"/>
  <c r="C21" i="14" s="1"/>
  <c r="G21" i="14" s="1"/>
  <c r="S165" i="12"/>
  <c r="S166" i="12" s="1"/>
  <c r="B7" i="14" s="1"/>
  <c r="F7" i="14" s="1"/>
  <c r="E150" i="13"/>
  <c r="E151" i="13" s="1"/>
  <c r="C14" i="14" s="1"/>
  <c r="G14" i="14" s="1"/>
  <c r="H150" i="13"/>
  <c r="H151" i="13" s="1"/>
  <c r="B15" i="14" s="1"/>
  <c r="F15" i="14" s="1"/>
  <c r="D177" i="10"/>
  <c r="D178" i="10" s="1"/>
  <c r="B12" i="14" s="1"/>
  <c r="F12" i="14" s="1"/>
  <c r="E61" i="9"/>
  <c r="E62" i="9" s="1"/>
  <c r="B13" i="14" s="1"/>
  <c r="F13" i="14" s="1"/>
  <c r="AM165" i="12"/>
  <c r="AM166" i="12" s="1"/>
  <c r="B11" i="14" s="1"/>
  <c r="F11" i="14" s="1"/>
  <c r="Y165" i="12"/>
  <c r="Y166" i="12" s="1"/>
  <c r="C8" i="14" s="1"/>
  <c r="G8" i="14" s="1"/>
  <c r="I150" i="13"/>
  <c r="I151" i="13" s="1"/>
  <c r="C15" i="14" s="1"/>
  <c r="G15" i="14" s="1"/>
  <c r="O165" i="12"/>
  <c r="O166" i="12" s="1"/>
  <c r="C6" i="14" s="1"/>
  <c r="G6" i="14" s="1"/>
  <c r="J165" i="12"/>
  <c r="J166" i="12" s="1"/>
  <c r="C5" i="14" s="1"/>
  <c r="G5" i="14" s="1"/>
  <c r="T165" i="12"/>
  <c r="T166" i="12" s="1"/>
  <c r="C7" i="14" s="1"/>
  <c r="G7" i="14" s="1"/>
  <c r="AD165" i="12"/>
  <c r="AD166" i="12" s="1"/>
  <c r="C9" i="14" s="1"/>
  <c r="G9" i="14" s="1"/>
  <c r="D165" i="12"/>
  <c r="D166" i="12" s="1"/>
  <c r="B4" i="14" s="1"/>
  <c r="F4" i="14" s="1"/>
  <c r="N165" i="12"/>
  <c r="N166" i="12" s="1"/>
  <c r="B6" i="14" s="1"/>
  <c r="F6" i="14" s="1"/>
  <c r="X165" i="12"/>
  <c r="X166" i="12" s="1"/>
  <c r="B8" i="14" s="1"/>
  <c r="F8" i="14" s="1"/>
  <c r="AH165" i="12"/>
  <c r="AH166" i="12" s="1"/>
  <c r="B10" i="14" s="1"/>
  <c r="F10" i="14" s="1"/>
  <c r="E165" i="12"/>
  <c r="E166" i="12" s="1"/>
  <c r="C4" i="14" s="1"/>
  <c r="G4" i="14" s="1"/>
  <c r="F61" i="9"/>
  <c r="F62" i="9" s="1"/>
  <c r="AN165" i="12"/>
  <c r="AN166" i="12" s="1"/>
  <c r="C11" i="14" s="1"/>
  <c r="G11" i="14" s="1"/>
  <c r="L153" i="13"/>
  <c r="L155" i="13" s="1"/>
  <c r="P153" i="13"/>
  <c r="P155" i="13" s="1"/>
  <c r="V153" i="13"/>
  <c r="V155" i="13" s="1"/>
  <c r="Z153" i="13"/>
  <c r="Z155" i="13" s="1"/>
  <c r="AD153" i="13"/>
  <c r="AD155" i="13" s="1"/>
  <c r="AH153" i="13"/>
  <c r="AH155" i="13" s="1"/>
  <c r="F150" i="13"/>
  <c r="F151" i="13" s="1"/>
  <c r="V150" i="13"/>
  <c r="Z150" i="13"/>
  <c r="AD150" i="13"/>
  <c r="AH150" i="13"/>
  <c r="C150" i="13"/>
  <c r="AI148" i="13"/>
  <c r="AI147" i="13"/>
  <c r="AI146" i="13"/>
  <c r="AI145" i="13"/>
  <c r="AI144" i="13"/>
  <c r="AI143" i="13"/>
  <c r="AI142" i="13"/>
  <c r="AI141" i="13"/>
  <c r="AI140" i="13"/>
  <c r="AI139" i="13"/>
  <c r="AI138" i="13"/>
  <c r="AI137" i="13"/>
  <c r="AI136" i="13"/>
  <c r="AI135" i="13"/>
  <c r="AI134" i="13"/>
  <c r="AI133" i="13"/>
  <c r="AI132" i="13"/>
  <c r="AI131" i="13"/>
  <c r="AI130" i="13"/>
  <c r="AI129" i="13"/>
  <c r="AI128" i="13"/>
  <c r="AI127" i="13"/>
  <c r="AI126" i="13"/>
  <c r="AI125" i="13"/>
  <c r="AI124" i="13"/>
  <c r="AI123" i="13"/>
  <c r="AI122" i="13"/>
  <c r="AI121" i="13"/>
  <c r="AI120" i="13"/>
  <c r="AI119" i="13"/>
  <c r="AI118" i="13"/>
  <c r="AI117" i="13"/>
  <c r="AI116" i="13"/>
  <c r="AI115" i="13"/>
  <c r="AI114" i="13"/>
  <c r="AI113" i="13"/>
  <c r="AI112" i="13"/>
  <c r="AI111" i="13"/>
  <c r="AI110" i="13"/>
  <c r="AI109" i="13"/>
  <c r="AI108" i="13"/>
  <c r="AI107" i="13"/>
  <c r="AI106" i="13"/>
  <c r="AI105" i="13"/>
  <c r="AI104" i="13"/>
  <c r="AI103" i="13"/>
  <c r="AI102" i="13"/>
  <c r="AI101" i="13"/>
  <c r="AI100" i="13"/>
  <c r="AI99" i="13"/>
  <c r="AI98" i="13"/>
  <c r="AI97" i="13"/>
  <c r="AI96" i="13"/>
  <c r="AI95" i="13"/>
  <c r="AI94" i="13"/>
  <c r="AI93" i="13"/>
  <c r="AI92" i="13"/>
  <c r="AI91" i="13"/>
  <c r="AI90" i="13"/>
  <c r="AI89" i="13"/>
  <c r="AI88" i="13"/>
  <c r="AI87" i="13"/>
  <c r="AI86" i="13"/>
  <c r="AI85" i="13"/>
  <c r="AI84" i="13"/>
  <c r="AI83" i="13"/>
  <c r="AI82" i="13"/>
  <c r="AI81" i="13"/>
  <c r="AI80" i="13"/>
  <c r="AI79" i="13"/>
  <c r="AI78" i="13"/>
  <c r="AI77" i="13"/>
  <c r="AI76" i="13"/>
  <c r="AI75" i="13"/>
  <c r="AI74" i="13"/>
  <c r="AI73" i="13"/>
  <c r="AI72" i="13"/>
  <c r="AI71" i="13"/>
  <c r="AI70" i="13"/>
  <c r="AI69" i="13"/>
  <c r="AI68" i="13"/>
  <c r="AI67" i="13"/>
  <c r="AI66" i="13"/>
  <c r="AI65" i="13"/>
  <c r="AI64" i="13"/>
  <c r="AI63" i="13"/>
  <c r="AI62" i="13"/>
  <c r="AI61" i="13"/>
  <c r="AI60" i="13"/>
  <c r="AI59" i="13"/>
  <c r="AI58" i="13"/>
  <c r="AI57" i="13"/>
  <c r="AI56" i="13"/>
  <c r="AI54" i="13"/>
  <c r="AI53" i="13"/>
  <c r="AI52" i="13"/>
  <c r="AI51" i="13"/>
  <c r="AI50" i="13"/>
  <c r="AI49" i="13"/>
  <c r="AI48" i="13"/>
  <c r="AI47" i="13"/>
  <c r="AI46" i="13"/>
  <c r="AI45" i="13"/>
  <c r="AI44" i="13"/>
  <c r="AI43" i="13"/>
  <c r="AI42" i="13"/>
  <c r="AI41" i="13"/>
  <c r="AI40" i="13"/>
  <c r="AI39" i="13"/>
  <c r="AI38" i="13"/>
  <c r="AI37" i="13"/>
  <c r="AI36" i="13"/>
  <c r="AI35" i="13"/>
  <c r="AI34" i="13"/>
  <c r="AI33" i="13"/>
  <c r="AI32" i="13"/>
  <c r="AI31" i="13"/>
  <c r="AI30" i="13"/>
  <c r="AI29" i="13"/>
  <c r="AI28" i="13"/>
  <c r="AI27" i="13"/>
  <c r="AI26" i="13"/>
  <c r="AI25" i="13"/>
  <c r="AI24" i="13"/>
  <c r="AI23" i="13"/>
  <c r="AI22" i="13"/>
  <c r="AI21" i="13"/>
  <c r="AI20" i="13"/>
  <c r="AI19" i="13"/>
  <c r="AI18" i="13"/>
  <c r="AI17" i="13"/>
  <c r="AI15" i="13"/>
  <c r="AI14" i="13"/>
  <c r="AI8" i="13"/>
  <c r="AI6" i="13"/>
  <c r="AI5" i="13"/>
  <c r="AE148" i="13"/>
  <c r="AE147" i="13"/>
  <c r="AE146" i="13"/>
  <c r="AE145" i="13"/>
  <c r="AE144" i="13"/>
  <c r="AE143" i="13"/>
  <c r="AE142" i="13"/>
  <c r="AE141" i="13"/>
  <c r="AE140" i="13"/>
  <c r="AE139" i="13"/>
  <c r="AE138" i="13"/>
  <c r="AE137" i="13"/>
  <c r="AE136" i="13"/>
  <c r="AE135" i="13"/>
  <c r="AE134" i="13"/>
  <c r="AE133" i="13"/>
  <c r="AE132" i="13"/>
  <c r="AE131" i="13"/>
  <c r="AE130" i="13"/>
  <c r="AE129" i="13"/>
  <c r="AE128" i="13"/>
  <c r="AE127" i="13"/>
  <c r="AE126" i="13"/>
  <c r="AE125" i="13"/>
  <c r="AE124" i="13"/>
  <c r="AE123" i="13"/>
  <c r="AE122" i="13"/>
  <c r="AE121" i="13"/>
  <c r="AE120" i="13"/>
  <c r="AE119" i="13"/>
  <c r="AE118" i="13"/>
  <c r="AE117" i="13"/>
  <c r="AE116" i="13"/>
  <c r="AE115" i="13"/>
  <c r="AE114" i="13"/>
  <c r="AE113" i="13"/>
  <c r="AE112" i="13"/>
  <c r="AE111" i="13"/>
  <c r="AE110" i="13"/>
  <c r="AE109" i="13"/>
  <c r="AE108" i="13"/>
  <c r="AE107" i="13"/>
  <c r="AE106" i="13"/>
  <c r="AE105" i="13"/>
  <c r="AE104" i="13"/>
  <c r="AE103" i="13"/>
  <c r="AE102" i="13"/>
  <c r="AE101" i="13"/>
  <c r="AE100" i="13"/>
  <c r="AE99" i="13"/>
  <c r="AE98" i="13"/>
  <c r="AE97" i="13"/>
  <c r="AE96" i="13"/>
  <c r="AE95" i="13"/>
  <c r="AE94" i="13"/>
  <c r="AE93" i="13"/>
  <c r="AE92" i="13"/>
  <c r="AE91" i="13"/>
  <c r="AE90" i="13"/>
  <c r="AE89" i="13"/>
  <c r="AE88" i="13"/>
  <c r="AE87" i="13"/>
  <c r="AE86" i="13"/>
  <c r="AE85" i="13"/>
  <c r="AE84" i="13"/>
  <c r="AE83" i="13"/>
  <c r="AE82" i="13"/>
  <c r="AE81" i="13"/>
  <c r="AE80" i="13"/>
  <c r="AE79" i="13"/>
  <c r="AE78" i="13"/>
  <c r="AE77" i="13"/>
  <c r="AE76" i="13"/>
  <c r="AE75" i="13"/>
  <c r="AE74" i="13"/>
  <c r="AE73" i="13"/>
  <c r="AE72" i="13"/>
  <c r="AE71" i="13"/>
  <c r="AE70" i="13"/>
  <c r="AE69" i="13"/>
  <c r="AE68" i="13"/>
  <c r="AE67" i="13"/>
  <c r="AE66" i="13"/>
  <c r="AE65" i="13"/>
  <c r="AE64" i="13"/>
  <c r="AE63" i="13"/>
  <c r="AE62" i="13"/>
  <c r="AE61" i="13"/>
  <c r="AE60" i="13"/>
  <c r="AE59" i="13"/>
  <c r="AE58" i="13"/>
  <c r="AE57" i="13"/>
  <c r="AE56" i="13"/>
  <c r="AE54" i="13"/>
  <c r="AE53" i="13"/>
  <c r="AE52" i="13"/>
  <c r="AE51" i="13"/>
  <c r="AE50" i="13"/>
  <c r="AE49" i="13"/>
  <c r="AE48" i="13"/>
  <c r="AE47" i="13"/>
  <c r="AE46" i="13"/>
  <c r="AE45" i="13"/>
  <c r="AE44" i="13"/>
  <c r="AE43" i="13"/>
  <c r="AE42" i="13"/>
  <c r="AE41" i="13"/>
  <c r="AE40" i="13"/>
  <c r="AE39" i="13"/>
  <c r="AE38" i="13"/>
  <c r="AE37" i="13"/>
  <c r="AE36" i="13"/>
  <c r="AE35" i="13"/>
  <c r="AE34" i="13"/>
  <c r="AE33" i="13"/>
  <c r="AE32" i="13"/>
  <c r="AE31" i="13"/>
  <c r="AE30" i="13"/>
  <c r="AE29" i="13"/>
  <c r="AE28" i="13"/>
  <c r="AE27" i="13"/>
  <c r="AE26" i="13"/>
  <c r="AE25" i="13"/>
  <c r="AE24" i="13"/>
  <c r="AE23" i="13"/>
  <c r="AE22" i="13"/>
  <c r="AE21" i="13"/>
  <c r="AE20" i="13"/>
  <c r="AE19" i="13"/>
  <c r="AE18" i="13"/>
  <c r="AE17" i="13"/>
  <c r="AE15" i="13"/>
  <c r="AE14" i="13"/>
  <c r="AE8" i="13"/>
  <c r="AE6" i="13"/>
  <c r="AE5" i="13"/>
  <c r="AA148" i="13"/>
  <c r="AA147" i="13"/>
  <c r="AA146" i="13"/>
  <c r="AA145" i="13"/>
  <c r="AA144" i="13"/>
  <c r="AA143" i="13"/>
  <c r="AA142" i="13"/>
  <c r="AA141" i="13"/>
  <c r="AA140" i="13"/>
  <c r="AA139" i="13"/>
  <c r="AA138" i="13"/>
  <c r="AA137" i="13"/>
  <c r="AA136" i="13"/>
  <c r="AA135" i="13"/>
  <c r="AA134" i="13"/>
  <c r="AA133" i="13"/>
  <c r="AA132" i="13"/>
  <c r="AA131" i="13"/>
  <c r="AA130" i="13"/>
  <c r="AA129" i="13"/>
  <c r="AA128" i="13"/>
  <c r="AA127" i="13"/>
  <c r="AA126" i="13"/>
  <c r="AA125" i="13"/>
  <c r="AA124" i="13"/>
  <c r="AA123" i="13"/>
  <c r="AA122" i="13"/>
  <c r="AA121" i="13"/>
  <c r="AA120" i="13"/>
  <c r="AA119" i="13"/>
  <c r="AA118" i="13"/>
  <c r="AA117" i="13"/>
  <c r="AA116" i="13"/>
  <c r="AA115" i="13"/>
  <c r="AA114" i="13"/>
  <c r="AA113" i="13"/>
  <c r="AA112" i="13"/>
  <c r="AA111" i="13"/>
  <c r="AA110" i="13"/>
  <c r="AA109" i="13"/>
  <c r="AA108" i="13"/>
  <c r="AA107" i="13"/>
  <c r="AA106" i="13"/>
  <c r="AA105" i="13"/>
  <c r="AA104" i="13"/>
  <c r="AA103" i="13"/>
  <c r="AA102" i="13"/>
  <c r="AA101" i="13"/>
  <c r="AA100" i="13"/>
  <c r="AA99" i="13"/>
  <c r="AA98" i="13"/>
  <c r="AA97" i="13"/>
  <c r="AA96" i="13"/>
  <c r="AA95" i="13"/>
  <c r="AA94" i="13"/>
  <c r="AA93" i="13"/>
  <c r="AA92" i="13"/>
  <c r="AA91" i="13"/>
  <c r="AA90" i="13"/>
  <c r="AA89" i="13"/>
  <c r="AA88" i="13"/>
  <c r="AA87" i="13"/>
  <c r="AA86" i="13"/>
  <c r="AA85" i="13"/>
  <c r="AA84" i="13"/>
  <c r="AA83" i="13"/>
  <c r="AA82" i="13"/>
  <c r="AA81" i="13"/>
  <c r="AA80" i="13"/>
  <c r="AA79" i="13"/>
  <c r="AA78" i="13"/>
  <c r="AA77" i="13"/>
  <c r="AA76" i="13"/>
  <c r="AA75" i="13"/>
  <c r="AA74" i="13"/>
  <c r="AA73" i="13"/>
  <c r="AA72" i="13"/>
  <c r="AA71" i="13"/>
  <c r="AA70" i="13"/>
  <c r="AA69" i="13"/>
  <c r="AA68" i="13"/>
  <c r="AA67" i="13"/>
  <c r="AA66" i="13"/>
  <c r="AA65" i="13"/>
  <c r="AA64" i="13"/>
  <c r="AA63" i="13"/>
  <c r="AA62" i="13"/>
  <c r="AA61" i="13"/>
  <c r="AA60" i="13"/>
  <c r="AA59" i="13"/>
  <c r="AA58" i="13"/>
  <c r="AA57" i="13"/>
  <c r="AA56" i="13"/>
  <c r="AA54" i="13"/>
  <c r="AA53" i="13"/>
  <c r="AA52" i="13"/>
  <c r="AA51" i="13"/>
  <c r="AA50" i="13"/>
  <c r="AA49" i="13"/>
  <c r="AA48" i="13"/>
  <c r="AA47" i="13"/>
  <c r="AA46" i="13"/>
  <c r="AA45" i="13"/>
  <c r="AA44" i="13"/>
  <c r="AA43" i="13"/>
  <c r="AA42" i="13"/>
  <c r="AA41" i="13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25" i="13"/>
  <c r="AA24" i="13"/>
  <c r="AA23" i="13"/>
  <c r="AA22" i="13"/>
  <c r="AA21" i="13"/>
  <c r="AA20" i="13"/>
  <c r="AA19" i="13"/>
  <c r="AA18" i="13"/>
  <c r="AA17" i="13"/>
  <c r="AA15" i="13"/>
  <c r="AA14" i="13"/>
  <c r="AA8" i="13"/>
  <c r="AA6" i="13"/>
  <c r="AA5" i="13"/>
  <c r="W148" i="13"/>
  <c r="W147" i="13"/>
  <c r="W146" i="13"/>
  <c r="W145" i="13"/>
  <c r="W144" i="13"/>
  <c r="W143" i="13"/>
  <c r="W142" i="13"/>
  <c r="W141" i="13"/>
  <c r="W140" i="13"/>
  <c r="W139" i="13"/>
  <c r="W138" i="13"/>
  <c r="W137" i="13"/>
  <c r="W136" i="13"/>
  <c r="W135" i="13"/>
  <c r="W134" i="13"/>
  <c r="W133" i="13"/>
  <c r="W132" i="13"/>
  <c r="W131" i="13"/>
  <c r="W130" i="13"/>
  <c r="W129" i="13"/>
  <c r="W128" i="13"/>
  <c r="W127" i="13"/>
  <c r="W126" i="13"/>
  <c r="W125" i="13"/>
  <c r="W124" i="13"/>
  <c r="W123" i="13"/>
  <c r="W122" i="13"/>
  <c r="W121" i="13"/>
  <c r="W120" i="13"/>
  <c r="W119" i="13"/>
  <c r="W118" i="13"/>
  <c r="W117" i="13"/>
  <c r="W116" i="13"/>
  <c r="W115" i="13"/>
  <c r="W114" i="13"/>
  <c r="W113" i="13"/>
  <c r="W112" i="13"/>
  <c r="W111" i="13"/>
  <c r="W110" i="13"/>
  <c r="W109" i="13"/>
  <c r="W108" i="13"/>
  <c r="W107" i="13"/>
  <c r="W106" i="13"/>
  <c r="W105" i="13"/>
  <c r="W104" i="13"/>
  <c r="W103" i="13"/>
  <c r="W102" i="13"/>
  <c r="W101" i="13"/>
  <c r="W100" i="13"/>
  <c r="W99" i="13"/>
  <c r="W98" i="13"/>
  <c r="W97" i="13"/>
  <c r="W96" i="13"/>
  <c r="W95" i="13"/>
  <c r="W94" i="13"/>
  <c r="W93" i="13"/>
  <c r="W92" i="13"/>
  <c r="W91" i="13"/>
  <c r="W90" i="13"/>
  <c r="W89" i="13"/>
  <c r="W88" i="13"/>
  <c r="W87" i="13"/>
  <c r="W86" i="13"/>
  <c r="W85" i="13"/>
  <c r="W84" i="13"/>
  <c r="W83" i="13"/>
  <c r="W82" i="13"/>
  <c r="W81" i="13"/>
  <c r="W80" i="13"/>
  <c r="W79" i="13"/>
  <c r="W78" i="13"/>
  <c r="W77" i="13"/>
  <c r="W76" i="13"/>
  <c r="W75" i="13"/>
  <c r="W74" i="13"/>
  <c r="W73" i="13"/>
  <c r="W72" i="13"/>
  <c r="W71" i="13"/>
  <c r="W70" i="13"/>
  <c r="W69" i="13"/>
  <c r="W68" i="13"/>
  <c r="W67" i="13"/>
  <c r="W66" i="13"/>
  <c r="W65" i="13"/>
  <c r="W64" i="13"/>
  <c r="W63" i="13"/>
  <c r="W62" i="13"/>
  <c r="W61" i="13"/>
  <c r="W60" i="13"/>
  <c r="W59" i="13"/>
  <c r="W58" i="13"/>
  <c r="W57" i="13"/>
  <c r="W56" i="13"/>
  <c r="W54" i="13"/>
  <c r="W53" i="13"/>
  <c r="W52" i="13"/>
  <c r="W51" i="13"/>
  <c r="W50" i="13"/>
  <c r="W49" i="13"/>
  <c r="W48" i="13"/>
  <c r="W47" i="13"/>
  <c r="W46" i="13"/>
  <c r="W45" i="13"/>
  <c r="W44" i="13"/>
  <c r="W43" i="13"/>
  <c r="W42" i="13"/>
  <c r="W41" i="13"/>
  <c r="W40" i="13"/>
  <c r="W39" i="13"/>
  <c r="W38" i="13"/>
  <c r="W37" i="13"/>
  <c r="W36" i="13"/>
  <c r="W35" i="13"/>
  <c r="W34" i="13"/>
  <c r="W33" i="13"/>
  <c r="W32" i="13"/>
  <c r="W31" i="13"/>
  <c r="W30" i="13"/>
  <c r="W29" i="13"/>
  <c r="W28" i="13"/>
  <c r="W27" i="13"/>
  <c r="W26" i="13"/>
  <c r="W25" i="13"/>
  <c r="W24" i="13"/>
  <c r="W23" i="13"/>
  <c r="W22" i="13"/>
  <c r="W21" i="13"/>
  <c r="W20" i="13"/>
  <c r="W19" i="13"/>
  <c r="W18" i="13"/>
  <c r="W17" i="13"/>
  <c r="W15" i="13"/>
  <c r="W14" i="13"/>
  <c r="W8" i="13"/>
  <c r="W6" i="13"/>
  <c r="W5" i="13"/>
  <c r="S148" i="13"/>
  <c r="S147" i="13"/>
  <c r="S146" i="13"/>
  <c r="S144" i="13"/>
  <c r="S143" i="13"/>
  <c r="S142" i="13"/>
  <c r="S141" i="13"/>
  <c r="S139" i="13"/>
  <c r="S138" i="13"/>
  <c r="S137" i="13"/>
  <c r="S136" i="13"/>
  <c r="S135" i="13"/>
  <c r="S134" i="13"/>
  <c r="S133" i="13"/>
  <c r="S132" i="13"/>
  <c r="S131" i="13"/>
  <c r="S130" i="13"/>
  <c r="S129" i="13"/>
  <c r="S128" i="13"/>
  <c r="S127" i="13"/>
  <c r="S126" i="13"/>
  <c r="S125" i="13"/>
  <c r="S124" i="13"/>
  <c r="S123" i="13"/>
  <c r="S122" i="13"/>
  <c r="S120" i="13"/>
  <c r="S119" i="13"/>
  <c r="S118" i="13"/>
  <c r="S117" i="13"/>
  <c r="S116" i="13"/>
  <c r="S115" i="13"/>
  <c r="S114" i="13"/>
  <c r="S113" i="13"/>
  <c r="S112" i="13"/>
  <c r="S111" i="13"/>
  <c r="S110" i="13"/>
  <c r="S109" i="13"/>
  <c r="S108" i="13"/>
  <c r="S107" i="13"/>
  <c r="S106" i="13"/>
  <c r="S105" i="13"/>
  <c r="S104" i="13"/>
  <c r="S103" i="13"/>
  <c r="S102" i="13"/>
  <c r="S101" i="13"/>
  <c r="S100" i="13"/>
  <c r="S99" i="13"/>
  <c r="S98" i="13"/>
  <c r="S96" i="13"/>
  <c r="S95" i="13"/>
  <c r="S94" i="13"/>
  <c r="S93" i="13"/>
  <c r="S92" i="13"/>
  <c r="S91" i="13"/>
  <c r="S90" i="13"/>
  <c r="S89" i="13"/>
  <c r="S88" i="13"/>
  <c r="S87" i="13"/>
  <c r="S86" i="13"/>
  <c r="S85" i="13"/>
  <c r="S84" i="13"/>
  <c r="S83" i="13"/>
  <c r="S82" i="13"/>
  <c r="S81" i="13"/>
  <c r="S80" i="13"/>
  <c r="S79" i="13"/>
  <c r="S77" i="13"/>
  <c r="S76" i="13"/>
  <c r="S75" i="13"/>
  <c r="S74" i="13"/>
  <c r="S73" i="13"/>
  <c r="S72" i="13"/>
  <c r="S71" i="13"/>
  <c r="S70" i="13"/>
  <c r="S69" i="13"/>
  <c r="S68" i="13"/>
  <c r="S67" i="13"/>
  <c r="S66" i="13"/>
  <c r="S65" i="13"/>
  <c r="S64" i="13"/>
  <c r="S63" i="13"/>
  <c r="S62" i="13"/>
  <c r="S60" i="13"/>
  <c r="S59" i="13"/>
  <c r="S58" i="13"/>
  <c r="S57" i="13"/>
  <c r="S56" i="13"/>
  <c r="S54" i="13"/>
  <c r="S53" i="13"/>
  <c r="S52" i="13"/>
  <c r="S50" i="13"/>
  <c r="S49" i="13"/>
  <c r="S48" i="13"/>
  <c r="S47" i="13"/>
  <c r="S45" i="13"/>
  <c r="S44" i="13"/>
  <c r="S43" i="13"/>
  <c r="S42" i="13"/>
  <c r="S41" i="13"/>
  <c r="S40" i="13"/>
  <c r="S39" i="13"/>
  <c r="S38" i="13"/>
  <c r="S37" i="13"/>
  <c r="S35" i="13"/>
  <c r="S34" i="13"/>
  <c r="S33" i="13"/>
  <c r="S32" i="13"/>
  <c r="S31" i="13"/>
  <c r="S30" i="13"/>
  <c r="S29" i="13"/>
  <c r="S28" i="13"/>
  <c r="S27" i="13"/>
  <c r="S26" i="13"/>
  <c r="S24" i="13"/>
  <c r="S23" i="13"/>
  <c r="S22" i="13"/>
  <c r="S21" i="13"/>
  <c r="S20" i="13"/>
  <c r="S19" i="13"/>
  <c r="S17" i="13"/>
  <c r="S15" i="13"/>
  <c r="S14" i="13"/>
  <c r="S6" i="13"/>
  <c r="K148" i="13"/>
  <c r="K147" i="13"/>
  <c r="K146" i="13"/>
  <c r="K145" i="13"/>
  <c r="K144" i="13"/>
  <c r="K143" i="13"/>
  <c r="K142" i="13"/>
  <c r="K141" i="13"/>
  <c r="K140" i="13"/>
  <c r="K139" i="13"/>
  <c r="K138" i="13"/>
  <c r="K137" i="13"/>
  <c r="K136" i="13"/>
  <c r="K135" i="13"/>
  <c r="K134" i="13"/>
  <c r="K133" i="13"/>
  <c r="K132" i="13"/>
  <c r="K131" i="13"/>
  <c r="K130" i="13"/>
  <c r="K129" i="13"/>
  <c r="K128" i="13"/>
  <c r="K127" i="13"/>
  <c r="K126" i="13"/>
  <c r="K125" i="13"/>
  <c r="K124" i="13"/>
  <c r="K123" i="13"/>
  <c r="K122" i="13"/>
  <c r="K121" i="13"/>
  <c r="K120" i="13"/>
  <c r="K119" i="13"/>
  <c r="K118" i="13"/>
  <c r="K117" i="13"/>
  <c r="K116" i="13"/>
  <c r="K115" i="13"/>
  <c r="K114" i="13"/>
  <c r="K113" i="13"/>
  <c r="K112" i="13"/>
  <c r="K111" i="13"/>
  <c r="K110" i="13"/>
  <c r="K109" i="13"/>
  <c r="K108" i="13"/>
  <c r="K107" i="13"/>
  <c r="K106" i="13"/>
  <c r="K105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6" i="13"/>
  <c r="K85" i="13"/>
  <c r="K84" i="13"/>
  <c r="K83" i="13"/>
  <c r="K82" i="13"/>
  <c r="K81" i="13"/>
  <c r="K80" i="13"/>
  <c r="K79" i="13"/>
  <c r="K78" i="13"/>
  <c r="K77" i="13"/>
  <c r="K76" i="13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5" i="13"/>
  <c r="K14" i="13"/>
  <c r="K8" i="13"/>
  <c r="K6" i="13"/>
  <c r="K5" i="13"/>
  <c r="G27" i="13"/>
  <c r="G26" i="13"/>
  <c r="G20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4" i="13"/>
  <c r="G95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5" i="13"/>
  <c r="G24" i="13"/>
  <c r="G23" i="13"/>
  <c r="G22" i="13"/>
  <c r="G21" i="13"/>
  <c r="G19" i="13"/>
  <c r="G18" i="13"/>
  <c r="G17" i="13"/>
  <c r="G15" i="13"/>
  <c r="G14" i="13"/>
  <c r="G8" i="13"/>
  <c r="F165" i="12"/>
  <c r="H165" i="12"/>
  <c r="K165" i="12"/>
  <c r="M165" i="12"/>
  <c r="P165" i="12"/>
  <c r="R165" i="12"/>
  <c r="U165" i="12"/>
  <c r="W165" i="12"/>
  <c r="Z165" i="12"/>
  <c r="AB165" i="12"/>
  <c r="AE165" i="12"/>
  <c r="AG165" i="12"/>
  <c r="AJ165" i="12"/>
  <c r="AL165" i="12"/>
  <c r="AO165" i="12"/>
  <c r="AP126" i="12"/>
  <c r="AK126" i="12"/>
  <c r="AF126" i="12"/>
  <c r="AA126" i="12"/>
  <c r="V126" i="12"/>
  <c r="Q126" i="12"/>
  <c r="L126" i="12"/>
  <c r="G126" i="12"/>
  <c r="AP75" i="12"/>
  <c r="AK75" i="12"/>
  <c r="AF75" i="12"/>
  <c r="AA75" i="12"/>
  <c r="V75" i="12"/>
  <c r="Q75" i="12"/>
  <c r="L75" i="12"/>
  <c r="G75" i="12"/>
  <c r="L149" i="12"/>
  <c r="L150" i="12"/>
  <c r="L151" i="12"/>
  <c r="L152" i="12"/>
  <c r="L153" i="12"/>
  <c r="Q149" i="12"/>
  <c r="Q150" i="12"/>
  <c r="Q151" i="12"/>
  <c r="Q152" i="12"/>
  <c r="Q153" i="12"/>
  <c r="V149" i="12"/>
  <c r="V150" i="12"/>
  <c r="V151" i="12"/>
  <c r="V152" i="12"/>
  <c r="V153" i="12"/>
  <c r="AA149" i="12"/>
  <c r="AA150" i="12"/>
  <c r="AA151" i="12"/>
  <c r="AA152" i="12"/>
  <c r="AA153" i="12"/>
  <c r="AF149" i="12"/>
  <c r="AF150" i="12"/>
  <c r="AF151" i="12"/>
  <c r="AF152" i="12"/>
  <c r="AF153" i="12"/>
  <c r="AK149" i="12"/>
  <c r="AK150" i="12"/>
  <c r="AK151" i="12"/>
  <c r="AK152" i="12"/>
  <c r="AK153" i="12"/>
  <c r="AP153" i="12"/>
  <c r="AP152" i="12"/>
  <c r="AP151" i="12"/>
  <c r="AP150" i="12"/>
  <c r="G153" i="12"/>
  <c r="G152" i="12"/>
  <c r="G151" i="12"/>
  <c r="G150" i="12"/>
  <c r="AP109" i="12"/>
  <c r="AP108" i="12"/>
  <c r="AP107" i="12"/>
  <c r="AK109" i="12"/>
  <c r="AK108" i="12"/>
  <c r="AK107" i="12"/>
  <c r="AF109" i="12"/>
  <c r="AF108" i="12"/>
  <c r="AF107" i="12"/>
  <c r="AA109" i="12"/>
  <c r="AA108" i="12"/>
  <c r="AA107" i="12"/>
  <c r="V109" i="12"/>
  <c r="V108" i="12"/>
  <c r="V107" i="12"/>
  <c r="Q109" i="12"/>
  <c r="Q108" i="12"/>
  <c r="Q107" i="12"/>
  <c r="L109" i="12"/>
  <c r="L108" i="12"/>
  <c r="L107" i="12"/>
  <c r="G109" i="12"/>
  <c r="G108" i="12"/>
  <c r="G107" i="12"/>
  <c r="AP74" i="12"/>
  <c r="AK74" i="12"/>
  <c r="AF74" i="12"/>
  <c r="AA74" i="12"/>
  <c r="V74" i="12"/>
  <c r="Q74" i="12"/>
  <c r="L74" i="12"/>
  <c r="G74" i="12"/>
  <c r="AP73" i="12"/>
  <c r="AK73" i="12"/>
  <c r="AF73" i="12"/>
  <c r="AA73" i="12"/>
  <c r="V73" i="12"/>
  <c r="Q73" i="12"/>
  <c r="L73" i="12"/>
  <c r="G73" i="12"/>
  <c r="AP72" i="12"/>
  <c r="AK72" i="12"/>
  <c r="AF72" i="12"/>
  <c r="AA72" i="12"/>
  <c r="V72" i="12"/>
  <c r="Q72" i="12"/>
  <c r="L72" i="12"/>
  <c r="G72" i="12"/>
  <c r="AP24" i="12"/>
  <c r="AK24" i="12"/>
  <c r="AF24" i="12"/>
  <c r="AA24" i="12"/>
  <c r="V24" i="12"/>
  <c r="Q24" i="12"/>
  <c r="L24" i="12"/>
  <c r="G24" i="12"/>
  <c r="L163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54" i="12"/>
  <c r="L155" i="12"/>
  <c r="L156" i="12"/>
  <c r="L157" i="12"/>
  <c r="L158" i="12"/>
  <c r="L159" i="12"/>
  <c r="L160" i="12"/>
  <c r="L161" i="12"/>
  <c r="L162" i="12"/>
  <c r="L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54" i="12"/>
  <c r="Q155" i="12"/>
  <c r="Q156" i="12"/>
  <c r="Q157" i="12"/>
  <c r="Q158" i="12"/>
  <c r="Q159" i="12"/>
  <c r="Q160" i="12"/>
  <c r="Q161" i="12"/>
  <c r="Q162" i="12"/>
  <c r="Q163" i="12"/>
  <c r="Q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V105" i="12"/>
  <c r="V106" i="12"/>
  <c r="V110" i="12"/>
  <c r="V111" i="12"/>
  <c r="V112" i="12"/>
  <c r="V113" i="12"/>
  <c r="V114" i="12"/>
  <c r="V115" i="12"/>
  <c r="V116" i="12"/>
  <c r="V117" i="12"/>
  <c r="V118" i="12"/>
  <c r="V119" i="12"/>
  <c r="V120" i="12"/>
  <c r="V121" i="12"/>
  <c r="V122" i="12"/>
  <c r="V123" i="12"/>
  <c r="V124" i="12"/>
  <c r="V125" i="12"/>
  <c r="V127" i="12"/>
  <c r="V128" i="12"/>
  <c r="V129" i="12"/>
  <c r="V130" i="12"/>
  <c r="V131" i="12"/>
  <c r="V132" i="12"/>
  <c r="V133" i="12"/>
  <c r="V134" i="12"/>
  <c r="V135" i="12"/>
  <c r="V136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54" i="12"/>
  <c r="V155" i="12"/>
  <c r="V156" i="12"/>
  <c r="V157" i="12"/>
  <c r="V158" i="12"/>
  <c r="V159" i="12"/>
  <c r="V160" i="12"/>
  <c r="V161" i="12"/>
  <c r="V162" i="12"/>
  <c r="V163" i="12"/>
  <c r="V6" i="12"/>
  <c r="AA7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05" i="12"/>
  <c r="AA106" i="12"/>
  <c r="AA110" i="12"/>
  <c r="AA111" i="12"/>
  <c r="AA112" i="12"/>
  <c r="AA113" i="12"/>
  <c r="AA114" i="12"/>
  <c r="AA115" i="12"/>
  <c r="AA116" i="12"/>
  <c r="AA117" i="12"/>
  <c r="AA118" i="12"/>
  <c r="AA119" i="12"/>
  <c r="AA120" i="12"/>
  <c r="AA121" i="12"/>
  <c r="AA122" i="12"/>
  <c r="AA123" i="12"/>
  <c r="AA124" i="12"/>
  <c r="AA125" i="12"/>
  <c r="AA127" i="12"/>
  <c r="AA128" i="12"/>
  <c r="AA129" i="12"/>
  <c r="AA130" i="12"/>
  <c r="AA131" i="12"/>
  <c r="AA132" i="12"/>
  <c r="AA133" i="12"/>
  <c r="AA134" i="12"/>
  <c r="AA135" i="12"/>
  <c r="AA136" i="12"/>
  <c r="AA137" i="12"/>
  <c r="AA138" i="12"/>
  <c r="AA139" i="12"/>
  <c r="AA140" i="12"/>
  <c r="AA141" i="12"/>
  <c r="AA142" i="12"/>
  <c r="AA143" i="12"/>
  <c r="AA144" i="12"/>
  <c r="AA145" i="12"/>
  <c r="AA146" i="12"/>
  <c r="AA147" i="12"/>
  <c r="AA148" i="12"/>
  <c r="AA154" i="12"/>
  <c r="AA155" i="12"/>
  <c r="AA156" i="12"/>
  <c r="AA157" i="12"/>
  <c r="AA158" i="12"/>
  <c r="AA159" i="12"/>
  <c r="AA160" i="12"/>
  <c r="AA161" i="12"/>
  <c r="AA162" i="12"/>
  <c r="AA163" i="12"/>
  <c r="AA6" i="12"/>
  <c r="AF163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5" i="12"/>
  <c r="AF26" i="12"/>
  <c r="AF27" i="12"/>
  <c r="AF28" i="12"/>
  <c r="AF29" i="12"/>
  <c r="AF30" i="12"/>
  <c r="AF31" i="12"/>
  <c r="AF32" i="12"/>
  <c r="AF33" i="12"/>
  <c r="AF34" i="12"/>
  <c r="AF35" i="12"/>
  <c r="AF36" i="12"/>
  <c r="AF37" i="12"/>
  <c r="AF38" i="12"/>
  <c r="AF39" i="12"/>
  <c r="AF40" i="12"/>
  <c r="AF41" i="12"/>
  <c r="AF42" i="12"/>
  <c r="AF43" i="12"/>
  <c r="AF44" i="12"/>
  <c r="AF45" i="12"/>
  <c r="AF46" i="12"/>
  <c r="AF47" i="12"/>
  <c r="AF48" i="12"/>
  <c r="AF49" i="12"/>
  <c r="AF50" i="12"/>
  <c r="AF51" i="12"/>
  <c r="AF52" i="12"/>
  <c r="AF53" i="12"/>
  <c r="AF54" i="12"/>
  <c r="AF55" i="12"/>
  <c r="AF56" i="12"/>
  <c r="AF57" i="12"/>
  <c r="AF58" i="12"/>
  <c r="AF59" i="12"/>
  <c r="AF60" i="12"/>
  <c r="AF61" i="12"/>
  <c r="AF62" i="12"/>
  <c r="AF63" i="12"/>
  <c r="AF64" i="12"/>
  <c r="AF65" i="12"/>
  <c r="AF66" i="12"/>
  <c r="AF67" i="12"/>
  <c r="AF68" i="12"/>
  <c r="AF69" i="12"/>
  <c r="AF70" i="12"/>
  <c r="AF71" i="12"/>
  <c r="AF76" i="12"/>
  <c r="AF77" i="12"/>
  <c r="AF78" i="12"/>
  <c r="AF79" i="12"/>
  <c r="AF80" i="12"/>
  <c r="AF81" i="12"/>
  <c r="AF82" i="12"/>
  <c r="AF83" i="12"/>
  <c r="AF84" i="12"/>
  <c r="AF85" i="12"/>
  <c r="AF86" i="12"/>
  <c r="AF87" i="12"/>
  <c r="AF88" i="12"/>
  <c r="AF89" i="12"/>
  <c r="AF90" i="12"/>
  <c r="AF91" i="12"/>
  <c r="AF92" i="12"/>
  <c r="AF93" i="12"/>
  <c r="AF94" i="12"/>
  <c r="AF95" i="12"/>
  <c r="AF96" i="12"/>
  <c r="AF97" i="12"/>
  <c r="AF98" i="12"/>
  <c r="AF99" i="12"/>
  <c r="AF100" i="12"/>
  <c r="AF101" i="12"/>
  <c r="AF102" i="12"/>
  <c r="AF103" i="12"/>
  <c r="AF104" i="12"/>
  <c r="AF105" i="12"/>
  <c r="AF106" i="12"/>
  <c r="AF110" i="12"/>
  <c r="AF111" i="12"/>
  <c r="AF112" i="12"/>
  <c r="AF113" i="12"/>
  <c r="AF114" i="12"/>
  <c r="AF115" i="12"/>
  <c r="AF116" i="12"/>
  <c r="AF117" i="12"/>
  <c r="AF118" i="12"/>
  <c r="AF119" i="12"/>
  <c r="AF120" i="12"/>
  <c r="AF121" i="12"/>
  <c r="AF122" i="12"/>
  <c r="AF123" i="12"/>
  <c r="AF124" i="12"/>
  <c r="AF125" i="12"/>
  <c r="AF127" i="12"/>
  <c r="AF128" i="12"/>
  <c r="AF129" i="12"/>
  <c r="AF130" i="12"/>
  <c r="AF131" i="12"/>
  <c r="AF132" i="12"/>
  <c r="AF133" i="12"/>
  <c r="AF134" i="12"/>
  <c r="AF135" i="12"/>
  <c r="AF136" i="12"/>
  <c r="AF137" i="12"/>
  <c r="AF138" i="12"/>
  <c r="AF139" i="12"/>
  <c r="AF140" i="12"/>
  <c r="AF141" i="12"/>
  <c r="AF142" i="12"/>
  <c r="AF143" i="12"/>
  <c r="AF144" i="12"/>
  <c r="AF145" i="12"/>
  <c r="AF146" i="12"/>
  <c r="AF147" i="12"/>
  <c r="AF148" i="12"/>
  <c r="AF154" i="12"/>
  <c r="AF155" i="12"/>
  <c r="AF156" i="12"/>
  <c r="AF157" i="12"/>
  <c r="AF158" i="12"/>
  <c r="AF159" i="12"/>
  <c r="AF160" i="12"/>
  <c r="AF161" i="12"/>
  <c r="AF162" i="12"/>
  <c r="AF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5" i="12"/>
  <c r="AK26" i="12"/>
  <c r="AK27" i="12"/>
  <c r="AK28" i="12"/>
  <c r="AK29" i="12"/>
  <c r="AK30" i="12"/>
  <c r="AK31" i="12"/>
  <c r="AK32" i="12"/>
  <c r="AK33" i="12"/>
  <c r="AK34" i="12"/>
  <c r="AK35" i="12"/>
  <c r="AK36" i="12"/>
  <c r="AK37" i="12"/>
  <c r="AK38" i="12"/>
  <c r="AK39" i="12"/>
  <c r="AK40" i="12"/>
  <c r="AK41" i="12"/>
  <c r="AK42" i="12"/>
  <c r="AK43" i="12"/>
  <c r="AK44" i="12"/>
  <c r="AK45" i="12"/>
  <c r="AK46" i="12"/>
  <c r="AK47" i="12"/>
  <c r="AK48" i="12"/>
  <c r="AK49" i="12"/>
  <c r="AK50" i="12"/>
  <c r="AK51" i="12"/>
  <c r="AK52" i="12"/>
  <c r="AK53" i="12"/>
  <c r="AK54" i="12"/>
  <c r="AK55" i="12"/>
  <c r="AK56" i="12"/>
  <c r="AK57" i="12"/>
  <c r="AK58" i="12"/>
  <c r="AK59" i="12"/>
  <c r="AK60" i="12"/>
  <c r="AK61" i="12"/>
  <c r="AK62" i="12"/>
  <c r="AK63" i="12"/>
  <c r="AK64" i="12"/>
  <c r="AK65" i="12"/>
  <c r="AK66" i="12"/>
  <c r="AK67" i="12"/>
  <c r="AK68" i="12"/>
  <c r="AK69" i="12"/>
  <c r="AK70" i="12"/>
  <c r="AK71" i="12"/>
  <c r="AK76" i="12"/>
  <c r="AK77" i="12"/>
  <c r="AK78" i="12"/>
  <c r="AK79" i="12"/>
  <c r="AK80" i="12"/>
  <c r="AK81" i="12"/>
  <c r="AK82" i="12"/>
  <c r="AK83" i="12"/>
  <c r="AK84" i="12"/>
  <c r="AK85" i="12"/>
  <c r="AK86" i="12"/>
  <c r="AK87" i="12"/>
  <c r="AK88" i="12"/>
  <c r="AK89" i="12"/>
  <c r="AK90" i="12"/>
  <c r="AK91" i="12"/>
  <c r="AK92" i="12"/>
  <c r="AK93" i="12"/>
  <c r="AK94" i="12"/>
  <c r="AK95" i="12"/>
  <c r="AK96" i="12"/>
  <c r="AK97" i="12"/>
  <c r="AK98" i="12"/>
  <c r="AK99" i="12"/>
  <c r="AK100" i="12"/>
  <c r="AK101" i="12"/>
  <c r="AK102" i="12"/>
  <c r="AK103" i="12"/>
  <c r="AK104" i="12"/>
  <c r="AK105" i="12"/>
  <c r="AK106" i="12"/>
  <c r="AK110" i="12"/>
  <c r="AK111" i="12"/>
  <c r="AK112" i="12"/>
  <c r="AK113" i="12"/>
  <c r="AK114" i="12"/>
  <c r="AK115" i="12"/>
  <c r="AK116" i="12"/>
  <c r="AK117" i="12"/>
  <c r="AK118" i="12"/>
  <c r="AK119" i="12"/>
  <c r="AK120" i="12"/>
  <c r="AK121" i="12"/>
  <c r="AK122" i="12"/>
  <c r="AK123" i="12"/>
  <c r="AK124" i="12"/>
  <c r="AK125" i="12"/>
  <c r="AK127" i="12"/>
  <c r="AK128" i="12"/>
  <c r="AK129" i="12"/>
  <c r="AK130" i="12"/>
  <c r="AK131" i="12"/>
  <c r="AK132" i="12"/>
  <c r="AK133" i="12"/>
  <c r="AK134" i="12"/>
  <c r="AK135" i="12"/>
  <c r="AK136" i="12"/>
  <c r="AK137" i="12"/>
  <c r="AK138" i="12"/>
  <c r="AK139" i="12"/>
  <c r="AK140" i="12"/>
  <c r="AK141" i="12"/>
  <c r="AK142" i="12"/>
  <c r="AK143" i="12"/>
  <c r="AK144" i="12"/>
  <c r="AK145" i="12"/>
  <c r="AK146" i="12"/>
  <c r="AK147" i="12"/>
  <c r="AK148" i="12"/>
  <c r="AK154" i="12"/>
  <c r="AK155" i="12"/>
  <c r="AK156" i="12"/>
  <c r="AK157" i="12"/>
  <c r="AK158" i="12"/>
  <c r="AK159" i="12"/>
  <c r="AK160" i="12"/>
  <c r="AK161" i="12"/>
  <c r="AK162" i="12"/>
  <c r="AK163" i="12"/>
  <c r="AK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5" i="12"/>
  <c r="AP26" i="12"/>
  <c r="AP27" i="12"/>
  <c r="AP28" i="12"/>
  <c r="AP29" i="12"/>
  <c r="AP30" i="12"/>
  <c r="AP31" i="12"/>
  <c r="AP32" i="12"/>
  <c r="AP33" i="12"/>
  <c r="AP34" i="12"/>
  <c r="AP35" i="12"/>
  <c r="AP36" i="12"/>
  <c r="AP37" i="12"/>
  <c r="AP38" i="12"/>
  <c r="AP39" i="12"/>
  <c r="AP40" i="12"/>
  <c r="AP41" i="12"/>
  <c r="AP42" i="12"/>
  <c r="AP43" i="12"/>
  <c r="AP44" i="12"/>
  <c r="AP45" i="12"/>
  <c r="AP46" i="12"/>
  <c r="AP47" i="12"/>
  <c r="AP48" i="12"/>
  <c r="AP49" i="12"/>
  <c r="AP50" i="12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P71" i="12"/>
  <c r="AP76" i="12"/>
  <c r="AP77" i="12"/>
  <c r="AP78" i="12"/>
  <c r="AP79" i="12"/>
  <c r="AP80" i="12"/>
  <c r="AP81" i="12"/>
  <c r="AP82" i="12"/>
  <c r="AP83" i="12"/>
  <c r="AP84" i="12"/>
  <c r="AP85" i="12"/>
  <c r="AP86" i="12"/>
  <c r="AP87" i="12"/>
  <c r="AP88" i="12"/>
  <c r="AP89" i="12"/>
  <c r="AP90" i="12"/>
  <c r="AP91" i="12"/>
  <c r="AP92" i="12"/>
  <c r="AP93" i="12"/>
  <c r="AP94" i="12"/>
  <c r="AP95" i="12"/>
  <c r="AP96" i="12"/>
  <c r="AP97" i="12"/>
  <c r="AP98" i="12"/>
  <c r="AP99" i="12"/>
  <c r="AP100" i="12"/>
  <c r="AP101" i="12"/>
  <c r="AP102" i="12"/>
  <c r="AP103" i="12"/>
  <c r="AP104" i="12"/>
  <c r="AP105" i="12"/>
  <c r="AP106" i="12"/>
  <c r="AP110" i="12"/>
  <c r="AP111" i="12"/>
  <c r="AP112" i="12"/>
  <c r="AP113" i="12"/>
  <c r="AP114" i="12"/>
  <c r="AP115" i="12"/>
  <c r="AP116" i="12"/>
  <c r="AP117" i="12"/>
  <c r="AP118" i="12"/>
  <c r="AP119" i="12"/>
  <c r="AP120" i="12"/>
  <c r="AP121" i="12"/>
  <c r="AP122" i="12"/>
  <c r="AP123" i="12"/>
  <c r="AP124" i="12"/>
  <c r="AP125" i="12"/>
  <c r="AP127" i="12"/>
  <c r="AP128" i="12"/>
  <c r="AP129" i="12"/>
  <c r="AP130" i="12"/>
  <c r="AP131" i="12"/>
  <c r="AP132" i="12"/>
  <c r="AP133" i="12"/>
  <c r="AP134" i="12"/>
  <c r="AP135" i="12"/>
  <c r="AP136" i="12"/>
  <c r="AP137" i="12"/>
  <c r="AP138" i="12"/>
  <c r="AP139" i="12"/>
  <c r="AP140" i="12"/>
  <c r="AP141" i="12"/>
  <c r="AP142" i="12"/>
  <c r="AP143" i="12"/>
  <c r="AP144" i="12"/>
  <c r="AP145" i="12"/>
  <c r="AP146" i="12"/>
  <c r="AP147" i="12"/>
  <c r="AP148" i="12"/>
  <c r="AP154" i="12"/>
  <c r="AP155" i="12"/>
  <c r="AP156" i="12"/>
  <c r="AP157" i="12"/>
  <c r="AP158" i="12"/>
  <c r="AP159" i="12"/>
  <c r="AP160" i="12"/>
  <c r="AP161" i="12"/>
  <c r="AP162" i="12"/>
  <c r="AP163" i="12"/>
  <c r="AP6" i="12"/>
  <c r="C165" i="12"/>
  <c r="G163" i="12"/>
  <c r="G162" i="12"/>
  <c r="G161" i="12"/>
  <c r="G160" i="12"/>
  <c r="G159" i="12"/>
  <c r="G158" i="12"/>
  <c r="G157" i="12"/>
  <c r="G156" i="12"/>
  <c r="G155" i="12"/>
  <c r="G154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H153" i="13" l="1"/>
  <c r="H155" i="13" s="1"/>
  <c r="AK165" i="12"/>
  <c r="AK166" i="12" s="1"/>
  <c r="AK168" i="12" s="1"/>
  <c r="AK170" i="12" s="1"/>
  <c r="AF165" i="12"/>
  <c r="AF166" i="12" s="1"/>
  <c r="AA165" i="12"/>
  <c r="AA166" i="12" s="1"/>
  <c r="V165" i="12"/>
  <c r="V166" i="12" s="1"/>
  <c r="Q165" i="12"/>
  <c r="Q166" i="12" s="1"/>
  <c r="L165" i="12"/>
  <c r="L166" i="12" s="1"/>
  <c r="G165" i="12"/>
  <c r="AP165" i="12"/>
  <c r="AP166" i="12" s="1"/>
  <c r="AP168" i="12" s="1"/>
  <c r="AP170" i="12" s="1"/>
  <c r="G150" i="13"/>
  <c r="G151" i="13" s="1"/>
  <c r="G153" i="13" s="1"/>
  <c r="G155" i="13" s="1"/>
  <c r="W150" i="13"/>
  <c r="W151" i="13" s="1"/>
  <c r="W153" i="13" s="1"/>
  <c r="W155" i="13" s="1"/>
  <c r="AE150" i="13"/>
  <c r="AE151" i="13" s="1"/>
  <c r="AE153" i="13" s="1"/>
  <c r="AE155" i="13" s="1"/>
  <c r="K150" i="13"/>
  <c r="AA150" i="13"/>
  <c r="AA151" i="13" s="1"/>
  <c r="AA153" i="13" s="1"/>
  <c r="AA155" i="13" s="1"/>
  <c r="AI150" i="13"/>
  <c r="L168" i="12"/>
  <c r="L170" i="12" s="1"/>
  <c r="V168" i="12"/>
  <c r="V170" i="12" s="1"/>
  <c r="AA168" i="12"/>
  <c r="AA170" i="12" s="1"/>
  <c r="AF168" i="12"/>
  <c r="AF170" i="12" s="1"/>
  <c r="Q168" i="12"/>
  <c r="Q170" i="12" s="1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C177" i="10"/>
  <c r="G8" i="10"/>
  <c r="G9" i="10"/>
  <c r="G7" i="10"/>
  <c r="G6" i="10"/>
  <c r="G5" i="10"/>
  <c r="G4" i="10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4" i="9"/>
  <c r="C61" i="9"/>
  <c r="B59" i="1"/>
  <c r="AI151" i="13" l="1"/>
  <c r="AI153" i="13" s="1"/>
  <c r="AI155" i="13" s="1"/>
  <c r="K151" i="13"/>
  <c r="K153" i="13" s="1"/>
  <c r="K155" i="13" s="1"/>
  <c r="G166" i="12"/>
  <c r="G168" i="12" s="1"/>
  <c r="G177" i="10"/>
  <c r="C171" i="12"/>
  <c r="S145" i="13"/>
  <c r="S140" i="13"/>
  <c r="S121" i="13"/>
  <c r="S97" i="13"/>
  <c r="S78" i="13"/>
  <c r="S61" i="13"/>
  <c r="S51" i="13"/>
  <c r="S46" i="13"/>
  <c r="S36" i="13"/>
  <c r="S25" i="13"/>
  <c r="S18" i="13"/>
  <c r="I61" i="9"/>
  <c r="I62" i="9" s="1"/>
  <c r="I64" i="9" s="1"/>
  <c r="I66" i="9" s="1"/>
  <c r="B67" i="5"/>
  <c r="B66" i="5"/>
  <c r="B65" i="5"/>
  <c r="B64" i="5"/>
  <c r="B63" i="5"/>
  <c r="H60" i="5"/>
  <c r="G178" i="10" l="1"/>
  <c r="G180" i="10" s="1"/>
  <c r="G182" i="10" s="1"/>
  <c r="O150" i="13"/>
  <c r="E59" i="1"/>
  <c r="C59" i="1"/>
  <c r="D51" i="1"/>
  <c r="F136" i="4"/>
  <c r="H136" i="4" s="1"/>
  <c r="F135" i="4"/>
  <c r="H135" i="4" s="1"/>
  <c r="F134" i="4"/>
  <c r="H134" i="4" s="1"/>
  <c r="F133" i="4"/>
  <c r="H133" i="4" s="1"/>
  <c r="F132" i="4"/>
  <c r="H132" i="4" s="1"/>
  <c r="F131" i="4"/>
  <c r="H131" i="4" s="1"/>
  <c r="F130" i="4"/>
  <c r="H130" i="4" s="1"/>
  <c r="F129" i="4"/>
  <c r="H129" i="4" s="1"/>
  <c r="F128" i="4"/>
  <c r="H128" i="4" s="1"/>
  <c r="F127" i="4"/>
  <c r="F125" i="4"/>
  <c r="H125" i="4" s="1"/>
  <c r="F124" i="4"/>
  <c r="H124" i="4" s="1"/>
  <c r="F123" i="4"/>
  <c r="H123" i="4" s="1"/>
  <c r="F122" i="4"/>
  <c r="H122" i="4" s="1"/>
  <c r="F121" i="4"/>
  <c r="H121" i="4" s="1"/>
  <c r="F120" i="4"/>
  <c r="H120" i="4" s="1"/>
  <c r="F119" i="4"/>
  <c r="H119" i="4" s="1"/>
  <c r="F118" i="4"/>
  <c r="H118" i="4" s="1"/>
  <c r="F117" i="4"/>
  <c r="H117" i="4" s="1"/>
  <c r="F113" i="4"/>
  <c r="H113" i="4" s="1"/>
  <c r="F111" i="4"/>
  <c r="H111" i="4" s="1"/>
  <c r="F110" i="4"/>
  <c r="H110" i="4" s="1"/>
  <c r="F109" i="4"/>
  <c r="H109" i="4" s="1"/>
  <c r="F108" i="4"/>
  <c r="H108" i="4" s="1"/>
  <c r="F107" i="4"/>
  <c r="H107" i="4" s="1"/>
  <c r="F106" i="4"/>
  <c r="H106" i="4" s="1"/>
  <c r="F102" i="4"/>
  <c r="H102" i="4" s="1"/>
  <c r="F85" i="4"/>
  <c r="H85" i="4" s="1"/>
  <c r="F206" i="4"/>
  <c r="F205" i="4"/>
  <c r="F204" i="4"/>
  <c r="F203" i="4"/>
  <c r="F202" i="4"/>
  <c r="F201" i="4"/>
  <c r="F200" i="4"/>
  <c r="F199" i="4"/>
  <c r="F198" i="4"/>
  <c r="F197" i="4"/>
  <c r="F195" i="4"/>
  <c r="F194" i="4"/>
  <c r="F193" i="4"/>
  <c r="F192" i="4"/>
  <c r="F191" i="4"/>
  <c r="F190" i="4"/>
  <c r="F189" i="4"/>
  <c r="F188" i="4"/>
  <c r="F186" i="4"/>
  <c r="F185" i="4"/>
  <c r="F184" i="4"/>
  <c r="F183" i="4"/>
  <c r="F182" i="4"/>
  <c r="F181" i="4"/>
  <c r="F180" i="4"/>
  <c r="F179" i="4"/>
  <c r="F177" i="4"/>
  <c r="F176" i="4"/>
  <c r="F175" i="4"/>
  <c r="F173" i="4"/>
  <c r="F172" i="4"/>
  <c r="F171" i="4"/>
  <c r="F170" i="4"/>
  <c r="F169" i="4"/>
  <c r="F168" i="4"/>
  <c r="F167" i="4"/>
  <c r="F164" i="4"/>
  <c r="F163" i="4"/>
  <c r="F162" i="4"/>
  <c r="F161" i="4"/>
  <c r="F160" i="4"/>
  <c r="F158" i="4"/>
  <c r="F157" i="4"/>
  <c r="F156" i="4"/>
  <c r="F151" i="4"/>
  <c r="F150" i="4"/>
  <c r="F149" i="4"/>
  <c r="F144" i="4"/>
  <c r="H144" i="4" s="1"/>
  <c r="F143" i="4"/>
  <c r="F142" i="4"/>
  <c r="H142" i="4" s="1"/>
  <c r="F141" i="4"/>
  <c r="H141" i="4" s="1"/>
  <c r="F140" i="4"/>
  <c r="H140" i="4" s="1"/>
  <c r="F116" i="4"/>
  <c r="F114" i="4"/>
  <c r="H114" i="4" s="1"/>
  <c r="F112" i="4"/>
  <c r="H112" i="4" s="1"/>
  <c r="F105" i="4"/>
  <c r="F103" i="4"/>
  <c r="H103" i="4" s="1"/>
  <c r="F101" i="4"/>
  <c r="H101" i="4" s="1"/>
  <c r="F100" i="4"/>
  <c r="H100" i="4" s="1"/>
  <c r="F99" i="4"/>
  <c r="F98" i="4"/>
  <c r="F97" i="4"/>
  <c r="H97" i="4" s="1"/>
  <c r="F96" i="4"/>
  <c r="H96" i="4" s="1"/>
  <c r="F95" i="4"/>
  <c r="H95" i="4" s="1"/>
  <c r="F94" i="4"/>
  <c r="H94" i="4" s="1"/>
  <c r="F92" i="4"/>
  <c r="H92" i="4" s="1"/>
  <c r="F91" i="4"/>
  <c r="H91" i="4" s="1"/>
  <c r="F90" i="4"/>
  <c r="H90" i="4" s="1"/>
  <c r="F89" i="4"/>
  <c r="H89" i="4" s="1"/>
  <c r="F88" i="4"/>
  <c r="H88" i="4" s="1"/>
  <c r="F87" i="4"/>
  <c r="H87" i="4" s="1"/>
  <c r="F86" i="4"/>
  <c r="H86" i="4" s="1"/>
  <c r="F84" i="4"/>
  <c r="H84" i="4" s="1"/>
  <c r="F83" i="4"/>
  <c r="F75" i="4"/>
  <c r="H75" i="4" s="1"/>
  <c r="F74" i="4"/>
  <c r="H74" i="4" s="1"/>
  <c r="F73" i="4"/>
  <c r="H73" i="4" s="1"/>
  <c r="F72" i="4"/>
  <c r="H72" i="4" s="1"/>
  <c r="F71" i="4"/>
  <c r="H71" i="4" s="1"/>
  <c r="F70" i="4"/>
  <c r="H70" i="4" s="1"/>
  <c r="F69" i="4"/>
  <c r="H69" i="4" s="1"/>
  <c r="F68" i="4"/>
  <c r="H68" i="4" s="1"/>
  <c r="F67" i="4"/>
  <c r="H67" i="4" s="1"/>
  <c r="F66" i="4"/>
  <c r="H66" i="4" s="1"/>
  <c r="F65" i="4"/>
  <c r="H65" i="4" s="1"/>
  <c r="F64" i="4"/>
  <c r="H64" i="4" s="1"/>
  <c r="F63" i="4"/>
  <c r="F62" i="4"/>
  <c r="H62" i="4" s="1"/>
  <c r="F61" i="4"/>
  <c r="H61" i="4" s="1"/>
  <c r="F60" i="4"/>
  <c r="H60" i="4" s="1"/>
  <c r="F59" i="4"/>
  <c r="H59" i="4" s="1"/>
  <c r="F54" i="4"/>
  <c r="H54" i="4" s="1"/>
  <c r="F53" i="4"/>
  <c r="H53" i="4" s="1"/>
  <c r="F52" i="4"/>
  <c r="F51" i="4"/>
  <c r="H51" i="4" s="1"/>
  <c r="F50" i="4"/>
  <c r="H50" i="4" s="1"/>
  <c r="F49" i="4"/>
  <c r="H49" i="4" s="1"/>
  <c r="F48" i="4"/>
  <c r="H48" i="4" s="1"/>
  <c r="F44" i="4"/>
  <c r="H44" i="4" s="1"/>
  <c r="F43" i="4"/>
  <c r="H43" i="4" s="1"/>
  <c r="F42" i="4"/>
  <c r="H42" i="4" s="1"/>
  <c r="F41" i="4"/>
  <c r="H41" i="4" s="1"/>
  <c r="F40" i="4"/>
  <c r="H40" i="4" s="1"/>
  <c r="F39" i="4"/>
  <c r="H39" i="4" s="1"/>
  <c r="F38" i="4"/>
  <c r="H38" i="4" s="1"/>
  <c r="F37" i="4"/>
  <c r="F35" i="4"/>
  <c r="H35" i="4" s="1"/>
  <c r="F34" i="4"/>
  <c r="H34" i="4" s="1"/>
  <c r="F33" i="4"/>
  <c r="H33" i="4" s="1"/>
  <c r="F32" i="4"/>
  <c r="H32" i="4" s="1"/>
  <c r="F31" i="4"/>
  <c r="H31" i="4" s="1"/>
  <c r="F30" i="4"/>
  <c r="H30" i="4" s="1"/>
  <c r="F29" i="4"/>
  <c r="H29" i="4" s="1"/>
  <c r="F28" i="4"/>
  <c r="F26" i="4"/>
  <c r="H26" i="4" s="1"/>
  <c r="F25" i="4"/>
  <c r="H25" i="4" s="1"/>
  <c r="F24" i="4"/>
  <c r="H24" i="4" s="1"/>
  <c r="F23" i="4"/>
  <c r="H23" i="4" s="1"/>
  <c r="F22" i="4"/>
  <c r="H22" i="4" s="1"/>
  <c r="F21" i="4"/>
  <c r="F20" i="4"/>
  <c r="H20" i="4" s="1"/>
  <c r="F19" i="4"/>
  <c r="H19" i="4" s="1"/>
  <c r="F18" i="4"/>
  <c r="F17" i="4"/>
  <c r="H17" i="4" s="1"/>
  <c r="F16" i="4"/>
  <c r="H16" i="4" s="1"/>
  <c r="F15" i="4"/>
  <c r="H15" i="4" s="1"/>
  <c r="F14" i="4"/>
  <c r="F12" i="4"/>
  <c r="H12" i="4" s="1"/>
  <c r="F11" i="4"/>
  <c r="H11" i="4" s="1"/>
  <c r="F10" i="4"/>
  <c r="H10" i="4" s="1"/>
  <c r="F9" i="4"/>
  <c r="H4" i="4" l="1"/>
  <c r="H99" i="4"/>
  <c r="F145" i="4"/>
  <c r="H126" i="4"/>
  <c r="H93" i="4"/>
  <c r="H115" i="4"/>
  <c r="H14" i="4"/>
  <c r="H13" i="4"/>
  <c r="H28" i="4"/>
  <c r="H27" i="4"/>
  <c r="H37" i="4"/>
  <c r="H36" i="4"/>
  <c r="H81" i="4"/>
  <c r="H82" i="4"/>
  <c r="H80" i="4"/>
  <c r="H79" i="4"/>
  <c r="H104" i="4"/>
  <c r="H52" i="4"/>
  <c r="H45" i="4"/>
  <c r="H57" i="4"/>
  <c r="H58" i="4"/>
  <c r="H21" i="4"/>
  <c r="H18" i="4"/>
  <c r="H9" i="4"/>
  <c r="H83" i="4"/>
  <c r="H127" i="4"/>
  <c r="H116" i="4"/>
  <c r="H105" i="4"/>
  <c r="H143" i="4"/>
  <c r="H98" i="4"/>
  <c r="O151" i="13"/>
  <c r="O153" i="13" s="1"/>
  <c r="O155" i="13" s="1"/>
  <c r="H63" i="4"/>
  <c r="S5" i="13"/>
  <c r="C60" i="1"/>
  <c r="C62" i="1" s="1"/>
  <c r="F152" i="4"/>
  <c r="F207" i="4" s="1"/>
  <c r="B49" i="1" s="1"/>
  <c r="D76" i="1" s="1"/>
  <c r="J63" i="5" s="1"/>
  <c r="F76" i="4"/>
  <c r="F55" i="4"/>
  <c r="H76" i="4" l="1"/>
  <c r="F78" i="4"/>
  <c r="D78" i="1" s="1"/>
  <c r="H139" i="4"/>
  <c r="H138" i="4"/>
  <c r="H55" i="4"/>
  <c r="H47" i="4"/>
  <c r="H3" i="4"/>
  <c r="C64" i="1"/>
  <c r="H145" i="4"/>
  <c r="S150" i="13"/>
  <c r="S151" i="13" s="1"/>
  <c r="S153" i="13" s="1"/>
  <c r="S155" i="13" s="1"/>
  <c r="C156" i="13" s="1"/>
  <c r="J65" i="5" l="1"/>
  <c r="H78" i="4"/>
  <c r="D62" i="1"/>
  <c r="C63" i="1" s="1"/>
  <c r="D53" i="1"/>
  <c r="D52" i="1"/>
  <c r="F53" i="1" l="1"/>
  <c r="D54" i="1" s="1"/>
  <c r="D56" i="1" s="1"/>
  <c r="C65" i="1" s="1"/>
  <c r="D77" i="1" s="1"/>
  <c r="J64" i="5" s="1"/>
  <c r="C66" i="1" l="1"/>
  <c r="B72" i="1" s="1"/>
  <c r="B70" i="1" l="1"/>
  <c r="B71" i="1"/>
  <c r="B69" i="1"/>
  <c r="B68" i="1"/>
  <c r="AD22" i="1"/>
  <c r="AD23" i="1" s="1"/>
  <c r="AD24" i="1" s="1"/>
  <c r="AB22" i="1"/>
  <c r="AB23" i="1" s="1"/>
  <c r="AB24" i="1" s="1"/>
  <c r="Z22" i="1"/>
  <c r="Z23" i="1" s="1"/>
  <c r="Z24" i="1" s="1"/>
  <c r="X22" i="1"/>
  <c r="X23" i="1" s="1"/>
  <c r="X24" i="1" s="1"/>
  <c r="V22" i="1"/>
  <c r="V23" i="1" s="1"/>
  <c r="V24" i="1" s="1"/>
  <c r="T22" i="1"/>
  <c r="R22" i="1"/>
  <c r="R23" i="1" s="1"/>
  <c r="R24" i="1" s="1"/>
  <c r="P22" i="1"/>
  <c r="P23" i="1" s="1"/>
  <c r="P24" i="1" s="1"/>
  <c r="N22" i="1"/>
  <c r="N23" i="1" s="1"/>
  <c r="N24" i="1" s="1"/>
  <c r="L22" i="1"/>
  <c r="L23" i="1" s="1"/>
  <c r="L24" i="1" s="1"/>
  <c r="J22" i="1"/>
  <c r="J23" i="1" s="1"/>
  <c r="J24" i="1" s="1"/>
  <c r="H22" i="1"/>
  <c r="H23" i="1" s="1"/>
  <c r="H24" i="1" s="1"/>
  <c r="F22" i="1"/>
  <c r="F23" i="1" s="1"/>
  <c r="F24" i="1" s="1"/>
  <c r="T23" i="1"/>
  <c r="T24" i="1" s="1"/>
  <c r="AE20" i="2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AE38" i="2" s="1"/>
  <c r="AE39" i="2" s="1"/>
  <c r="AE40" i="2" s="1"/>
  <c r="AE41" i="2" s="1"/>
  <c r="AE42" i="2" s="1"/>
  <c r="AE43" i="2" s="1"/>
  <c r="AE44" i="2" s="1"/>
  <c r="AE45" i="2" s="1"/>
  <c r="AC20" i="2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AC38" i="2" s="1"/>
  <c r="AC39" i="2" s="1"/>
  <c r="AC40" i="2" s="1"/>
  <c r="AC41" i="2" s="1"/>
  <c r="AC42" i="2" s="1"/>
  <c r="AC43" i="2" s="1"/>
  <c r="AC44" i="2" s="1"/>
  <c r="AC45" i="2" s="1"/>
  <c r="AA20" i="2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 s="1"/>
  <c r="AA41" i="2" s="1"/>
  <c r="AA42" i="2" s="1"/>
  <c r="AA43" i="2" s="1"/>
  <c r="AA44" i="2" s="1"/>
  <c r="AA45" i="2" s="1"/>
  <c r="Y20" i="2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W20" i="2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U20" i="2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S20" i="2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Q20" i="2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O20" i="2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M20" i="2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K20" i="2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I20" i="2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G20" i="2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E20" i="2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AD48" i="1" l="1"/>
  <c r="B73" i="1"/>
  <c r="D79" i="1" s="1"/>
  <c r="AB25" i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X25" i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R25" i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AD25" i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J25" i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Z25" i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N25" i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P25" i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F25" i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T25" i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H25" i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L25" i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V25" i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D23" i="1"/>
  <c r="D24" i="1" s="1"/>
  <c r="I39" i="2"/>
  <c r="I40" i="2" s="1"/>
  <c r="V48" i="1" l="1"/>
  <c r="T48" i="1"/>
  <c r="X48" i="1"/>
  <c r="N48" i="1"/>
  <c r="Z48" i="1"/>
  <c r="P48" i="1"/>
  <c r="AB48" i="1"/>
  <c r="R48" i="1"/>
  <c r="H48" i="1"/>
  <c r="L48" i="1"/>
  <c r="J48" i="1"/>
  <c r="F48" i="1"/>
  <c r="J66" i="5"/>
  <c r="D25" i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I41" i="2"/>
  <c r="I42" i="2" s="1"/>
  <c r="I43" i="2" s="1"/>
  <c r="I44" i="2" s="1"/>
  <c r="I45" i="2" s="1"/>
  <c r="D48" i="1" l="1"/>
  <c r="B17" i="1" l="1"/>
  <c r="Q18" i="1"/>
  <c r="B19" i="1" l="1"/>
  <c r="D80" i="1" s="1"/>
  <c r="D81" i="1" s="1"/>
  <c r="D17" i="1"/>
  <c r="J67" i="5" l="1"/>
  <c r="J68" i="5" s="1"/>
  <c r="J69" i="5" l="1"/>
  <c r="F69" i="5"/>
  <c r="I70" i="5" s="1"/>
</calcChain>
</file>

<file path=xl/sharedStrings.xml><?xml version="1.0" encoding="utf-8"?>
<sst xmlns="http://schemas.openxmlformats.org/spreadsheetml/2006/main" count="1352" uniqueCount="700">
  <si>
    <t>Property location</t>
  </si>
  <si>
    <t>City</t>
  </si>
  <si>
    <t>No</t>
  </si>
  <si>
    <t>Sub city</t>
  </si>
  <si>
    <t>Worda/Kebele</t>
  </si>
  <si>
    <t>Plot Area</t>
  </si>
  <si>
    <t>Plot Grade</t>
  </si>
  <si>
    <t>Plot grade</t>
  </si>
  <si>
    <t>1-1b</t>
  </si>
  <si>
    <t>1-1a</t>
  </si>
  <si>
    <t>1-1</t>
  </si>
  <si>
    <t>1-2</t>
  </si>
  <si>
    <t>2-1</t>
  </si>
  <si>
    <t>1-3</t>
  </si>
  <si>
    <t>2-2</t>
  </si>
  <si>
    <t>3-1</t>
  </si>
  <si>
    <t>2-3</t>
  </si>
  <si>
    <t>3-2</t>
  </si>
  <si>
    <t>4-1</t>
  </si>
  <si>
    <t>3-3</t>
  </si>
  <si>
    <t>4-2</t>
  </si>
  <si>
    <t>4-3</t>
  </si>
  <si>
    <t>4-4</t>
  </si>
  <si>
    <t>Kebele</t>
  </si>
  <si>
    <t>2001-2500</t>
  </si>
  <si>
    <t>2501-10000</t>
  </si>
  <si>
    <t>10001-20000</t>
  </si>
  <si>
    <t>20001-40000</t>
  </si>
  <si>
    <t>40001-70000</t>
  </si>
  <si>
    <t>Birr</t>
  </si>
  <si>
    <t>External sanitary work</t>
  </si>
  <si>
    <t>For A =</t>
  </si>
  <si>
    <t>Water Supply &amp; Drain Line</t>
  </si>
  <si>
    <t>=</t>
  </si>
  <si>
    <t>Septic tank</t>
  </si>
  <si>
    <t>Intake line &amp; man holes</t>
  </si>
  <si>
    <t>Capacity Factor =</t>
  </si>
  <si>
    <t>Total External sanitary work</t>
  </si>
  <si>
    <t>Compound lighting</t>
  </si>
  <si>
    <t>External Electric work</t>
  </si>
  <si>
    <t>Water Tank &amp; stand</t>
  </si>
  <si>
    <t xml:space="preserve">External Electric and sanitary work </t>
  </si>
  <si>
    <t>Consultancy fee</t>
  </si>
  <si>
    <t xml:space="preserve">Project Cost </t>
  </si>
  <si>
    <t>Including Design  &amp; Supervision</t>
  </si>
  <si>
    <t>Architectural</t>
  </si>
  <si>
    <t>Structural</t>
  </si>
  <si>
    <t>Electrical</t>
  </si>
  <si>
    <t>Sanitary</t>
  </si>
  <si>
    <t>Building Cost</t>
  </si>
  <si>
    <t>Internal Structure</t>
  </si>
  <si>
    <t>External Elecrical &amp; Sanitary Works</t>
  </si>
  <si>
    <t>Fence &amp; compound =</t>
  </si>
  <si>
    <t>Consultancy Service</t>
  </si>
  <si>
    <t>Location Value</t>
  </si>
  <si>
    <t>Total Estimate =</t>
  </si>
  <si>
    <t>0-100</t>
  </si>
  <si>
    <t>101-200</t>
  </si>
  <si>
    <t>201-300</t>
  </si>
  <si>
    <t>301-400</t>
  </si>
  <si>
    <t>401-500</t>
  </si>
  <si>
    <t>501-600</t>
  </si>
  <si>
    <t>601-700</t>
  </si>
  <si>
    <t>701-800</t>
  </si>
  <si>
    <t>801-900</t>
  </si>
  <si>
    <t>901-1000</t>
  </si>
  <si>
    <t>1001-1100</t>
  </si>
  <si>
    <t>1101-1200</t>
  </si>
  <si>
    <t>1201-1300</t>
  </si>
  <si>
    <t>1301-1400</t>
  </si>
  <si>
    <t>1401-1500</t>
  </si>
  <si>
    <t>1501-1600</t>
  </si>
  <si>
    <t>1601-1700</t>
  </si>
  <si>
    <t>1701-1800</t>
  </si>
  <si>
    <t>1801-1900</t>
  </si>
  <si>
    <t>1901-2000</t>
  </si>
  <si>
    <t>&gt;70000</t>
  </si>
  <si>
    <t>Specification and Bill of quantity</t>
  </si>
  <si>
    <t>Internal structure</t>
  </si>
  <si>
    <t>Fence Work</t>
  </si>
  <si>
    <t>Item</t>
  </si>
  <si>
    <t>Description</t>
  </si>
  <si>
    <t>Unit</t>
  </si>
  <si>
    <t>Quantity</t>
  </si>
  <si>
    <t>New Rate</t>
  </si>
  <si>
    <t>Amount</t>
  </si>
  <si>
    <t>Stone masonry fence, semi-dressed</t>
  </si>
  <si>
    <t>Left for finishing</t>
  </si>
  <si>
    <r>
      <t>m</t>
    </r>
    <r>
      <rPr>
        <vertAlign val="superscript"/>
        <sz val="10"/>
        <rFont val="Cambria"/>
        <family val="1"/>
      </rPr>
      <t>3</t>
    </r>
  </si>
  <si>
    <t>One side pointed</t>
  </si>
  <si>
    <t>Two sides pointed</t>
  </si>
  <si>
    <t>One sides plastered</t>
  </si>
  <si>
    <t>Two side plastered</t>
  </si>
  <si>
    <t>One side rendered</t>
  </si>
  <si>
    <t>Two sides rendered</t>
  </si>
  <si>
    <t>Painting (add to the above fence work if there is any)</t>
  </si>
  <si>
    <r>
      <t>m</t>
    </r>
    <r>
      <rPr>
        <vertAlign val="superscript"/>
        <sz val="10"/>
        <rFont val="Cambria"/>
        <family val="1"/>
      </rPr>
      <t>2</t>
    </r>
  </si>
  <si>
    <t xml:space="preserve">Foundation (Add on the above fence work) </t>
  </si>
  <si>
    <t>ml</t>
  </si>
  <si>
    <t>Stone masonry fence well dressed</t>
  </si>
  <si>
    <t>One side pointed (Dressed Stone Pointed)</t>
  </si>
  <si>
    <t>HCB fence</t>
  </si>
  <si>
    <t>One side plastered</t>
  </si>
  <si>
    <t>Painting (Add the unit price on the above finishing if there are any)</t>
  </si>
  <si>
    <t>Brick fence (25cm thick)</t>
  </si>
  <si>
    <t>Two sides plastered</t>
  </si>
  <si>
    <t>Brick fence (12cm)</t>
  </si>
  <si>
    <t>Painting (add to the above fence work)</t>
  </si>
  <si>
    <t>Hydra foam Fence (12cm)</t>
  </si>
  <si>
    <t>Hydra foam Fence (14cm)</t>
  </si>
  <si>
    <t>Metal grill</t>
  </si>
  <si>
    <t>RHS metal grill fence</t>
  </si>
  <si>
    <t>Main gate with metal sheet</t>
  </si>
  <si>
    <t>Main gate with RHS grill structure</t>
  </si>
  <si>
    <t>Decorated gates with RHS grill structure and metal sheet</t>
  </si>
  <si>
    <t>Securty Wire</t>
  </si>
  <si>
    <t>Total Fence Work</t>
  </si>
  <si>
    <t>Compound Work</t>
  </si>
  <si>
    <t>Rate</t>
  </si>
  <si>
    <t>7cm-thick red ash pavement</t>
  </si>
  <si>
    <t>5cm-thick gravel pavement</t>
  </si>
  <si>
    <t>Roughly dressed stone pavement</t>
  </si>
  <si>
    <t xml:space="preserve">Asphalt </t>
  </si>
  <si>
    <t>10cm thick C-15 concrete pavement</t>
  </si>
  <si>
    <t>Ditto but RC pavement</t>
  </si>
  <si>
    <t>Checkered tile with 15cm thick RC slab</t>
  </si>
  <si>
    <t>Checkered tile with mass concrete</t>
  </si>
  <si>
    <t>Best Quality marble chips with RC concrete</t>
  </si>
  <si>
    <t>Harar marble chips with RC concrete</t>
  </si>
  <si>
    <t>Terrazzo tile with RC concrete</t>
  </si>
  <si>
    <t>Ditto but with mass concrete</t>
  </si>
  <si>
    <t>Ceramic tile with RC concrete</t>
  </si>
  <si>
    <t>Ditto but with mass concrete.</t>
  </si>
  <si>
    <t>Cement tile with RC concrete</t>
  </si>
  <si>
    <t>Concrete Curb Stone</t>
  </si>
  <si>
    <t>Total Compound Work</t>
  </si>
  <si>
    <t>Total Fence &amp; Compound Work</t>
  </si>
  <si>
    <t xml:space="preserve"> WATER TANKS AND SUPPORTS</t>
  </si>
  <si>
    <t>1.0 Water tanks</t>
  </si>
  <si>
    <t>1.1 Plastic Water Tanks</t>
  </si>
  <si>
    <t>Item No.</t>
  </si>
  <si>
    <t>Capacity ( litters)</t>
  </si>
  <si>
    <t>unit</t>
  </si>
  <si>
    <t>pcs</t>
  </si>
  <si>
    <t>1.2 Fiberglass Water Tanks</t>
  </si>
  <si>
    <t>1.4 Aluminum Water Tanks</t>
  </si>
  <si>
    <t>2. Water Tank Supports</t>
  </si>
  <si>
    <t>Steel supports of water tanks</t>
  </si>
  <si>
    <t>for 1m3 tank</t>
  </si>
  <si>
    <t>for 2m3 tank</t>
  </si>
  <si>
    <t>for 3m3 tank</t>
  </si>
  <si>
    <t xml:space="preserve"> for 4m3 tank.</t>
  </si>
  <si>
    <t xml:space="preserve">Concrete water tank support of 1m3 tanker </t>
  </si>
  <si>
    <t xml:space="preserve"> Cost  of Steam bath, sauna and Jacuzzi</t>
  </si>
  <si>
    <t>Fixture Type</t>
  </si>
  <si>
    <t>Jacuzzi STANDARD</t>
  </si>
  <si>
    <t>Steam&amp; Jaccuzzi together</t>
  </si>
  <si>
    <t>Total steam bath, sauna and jacuzzi</t>
  </si>
  <si>
    <t>Internal Structures</t>
  </si>
  <si>
    <t>Shear wall or similar structures</t>
  </si>
  <si>
    <r>
      <t>m</t>
    </r>
    <r>
      <rPr>
        <vertAlign val="superscript"/>
        <sz val="12"/>
        <rFont val="Cambria"/>
        <family val="1"/>
      </rPr>
      <t>2</t>
    </r>
  </si>
  <si>
    <t>Internal masonry foundation</t>
  </si>
  <si>
    <t>Footing foundation</t>
  </si>
  <si>
    <t>Suspended slab(multi-purpose hall)</t>
  </si>
  <si>
    <t>Suspended beam &amp; column</t>
  </si>
  <si>
    <t xml:space="preserve"> suspended RC parking &amp; ramp</t>
  </si>
  <si>
    <t>Elevator-1</t>
  </si>
  <si>
    <t>Elevator-2</t>
  </si>
  <si>
    <t>Elevator-3</t>
  </si>
  <si>
    <t>Stone masonry wall, semi-dressed</t>
  </si>
  <si>
    <r>
      <t>m</t>
    </r>
    <r>
      <rPr>
        <vertAlign val="superscript"/>
        <sz val="12"/>
        <rFont val="Cambria"/>
        <family val="1"/>
      </rPr>
      <t>3</t>
    </r>
  </si>
  <si>
    <t>Stone masonry wall well dressed</t>
  </si>
  <si>
    <t>HCB wall</t>
  </si>
  <si>
    <t>Painting (Add this unit price to the above finishing if there are any)</t>
  </si>
  <si>
    <t>Brick wall (25cm thick)</t>
  </si>
  <si>
    <t>Brick wall (12cm)</t>
  </si>
  <si>
    <t>CIS wall</t>
  </si>
  <si>
    <t>Total Steam bath… &amp; InternalStructures cost</t>
  </si>
  <si>
    <t xml:space="preserve">One side pointed </t>
  </si>
  <si>
    <t>1.3 Metal Water Tanks</t>
  </si>
  <si>
    <t>1.5 Stainless steel water tank</t>
  </si>
  <si>
    <t>% X</t>
  </si>
  <si>
    <t>m3</t>
  </si>
  <si>
    <t>Floor area (M2)</t>
  </si>
  <si>
    <t>Total Percentage</t>
  </si>
  <si>
    <t>Location value</t>
  </si>
  <si>
    <t>Capacity =</t>
  </si>
  <si>
    <t>y=3064X+23793 =&gt;</t>
  </si>
  <si>
    <t>Total Consultancy Fee</t>
  </si>
  <si>
    <t xml:space="preserve">Total lease amount </t>
  </si>
  <si>
    <t xml:space="preserve">Paid up Lease amount </t>
  </si>
  <si>
    <t xml:space="preserve">Remaining lease amount </t>
  </si>
  <si>
    <t xml:space="preserve">Location Value  </t>
  </si>
  <si>
    <t>Location value in previous Estimation</t>
  </si>
  <si>
    <t xml:space="preserve">Location value Considered </t>
  </si>
  <si>
    <t>Date</t>
  </si>
  <si>
    <t xml:space="preserve">Applicant's Name </t>
  </si>
  <si>
    <t>Address: Town</t>
  </si>
  <si>
    <t xml:space="preserve">Wereda </t>
  </si>
  <si>
    <t>_____________</t>
  </si>
  <si>
    <t xml:space="preserve"> House No.  _____________</t>
  </si>
  <si>
    <t>P.O.Box ____________________     Tel. No. ___________________</t>
  </si>
  <si>
    <r>
      <t xml:space="preserve">Property of  </t>
    </r>
    <r>
      <rPr>
        <sz val="12"/>
        <color theme="1"/>
        <rFont val="Bookman Old Style"/>
        <family val="1"/>
      </rPr>
      <t/>
    </r>
  </si>
  <si>
    <t xml:space="preserve">Ownership C/No. </t>
  </si>
  <si>
    <t xml:space="preserve">Location: Town </t>
  </si>
  <si>
    <t>S/City</t>
  </si>
  <si>
    <t>House No.</t>
  </si>
  <si>
    <t xml:space="preserve">Area of Compound </t>
  </si>
  <si>
    <t xml:space="preserve">Sq. m.   </t>
  </si>
  <si>
    <t xml:space="preserve">Paved in </t>
  </si>
  <si>
    <t>Asphalt</t>
  </si>
  <si>
    <t xml:space="preserve">Land Mark </t>
  </si>
  <si>
    <t>Gravel</t>
  </si>
  <si>
    <t>Distance from the main road______</t>
  </si>
  <si>
    <t>Cobble</t>
  </si>
  <si>
    <t>House No. _______________ Tel. No. ___________________</t>
  </si>
  <si>
    <t>ANALYSIS OF NEIGHBORHOOD</t>
  </si>
  <si>
    <t>a) General Use</t>
  </si>
  <si>
    <t xml:space="preserve">  Industrial  </t>
  </si>
  <si>
    <t xml:space="preserve">Residential            </t>
  </si>
  <si>
    <t xml:space="preserve"> Others</t>
  </si>
  <si>
    <t>b) Marketability</t>
  </si>
  <si>
    <t>c) Standard of Housing</t>
  </si>
  <si>
    <t>d) Development State</t>
  </si>
  <si>
    <t>e) Future Tendency</t>
  </si>
  <si>
    <t>f) Transportation facilities</t>
  </si>
  <si>
    <t>g) Utilities</t>
  </si>
  <si>
    <t>a)</t>
  </si>
  <si>
    <t>Length</t>
  </si>
  <si>
    <t xml:space="preserve">Mts. X Breadth                      </t>
  </si>
  <si>
    <t>b)</t>
  </si>
  <si>
    <t>c)</t>
  </si>
  <si>
    <t>d)</t>
  </si>
  <si>
    <t>f)</t>
  </si>
  <si>
    <t>g)</t>
  </si>
  <si>
    <t>State of house (i.e new, moderate, old etc)</t>
  </si>
  <si>
    <t>PRESENT USE OF BUILDING</t>
  </si>
  <si>
    <t>Title deed no.</t>
  </si>
  <si>
    <t xml:space="preserve">a) </t>
  </si>
  <si>
    <t>Building</t>
  </si>
  <si>
    <t xml:space="preserve">b) </t>
  </si>
  <si>
    <t xml:space="preserve">c) </t>
  </si>
  <si>
    <t xml:space="preserve">e) </t>
  </si>
  <si>
    <t>f</t>
  </si>
  <si>
    <t xml:space="preserve">Total Birr </t>
  </si>
  <si>
    <t>to Birr</t>
  </si>
  <si>
    <t>In case of forclosure, what would be the forced value?</t>
  </si>
  <si>
    <t xml:space="preserve">Is there any thatched roof on site? </t>
  </si>
  <si>
    <t xml:space="preserve">is the property of the area as a whole reserved for any </t>
  </si>
  <si>
    <t>purpose or for the amelioration of the proposal new town plan project?</t>
  </si>
  <si>
    <t>Yes</t>
  </si>
  <si>
    <t>No document</t>
  </si>
  <si>
    <t>ROUGH SKETCH LOCATION (N.B. Use prominent</t>
  </si>
  <si>
    <t>Date of Inspection</t>
  </si>
  <si>
    <t>Appraiser's Name</t>
  </si>
  <si>
    <t>Appraiser's Signature</t>
  </si>
  <si>
    <t>Branch</t>
  </si>
  <si>
    <t>ZAMZAM BANK S.C</t>
  </si>
  <si>
    <t>ዘምዘም ባንክ አ.ማ</t>
  </si>
  <si>
    <t>NO</t>
  </si>
  <si>
    <r>
      <rPr>
        <b/>
        <sz val="12"/>
        <color theme="1"/>
        <rFont val="Cambria"/>
        <family val="1"/>
        <scheme val="major"/>
      </rPr>
      <t>Property owner adress</t>
    </r>
    <r>
      <rPr>
        <sz val="12"/>
        <color theme="1"/>
        <rFont val="Cambria"/>
        <family val="1"/>
        <scheme val="major"/>
      </rPr>
      <t>: Town ______________ Wereda _________ Kebele _____________________</t>
    </r>
  </si>
  <si>
    <r>
      <rPr>
        <b/>
        <sz val="12"/>
        <color theme="1"/>
        <rFont val="Cambria"/>
        <family val="1"/>
        <scheme val="major"/>
      </rPr>
      <t>DESCRIPTION OF PROPERTY</t>
    </r>
    <r>
      <rPr>
        <sz val="12"/>
        <color theme="1"/>
        <rFont val="Cambria"/>
        <family val="1"/>
        <scheme val="major"/>
      </rPr>
      <t xml:space="preserve"> Construction permit No. </t>
    </r>
  </si>
  <si>
    <r>
      <rPr>
        <b/>
        <sz val="12"/>
        <color theme="1"/>
        <rFont val="Cambria"/>
        <family val="1"/>
        <scheme val="major"/>
      </rPr>
      <t>PRESENT VALUE</t>
    </r>
    <r>
      <rPr>
        <sz val="12"/>
        <color theme="1"/>
        <rFont val="Cambria"/>
        <family val="1"/>
        <scheme val="major"/>
      </rPr>
      <t xml:space="preserve"> (Show separate value for each building)</t>
    </r>
  </si>
  <si>
    <r>
      <rPr>
        <b/>
        <sz val="12"/>
        <color theme="1"/>
        <rFont val="Cambria"/>
        <family val="1"/>
        <scheme val="major"/>
      </rPr>
      <t>Property Sales Value Range</t>
    </r>
    <r>
      <rPr>
        <sz val="12"/>
        <color theme="1"/>
        <rFont val="Cambria"/>
        <family val="1"/>
        <scheme val="major"/>
      </rPr>
      <t xml:space="preserve"> from Birr </t>
    </r>
  </si>
  <si>
    <t>ITEM NO.</t>
  </si>
  <si>
    <t>Building components</t>
  </si>
  <si>
    <t>Factors</t>
  </si>
  <si>
    <t>Foundation</t>
  </si>
  <si>
    <t xml:space="preserve">1.1 Earth Work But no cart away </t>
  </si>
  <si>
    <t>1.2 Earth Work Foundation &amp; cart away</t>
  </si>
  <si>
    <t>1.3 Earth Work Foundation, hardcore, mass concrete, stone masonry</t>
  </si>
  <si>
    <t>1.4 Earth Work Foundation, hardcore, mass concrete, stone masonry BGL &amp; AGL</t>
  </si>
  <si>
    <t>Structure</t>
  </si>
  <si>
    <t>Block Work (Internal)</t>
  </si>
  <si>
    <t>3.1 Chicka</t>
  </si>
  <si>
    <t>3.2 Poor Chika</t>
  </si>
  <si>
    <t>3.3 HCB but no R.C structure and plastering</t>
  </si>
  <si>
    <t>3.4 Stone masonry with cement-chicka mortar mix</t>
  </si>
  <si>
    <t>3.5 CIS Wall</t>
  </si>
  <si>
    <t>Block Work (External)</t>
  </si>
  <si>
    <t>4.1 Chicka</t>
  </si>
  <si>
    <t>4.2 Poor Chika</t>
  </si>
  <si>
    <t>4.3 HCB but no R.C structure and plastering</t>
  </si>
  <si>
    <t>4.4 Stone masonry with cement-chicka mortar mix</t>
  </si>
  <si>
    <t>4.5 CIS Wall</t>
  </si>
  <si>
    <t>Roofing</t>
  </si>
  <si>
    <t>5.1 CIS G-35 on wood</t>
  </si>
  <si>
    <t>5.2 CIS G-32 on wood</t>
  </si>
  <si>
    <t>5.3 CIS G-30  on wood</t>
  </si>
  <si>
    <t>Joinery</t>
  </si>
  <si>
    <t>6.1 Internal wooden door made of Low quality wood</t>
  </si>
  <si>
    <t>6.2 As item No.1 above but made of Poor Quality wood</t>
  </si>
  <si>
    <t>Metal Works</t>
  </si>
  <si>
    <t xml:space="preserve">7.1  LTZ or RHS </t>
  </si>
  <si>
    <t>Floor Finish</t>
  </si>
  <si>
    <t>8.1 Cement Screed</t>
  </si>
  <si>
    <t>8.2 Cement Tile</t>
  </si>
  <si>
    <t>8.3 Terrazzo</t>
  </si>
  <si>
    <t xml:space="preserve">8.4 Poor quality wooden </t>
  </si>
  <si>
    <t>Wall Finish (Internal)</t>
  </si>
  <si>
    <t xml:space="preserve">9.1 Pointed   HCB                              </t>
  </si>
  <si>
    <t>9.2 Painted</t>
  </si>
  <si>
    <t xml:space="preserve">9.3 Plastered </t>
  </si>
  <si>
    <t>9.4 Plastering &amp; Painting</t>
  </si>
  <si>
    <t>Wall Finish (External)</t>
  </si>
  <si>
    <t>10.1 Pointed HCB</t>
  </si>
  <si>
    <t>10.2 Painted</t>
  </si>
  <si>
    <t xml:space="preserve">10.3 Plastered </t>
  </si>
  <si>
    <t xml:space="preserve">10.4 Rendered </t>
  </si>
  <si>
    <t xml:space="preserve">10.5 Rendered &amp; Painted </t>
  </si>
  <si>
    <t xml:space="preserve">10.6 Ambo stone clad over ‘chicka’ wall </t>
  </si>
  <si>
    <t xml:space="preserve">10.7 Brick clad over ‘chicka’ wall </t>
  </si>
  <si>
    <t xml:space="preserve">10.8 Pointed Stone </t>
  </si>
  <si>
    <t>Ceiling Finish</t>
  </si>
  <si>
    <t>11.2 Abujedi not Painted</t>
  </si>
  <si>
    <t>11.3 Painting</t>
  </si>
  <si>
    <t xml:space="preserve">11.1 Hardboard not painted </t>
  </si>
  <si>
    <t xml:space="preserve">11.4 Plywood not painted </t>
  </si>
  <si>
    <t xml:space="preserve">11.5 Chip wood not painted </t>
  </si>
  <si>
    <t xml:space="preserve">Electrical </t>
  </si>
  <si>
    <t>12.1 Class A</t>
  </si>
  <si>
    <t>12.2 Class B</t>
  </si>
  <si>
    <t>12.3 Class C</t>
  </si>
  <si>
    <t>12.4 Class D</t>
  </si>
  <si>
    <t>12.5 Class E</t>
  </si>
  <si>
    <t>Factor sum</t>
  </si>
  <si>
    <t>Depreciation %</t>
  </si>
  <si>
    <t>Plinth Area/ Volumetric Rate (Ra=79.87flv+695.33)</t>
  </si>
  <si>
    <t xml:space="preserve">Plinth Area/ Volumetric </t>
  </si>
  <si>
    <t>Total</t>
  </si>
  <si>
    <t>1.2 Foundation work as Item No.1 above but with mass concrete of higher class (c-20)</t>
  </si>
  <si>
    <t>1.1 Foundation Work in: Earthwortk,Hard-core,Mass concrete floor with C-15,Stone masnory AGL and BGL</t>
  </si>
  <si>
    <t>1.3 Foundation work as Item No.2 above but with R.C. grade beam</t>
  </si>
  <si>
    <t>1.4 Foundation work as Item No.1 above but with R.C. floor slab and R.C grade beam</t>
  </si>
  <si>
    <t>1.4 Foundation work as Item No.4 above but with R.C. foundation column and R.C Footing</t>
  </si>
  <si>
    <t>2.1 Structure for mud and CIS-on- wooden walls</t>
  </si>
  <si>
    <t>2.2 .R.C structure (Elevation colums and tie beam)</t>
  </si>
  <si>
    <t>2.3 As item no.2 above but for R.C roof slab</t>
  </si>
  <si>
    <t xml:space="preserve">Block Work </t>
  </si>
  <si>
    <t>3.1 Internal</t>
  </si>
  <si>
    <t>3.1.1 Chicka</t>
  </si>
  <si>
    <t>3.1.2 CIS G-32</t>
  </si>
  <si>
    <t>3.1.3 CIS G-30</t>
  </si>
  <si>
    <t>3.1.4 CIS G-28</t>
  </si>
  <si>
    <t>3.1.5 HCB 15 cm thick</t>
  </si>
  <si>
    <t>3.1.6 Brick 12cm thick</t>
  </si>
  <si>
    <t>3.1.7 stone 40cm thick</t>
  </si>
  <si>
    <t>3.1.8 Chip wood-double</t>
  </si>
  <si>
    <t>3.1.9 Alumimium</t>
  </si>
  <si>
    <t>3.1.10 HCB 10 cm thick</t>
  </si>
  <si>
    <t>3.1.11 Hard board fixed to zigba frame (one face)</t>
  </si>
  <si>
    <t>3.1.12 Ditto as above but both side coverd</t>
  </si>
  <si>
    <t>3.2 External</t>
  </si>
  <si>
    <t>3.2.1 Chicka</t>
  </si>
  <si>
    <t>3.2.2 CIS G-32</t>
  </si>
  <si>
    <t>3.2.3 CIS G-30</t>
  </si>
  <si>
    <t>3.2.4 CIS G-28</t>
  </si>
  <si>
    <t>3.2.5 EGA on steel</t>
  </si>
  <si>
    <t>3.2.6 HCB 20 cm thick</t>
  </si>
  <si>
    <t>3.2.7 Brick 25cm thick</t>
  </si>
  <si>
    <t>3.2.8 stone 40cm thick</t>
  </si>
  <si>
    <t>3.2.9 stone 50cm thick</t>
  </si>
  <si>
    <t>3.2.10 Alumimium</t>
  </si>
  <si>
    <t>3.2.11 Curtin wall made with special frame &amp; 4mm cored polycarbonate treated against UV rail</t>
  </si>
  <si>
    <t>4.1 CIS G-32 on wood</t>
  </si>
  <si>
    <t>4.2 CIS G-30 on wood</t>
  </si>
  <si>
    <t>4.3 CIS G-28 on wood</t>
  </si>
  <si>
    <t>4.6 CIS G-28 on steel</t>
  </si>
  <si>
    <t>4.7 Cement roof tile</t>
  </si>
  <si>
    <t>4.8 R.C without water-proof material (Accessible)</t>
  </si>
  <si>
    <t>4.9 R.C without water-proof material (in Accessible)</t>
  </si>
  <si>
    <t>4.11 Metal sheet roofing with sand coating on wood (Imported)</t>
  </si>
  <si>
    <t>4.12 Metal sheet roofing with sand coating on wood (local)</t>
  </si>
  <si>
    <t>4.13Metal sheet roofing with sand coating on steel (Imported)</t>
  </si>
  <si>
    <t>4.14 Metal sheet roofing with sand coating on steel (local)</t>
  </si>
  <si>
    <t>4.4 EGA on steel</t>
  </si>
  <si>
    <t xml:space="preserve">4.5 EGA on wood </t>
  </si>
  <si>
    <t>5.1 Internal wooden door made of Low quality wood</t>
  </si>
  <si>
    <t>5.2 As item No.1 above but made of medium Quality wood</t>
  </si>
  <si>
    <t>5.3 As item No.2 above but with built-in cup board</t>
  </si>
  <si>
    <t>5.4 As item No.1 above but made of Quality wood</t>
  </si>
  <si>
    <t>5.5 As item No.4 above but with built-in cup board</t>
  </si>
  <si>
    <t>5.6 As item No.1 above but made of best Quality wood</t>
  </si>
  <si>
    <t>5.7 As item No.6 above but with built-in cup board</t>
  </si>
  <si>
    <t>6.1 LTZ or RHS profile for external openings with clear glass</t>
  </si>
  <si>
    <t>6.2 LTZ with 4mm- frosted glass</t>
  </si>
  <si>
    <t>6.3 Ditto but with 4mm-tinted glass</t>
  </si>
  <si>
    <t>6.4 Ditto but with 6mm-tinted glass</t>
  </si>
  <si>
    <t>6.5 Secco profile for external openings with clear glass</t>
  </si>
  <si>
    <t>6.6 Secco with 4mm-frosted glass</t>
  </si>
  <si>
    <t>6.7 Ditto but with 4mm-tinted glass</t>
  </si>
  <si>
    <t>6.8 Ditto but with 6mm-tinted glass</t>
  </si>
  <si>
    <t>6.9 Imitation with clear glass</t>
  </si>
  <si>
    <t>6.10 Imitation with 4mm frosted glass</t>
  </si>
  <si>
    <t>6.11 Imitation with 4mm tinted glass</t>
  </si>
  <si>
    <t>6.12 Imitation with 6mm tinted glass</t>
  </si>
  <si>
    <t>6.13 Aluminium profile for external opening</t>
  </si>
  <si>
    <t>7.2 Cement Tile</t>
  </si>
  <si>
    <t>7.3 Terrazzo Tile</t>
  </si>
  <si>
    <t>7.4 PVC tile</t>
  </si>
  <si>
    <t>7.5 Ceramic medium quality Porcelain</t>
  </si>
  <si>
    <t>7.1 Cement Screed</t>
  </si>
  <si>
    <t>7.16 Parquet poor quality on wooden frame</t>
  </si>
  <si>
    <t>7.17 Granite</t>
  </si>
  <si>
    <t>7.18 Mosaic</t>
  </si>
  <si>
    <t>Wall Finish</t>
  </si>
  <si>
    <t xml:space="preserve"> 8.1 Internal</t>
  </si>
  <si>
    <t>8.1.8a Imported, high quality ceramic</t>
  </si>
  <si>
    <t>8.1.8b Imported, quality ceramic</t>
  </si>
  <si>
    <t>8.1.8c Imported, medium quality ceramic</t>
  </si>
  <si>
    <t>8.1.8d Lower quality ceramic</t>
  </si>
  <si>
    <t>8.1.9 Pointed and painted HCB</t>
  </si>
  <si>
    <t>8.1.10 Pointed and painted Brick</t>
  </si>
  <si>
    <t>8.1.11 Harar marble</t>
  </si>
  <si>
    <t xml:space="preserve">8.1.12 Mankush marble </t>
  </si>
  <si>
    <t>8.1.13Timber</t>
  </si>
  <si>
    <t>8.1.14 Boka marble wall cladding</t>
  </si>
  <si>
    <t>8.1.1 plasterd</t>
  </si>
  <si>
    <t>8.1.2 Plasterd and painted</t>
  </si>
  <si>
    <t>8.1.3 Pointed HCB</t>
  </si>
  <si>
    <t xml:space="preserve">8.1.4 Pointed dressed stone </t>
  </si>
  <si>
    <t>8.1.5 Pointed brick</t>
  </si>
  <si>
    <t>8.1.6 Plasterd and Addis I wall paper</t>
  </si>
  <si>
    <t>8.1.7 Mosaic</t>
  </si>
  <si>
    <t>8.1.15 Granite</t>
  </si>
  <si>
    <t>8.2 External</t>
  </si>
  <si>
    <t>8.2.1 Plastering</t>
  </si>
  <si>
    <t>8.2.2 Plastering and painting</t>
  </si>
  <si>
    <t>8.2.3 Pointed HCB</t>
  </si>
  <si>
    <t>8.2.4 Pointed stone</t>
  </si>
  <si>
    <t>8.2.5 pointed brick cladding</t>
  </si>
  <si>
    <t>8.2.7 pointed ambo cladding</t>
  </si>
  <si>
    <t>8.2.8 Not pointed ambo cladding</t>
  </si>
  <si>
    <t>8.2.6 Not pointed brick cladding</t>
  </si>
  <si>
    <t>8.2.9 Dressed stone cladding</t>
  </si>
  <si>
    <t>8.2.10 pointing brick</t>
  </si>
  <si>
    <t xml:space="preserve">8.2.11 Rendred </t>
  </si>
  <si>
    <t>8.2.12 Rendred and painted</t>
  </si>
  <si>
    <t>8.2.13 Platered and Addis dicor wall paper</t>
  </si>
  <si>
    <t>8.2.14 Mosaic</t>
  </si>
  <si>
    <t>8.2.15a Best quality ceramic</t>
  </si>
  <si>
    <t>8.2.15b Quality ceramic</t>
  </si>
  <si>
    <t>8.2.15c Medium quality ceramic</t>
  </si>
  <si>
    <t>8.2.15d lower quality ceramic</t>
  </si>
  <si>
    <t>8.2.16 Pointing and painting HCB</t>
  </si>
  <si>
    <t>8.2.17 Pointing and painting Brick</t>
  </si>
  <si>
    <t>8.2.18 Harar marble</t>
  </si>
  <si>
    <t>8.2.20 Timber</t>
  </si>
  <si>
    <t>8.2.19 Mankush marble</t>
  </si>
  <si>
    <t>8.2.21 Granite</t>
  </si>
  <si>
    <t>8.2.22 Boka multi-color</t>
  </si>
  <si>
    <t>8.2.23 Quartize paint</t>
  </si>
  <si>
    <t>8.2.24Mineral paint</t>
  </si>
  <si>
    <t>8.2.25 Granite paint</t>
  </si>
  <si>
    <t xml:space="preserve">9.1 Adujedid painted </t>
  </si>
  <si>
    <t xml:space="preserve">9.2 Hard board paited </t>
  </si>
  <si>
    <t xml:space="preserve">9.3 Adujedid not painted </t>
  </si>
  <si>
    <t xml:space="preserve">9.4 Hard board not paited </t>
  </si>
  <si>
    <t>9.5 Chip wood not painted</t>
  </si>
  <si>
    <t>9.6 Chip wood painted</t>
  </si>
  <si>
    <t>9.7 Chip wood and addis décor</t>
  </si>
  <si>
    <t>9.8 Plastic panel</t>
  </si>
  <si>
    <t>9.9 Normal acoustic</t>
  </si>
  <si>
    <t>9.10 best acostic</t>
  </si>
  <si>
    <t>9.11 Aluminium</t>
  </si>
  <si>
    <t>9.12 Best quality parquet</t>
  </si>
  <si>
    <t>9.13 Medium quality parquet</t>
  </si>
  <si>
    <t>9.14 Gypsum board ceiling</t>
  </si>
  <si>
    <t>9.15 Platered</t>
  </si>
  <si>
    <t>9.16 Plasterd and Addis décor ceiling paper</t>
  </si>
  <si>
    <t>9.17 Plastred and painted</t>
  </si>
  <si>
    <t xml:space="preserve">9.18 Playwood </t>
  </si>
  <si>
    <t>9.19 Painted Playwood</t>
  </si>
  <si>
    <t>9.20 Ribbed sheet</t>
  </si>
  <si>
    <t>10.1 Low quality</t>
  </si>
  <si>
    <t>10.2 Medium quality</t>
  </si>
  <si>
    <t>10.3 Quality</t>
  </si>
  <si>
    <t>10.4 Best quality</t>
  </si>
  <si>
    <t>Sanitary instalation</t>
  </si>
  <si>
    <t>11.1 Low quality</t>
  </si>
  <si>
    <t>11.2 Medium quality</t>
  </si>
  <si>
    <t>11.3 Quality</t>
  </si>
  <si>
    <t>11.4 Best quality</t>
  </si>
  <si>
    <t xml:space="preserve">7.6 Ceramic best quality </t>
  </si>
  <si>
    <t>7.7 Porcelain</t>
  </si>
  <si>
    <t>7.8 Marble chip lower quality</t>
  </si>
  <si>
    <t>7.9 Marble chip best quality</t>
  </si>
  <si>
    <t>7.10 Harar marble</t>
  </si>
  <si>
    <t>7.11 Mankush marble</t>
  </si>
  <si>
    <t>7.12 Parquet lower quality on screed</t>
  </si>
  <si>
    <t>7.13 Parquet best quality on screed</t>
  </si>
  <si>
    <t>7.14 Parquet quality on screed</t>
  </si>
  <si>
    <t>7.15 Parquet medium quality on screed</t>
  </si>
  <si>
    <t>4.10 R.C with water-proof material (Accessible)</t>
  </si>
  <si>
    <t>4.11 R.C with water-proof material (in Accessible)</t>
  </si>
  <si>
    <t>G+1 &amp; G+2</t>
  </si>
  <si>
    <t>G+3 &amp; G+4</t>
  </si>
  <si>
    <t>G+5 &amp; G+6</t>
  </si>
  <si>
    <t>G+7 &amp; G+8</t>
  </si>
  <si>
    <t>G+9 &amp; G+10</t>
  </si>
  <si>
    <t>G+11 to G+16</t>
  </si>
  <si>
    <t>G+17 to G+22</t>
  </si>
  <si>
    <t>G+23 &amp; Above</t>
  </si>
  <si>
    <t xml:space="preserve">1.1 Foundation </t>
  </si>
  <si>
    <t>2.1 .R.C structure (Elevation colums and tie beam)</t>
  </si>
  <si>
    <t>2.1 .R.C structure (Elevation colums and suspended beam)</t>
  </si>
  <si>
    <t>3.1.1 HCB 15 cm thick</t>
  </si>
  <si>
    <t>3.1.2 Brick 12cm thick</t>
  </si>
  <si>
    <t>3.1.3 stone 40cm thick</t>
  </si>
  <si>
    <t>3.1.4 Chip wood-double</t>
  </si>
  <si>
    <t>3.1.5 Alumimium</t>
  </si>
  <si>
    <t>3.1.6 HCB 10 cm thick</t>
  </si>
  <si>
    <t>3.1.7 Magnesium/Gypsum Board</t>
  </si>
  <si>
    <t>3.2.1 HCB 20 cm thick</t>
  </si>
  <si>
    <t>3.2.2 Brick 25cm thick</t>
  </si>
  <si>
    <t>3.2.3 stone 40cm thick</t>
  </si>
  <si>
    <t>3.2.4 stone 50cm thick</t>
  </si>
  <si>
    <t>3.2.5 Alumimium</t>
  </si>
  <si>
    <t>3.2.7 Curtin wall made with special frame &amp; 4mm cored polycarbonate treated against UV rail</t>
  </si>
  <si>
    <t>3.2.6 Magnesium/Gypsum Board</t>
  </si>
  <si>
    <t>4.12 Metal sheet roofing with sand coating on wood (Imported)</t>
  </si>
  <si>
    <t>4.13 Metal sheet roofing with sand coating on wood (local)</t>
  </si>
  <si>
    <t>4.14 Metal sheet roofing with sand coating on steel (Imported)</t>
  </si>
  <si>
    <t>4.15 Metal sheet roofing with sand coating on steel (local)</t>
  </si>
  <si>
    <t>7.8 Mosaic</t>
  </si>
  <si>
    <t>7.9 Marble chip lower quality</t>
  </si>
  <si>
    <t>7.10 Marble chip best quality</t>
  </si>
  <si>
    <t>7.11 Harar marble</t>
  </si>
  <si>
    <t>7.12 Mankush marble</t>
  </si>
  <si>
    <t>7.13 Parquet lower quality on screed</t>
  </si>
  <si>
    <t>7.14 Parquet best quality on screed</t>
  </si>
  <si>
    <t>7.15 Parquet quality on screed</t>
  </si>
  <si>
    <t>7.16 Parquet medium quality on screed</t>
  </si>
  <si>
    <t>7.17 Parquet poor quality on wooden frame</t>
  </si>
  <si>
    <t>7.18 Granite</t>
  </si>
  <si>
    <t>8.2.5 pointed ambo cladding</t>
  </si>
  <si>
    <t>8.2.6 Not pointed ambo cladding</t>
  </si>
  <si>
    <t>8.2.5 Pointed ambo cladding</t>
  </si>
  <si>
    <t>8.2.7 Dressed stone cladding</t>
  </si>
  <si>
    <t>8.2.8  pointed brick cladding</t>
  </si>
  <si>
    <t xml:space="preserve">8.2.9 Rendred </t>
  </si>
  <si>
    <t>8.2.10 Rendred and painted</t>
  </si>
  <si>
    <t>8.2.11 Platered and Addis dicor wall paper</t>
  </si>
  <si>
    <t>8.2.12 Mosaic</t>
  </si>
  <si>
    <t>8.2.13a Best quality ceramic</t>
  </si>
  <si>
    <t>8.2.13b Quality ceramic</t>
  </si>
  <si>
    <t>8.2.13c Medium quality ceramic</t>
  </si>
  <si>
    <t>8.2.13d lower quality ceramic</t>
  </si>
  <si>
    <t>8.2.14 Pointing and painting HCB</t>
  </si>
  <si>
    <t>8.2.15 Pointing and painting Brick</t>
  </si>
  <si>
    <t>8.2.16 Harar marble</t>
  </si>
  <si>
    <t>8.2.17 Mankush marble</t>
  </si>
  <si>
    <t>8.2.18 Timber</t>
  </si>
  <si>
    <t>8.2.19 Granite</t>
  </si>
  <si>
    <t>8.2.20 Quartize paint</t>
  </si>
  <si>
    <t>9.8 Addis décor plastic panel</t>
  </si>
  <si>
    <t>9.11 Aluminium strip</t>
  </si>
  <si>
    <t>Handrail and Balutrade</t>
  </si>
  <si>
    <t>10.1 RHS</t>
  </si>
  <si>
    <t>10.2 RHS and wood member</t>
  </si>
  <si>
    <t>10.3 Best quality wood</t>
  </si>
  <si>
    <t>10.4 Aluminium</t>
  </si>
  <si>
    <t>8.2.21 Mineral paint</t>
  </si>
  <si>
    <t>8.2.22 Granite paint</t>
  </si>
  <si>
    <t>1.1 Foundation only earthwork</t>
  </si>
  <si>
    <t xml:space="preserve">1.2 a. Earthwortk and masnory </t>
  </si>
  <si>
    <t>1.2 b.  AGL and BGL</t>
  </si>
  <si>
    <t>1.3 Foundation work in</t>
  </si>
  <si>
    <t>1.3a. Earthwork</t>
  </si>
  <si>
    <t>1.3b. Hard rock</t>
  </si>
  <si>
    <t>1.3c. Mass concrete floor slab</t>
  </si>
  <si>
    <t>1.3d. R.C grade beam</t>
  </si>
  <si>
    <t>1.3e. Masnory BGL and AGL</t>
  </si>
  <si>
    <t>1.4 As item No.3 above but with R.C floor slab</t>
  </si>
  <si>
    <t>1.5 As item no 4 above but with R.C footing and foundation column</t>
  </si>
  <si>
    <t>1.6 As item no 5 above but for R.C roof slab</t>
  </si>
  <si>
    <t>2.3 Steel structure (R.H.S)</t>
  </si>
  <si>
    <t>2.2 As item no.2 above but for R.C roof slab</t>
  </si>
  <si>
    <t>3.1. see the methodology disscused on page 15</t>
  </si>
  <si>
    <t>3.2.1 Mud</t>
  </si>
  <si>
    <t>3.2.2 CIS G-28</t>
  </si>
  <si>
    <t>3.2.4 CIS G-32</t>
  </si>
  <si>
    <t>4.8 R.C without water-proof material</t>
  </si>
  <si>
    <t xml:space="preserve">4.9 R.C with water-proof material </t>
  </si>
  <si>
    <t>5.1  Low quality wood External</t>
  </si>
  <si>
    <t>5.2 medium Quality wood ,External</t>
  </si>
  <si>
    <t>5.3 Quality external</t>
  </si>
  <si>
    <t>5.4 Best quality wood external</t>
  </si>
  <si>
    <t>6.2 Ditto above but with 4mm- frosted glass</t>
  </si>
  <si>
    <t>6.5 Secco with 4mm-frosted glass</t>
  </si>
  <si>
    <t>6.6 Ditto but with 4mm-tinted glass</t>
  </si>
  <si>
    <t>6.7 Ditto but with 6mm-tinted glass</t>
  </si>
  <si>
    <t>6.8 Ditto as above but aluminium</t>
  </si>
  <si>
    <t>6.3 Ditto but with 4mm-clear glass</t>
  </si>
  <si>
    <t>7.7 Marble chip lower quality</t>
  </si>
  <si>
    <t>7.8 Marble chip best quality</t>
  </si>
  <si>
    <t>7.9 Harar marble</t>
  </si>
  <si>
    <t>7.10 Mankush marble</t>
  </si>
  <si>
    <t>7.11 Parquet best quality on screed</t>
  </si>
  <si>
    <t>7.12 Parquet quality on screed</t>
  </si>
  <si>
    <t>7.13 Parquet medium quality on screed</t>
  </si>
  <si>
    <t>7.14 Parquet poor quality on wooden frame</t>
  </si>
  <si>
    <t>7.15 Granite</t>
  </si>
  <si>
    <t>8.1.14 Granite</t>
  </si>
  <si>
    <t xml:space="preserve">8.1.15 Boka marble </t>
  </si>
  <si>
    <t>8.2.8 pointing brick</t>
  </si>
  <si>
    <t>9.8 addis décor Plastic panel</t>
  </si>
  <si>
    <t>9.14 Platered</t>
  </si>
  <si>
    <t>9.15 Plasterd and Addis décor ceiling paper</t>
  </si>
  <si>
    <t>9.16 Plastred and painted</t>
  </si>
  <si>
    <t xml:space="preserve">9.17 Playwood </t>
  </si>
  <si>
    <t>9.18 Painted Playwood</t>
  </si>
  <si>
    <t>H</t>
  </si>
  <si>
    <t>&lt;=</t>
  </si>
  <si>
    <t>Grand Total</t>
  </si>
  <si>
    <t>Max</t>
  </si>
  <si>
    <t>Min</t>
  </si>
  <si>
    <t>Ranges of Replacement cost rates for properties located in Addis Ababa</t>
  </si>
  <si>
    <t>Building Types</t>
  </si>
  <si>
    <t>G+1 and G+2</t>
  </si>
  <si>
    <t>G+3 and G+4</t>
  </si>
  <si>
    <t>G+5 and G+6</t>
  </si>
  <si>
    <t>Range of replacement cost rate</t>
  </si>
  <si>
    <t>Villa Higher</t>
  </si>
  <si>
    <t>Lower Villa</t>
  </si>
  <si>
    <t>Multipurpose Halls H&lt;= 4m</t>
  </si>
  <si>
    <t>H=4.5</t>
  </si>
  <si>
    <t>H=5.5</t>
  </si>
  <si>
    <t>H=6.5</t>
  </si>
  <si>
    <t>H=8.5</t>
  </si>
  <si>
    <t>H=10.5</t>
  </si>
  <si>
    <t>G+7 and G+8</t>
  </si>
  <si>
    <t>G+9 and G+10</t>
  </si>
  <si>
    <t>G+23 and above</t>
  </si>
  <si>
    <t>H=7.5</t>
  </si>
  <si>
    <t>H=11.5</t>
  </si>
  <si>
    <t>Remark</t>
  </si>
  <si>
    <r>
      <t>Birr/m</t>
    </r>
    <r>
      <rPr>
        <sz val="11"/>
        <color theme="1"/>
        <rFont val="Calibri"/>
        <family val="2"/>
      </rPr>
      <t>²</t>
    </r>
  </si>
  <si>
    <r>
      <t>Birr/m</t>
    </r>
    <r>
      <rPr>
        <sz val="11"/>
        <color theme="1"/>
        <rFont val="Calibri"/>
        <family val="2"/>
      </rPr>
      <t>³</t>
    </r>
  </si>
  <si>
    <t>Range used only for management purpose</t>
  </si>
  <si>
    <t>The diffrence</t>
  </si>
  <si>
    <t>Marketable</t>
  </si>
  <si>
    <t>Developing</t>
  </si>
  <si>
    <t>Promising</t>
  </si>
  <si>
    <t>Accessable</t>
  </si>
  <si>
    <t>Available</t>
  </si>
  <si>
    <t>Approved By</t>
  </si>
  <si>
    <t>Addis Ababa</t>
  </si>
  <si>
    <t>8.2.2 Plasterd and painted</t>
  </si>
  <si>
    <t>W-01</t>
  </si>
  <si>
    <t>Addis Ketma</t>
  </si>
  <si>
    <t xml:space="preserve">                   PROPERTY ESTIMATIONFORM FOR GENERAL LOANS</t>
  </si>
  <si>
    <t xml:space="preserve">           Type of access road to site________</t>
  </si>
  <si>
    <t>AA</t>
  </si>
  <si>
    <t>Adnan Esmael</t>
  </si>
  <si>
    <t>GF</t>
  </si>
  <si>
    <t xml:space="preserve"> </t>
  </si>
  <si>
    <t>Remark:-</t>
  </si>
  <si>
    <t>Steam</t>
  </si>
  <si>
    <t>Wall</t>
  </si>
  <si>
    <t>HCB</t>
  </si>
  <si>
    <t>Brick</t>
  </si>
  <si>
    <t>Chicka</t>
  </si>
  <si>
    <t>Metal Sheet</t>
  </si>
  <si>
    <t>Masonry</t>
  </si>
  <si>
    <t>Roof</t>
  </si>
  <si>
    <t>R.C</t>
  </si>
  <si>
    <t>Tiles</t>
  </si>
  <si>
    <t>Timber</t>
  </si>
  <si>
    <t>Thatch</t>
  </si>
  <si>
    <t>Floors</t>
  </si>
  <si>
    <t>Cement</t>
  </si>
  <si>
    <t>Uncovered</t>
  </si>
  <si>
    <t>Lighting System</t>
  </si>
  <si>
    <t>Petrol</t>
  </si>
  <si>
    <t>Oil</t>
  </si>
  <si>
    <t>Doors &amp; Windows</t>
  </si>
  <si>
    <t>Aluminium</t>
  </si>
  <si>
    <t>Metal</t>
  </si>
  <si>
    <t>Number of house on site (Service's quarters and garage to be indicated separately)</t>
  </si>
  <si>
    <t xml:space="preserve">                    </t>
  </si>
  <si>
    <t>FF</t>
  </si>
  <si>
    <t>Ground floor</t>
  </si>
  <si>
    <t>2F</t>
  </si>
  <si>
    <t>Terrace</t>
  </si>
  <si>
    <t>Date:-</t>
  </si>
  <si>
    <t>Excellent</t>
  </si>
  <si>
    <t>Head Office</t>
  </si>
  <si>
    <t>First Floor</t>
  </si>
  <si>
    <t>Woreda</t>
  </si>
  <si>
    <t>Nifas Silk-Lafto</t>
  </si>
  <si>
    <t>G+2 Residence Building</t>
  </si>
  <si>
    <t>SecondFloor</t>
  </si>
  <si>
    <t>8.2*9.53-4*1.08</t>
  </si>
  <si>
    <t>8.2*9.53-4*1.08+0.5*2+0.6*2.36</t>
  </si>
  <si>
    <t>12/08/2023</t>
  </si>
  <si>
    <t>• This valuation is done based on the actual measurement, thus the approved plan has to be submitted and checked by the engineer.</t>
  </si>
  <si>
    <t>XY</t>
  </si>
  <si>
    <t>8.959403, 38.</t>
  </si>
  <si>
    <t>Lot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</si>
</sst>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000"/>
    <numFmt numFmtId="165" formatCode="0.0"/>
    <numFmt numFmtId="166" formatCode="_(* #,##0_);_(* \(#,##0\);_(* &quot;-&quot;??_);_(@_)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u/>
      <sz val="16"/>
      <name val="Cambria"/>
      <family val="1"/>
    </font>
    <font>
      <b/>
      <i/>
      <sz val="12"/>
      <name val="Cambria"/>
      <family val="1"/>
    </font>
    <font>
      <sz val="11"/>
      <name val="Cambria"/>
      <family val="1"/>
    </font>
    <font>
      <sz val="12"/>
      <name val="Cambria"/>
      <family val="1"/>
    </font>
    <font>
      <vertAlign val="superscript"/>
      <sz val="10"/>
      <name val="Cambria"/>
      <family val="1"/>
    </font>
    <font>
      <sz val="10"/>
      <name val="Cambria"/>
      <family val="1"/>
    </font>
    <font>
      <b/>
      <i/>
      <sz val="11"/>
      <name val="Cambria"/>
      <family val="1"/>
    </font>
    <font>
      <b/>
      <sz val="12"/>
      <name val="Cambria"/>
      <family val="1"/>
    </font>
    <font>
      <b/>
      <sz val="11"/>
      <name val="Cambria"/>
      <family val="1"/>
    </font>
    <font>
      <b/>
      <i/>
      <u/>
      <sz val="12"/>
      <name val="Cambria"/>
      <family val="1"/>
    </font>
    <font>
      <sz val="9"/>
      <name val="Cambria"/>
      <family val="1"/>
    </font>
    <font>
      <b/>
      <i/>
      <sz val="14"/>
      <name val="Cambria"/>
      <family val="1"/>
    </font>
    <font>
      <b/>
      <i/>
      <u/>
      <sz val="14"/>
      <name val="Cambria"/>
      <family val="1"/>
    </font>
    <font>
      <vertAlign val="superscript"/>
      <sz val="12"/>
      <name val="Cambria"/>
      <family val="1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u/>
      <sz val="12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12"/>
      <color theme="1"/>
      <name val="Bookman Old Style"/>
      <family val="1"/>
    </font>
    <font>
      <b/>
      <u/>
      <sz val="12"/>
      <color theme="1"/>
      <name val="Cambria"/>
      <family val="1"/>
      <scheme val="major"/>
    </font>
    <font>
      <u/>
      <sz val="12"/>
      <color theme="1"/>
      <name val="Cambria"/>
      <family val="1"/>
      <scheme val="major"/>
    </font>
    <font>
      <b/>
      <u val="singleAccounting"/>
      <sz val="12"/>
      <color theme="1"/>
      <name val="Cambria"/>
      <family val="1"/>
      <scheme val="major"/>
    </font>
    <font>
      <b/>
      <u/>
      <sz val="12"/>
      <name val="Cambria"/>
      <family val="1"/>
      <scheme val="major"/>
    </font>
    <font>
      <sz val="10"/>
      <name val="Arial"/>
      <family val="2"/>
    </font>
    <font>
      <sz val="12"/>
      <name val="Garamond"/>
      <family val="1"/>
    </font>
    <font>
      <b/>
      <sz val="12"/>
      <name val="Garamond"/>
      <family val="1"/>
    </font>
    <font>
      <sz val="11"/>
      <color theme="1"/>
      <name val="Calibri"/>
      <family val="2"/>
    </font>
    <font>
      <b/>
      <u/>
      <sz val="12"/>
      <color theme="1"/>
      <name val="Comic Sans MS"/>
      <family val="4"/>
    </font>
    <font>
      <b/>
      <sz val="11"/>
      <color theme="1"/>
      <name val="Calibri"/>
      <family val="2"/>
      <scheme val="minor"/>
    </font>
    <font>
      <sz val="8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b/>
      <u/>
      <sz val="11"/>
      <name val="Cambria"/>
      <family val="1"/>
      <scheme val="major"/>
    </font>
    <font>
      <sz val="11"/>
      <color theme="1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5">
    <xf numFmtId="0" fontId="0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0" fillId="0" borderId="0"/>
    <xf numFmtId="0" fontId="3" fillId="0" borderId="0"/>
    <xf numFmtId="0" fontId="3" fillId="0" borderId="0"/>
    <xf numFmtId="0" fontId="3" fillId="0" borderId="0"/>
  </cellStyleXfs>
  <cellXfs count="446">
    <xf numFmtId="0" fontId="0" fillId="0" borderId="0" xfId="0"/>
    <xf numFmtId="0" fontId="0" fillId="0" borderId="0" xfId="0" applyNumberFormat="1"/>
    <xf numFmtId="49" fontId="0" fillId="0" borderId="0" xfId="0" applyNumberFormat="1"/>
    <xf numFmtId="4" fontId="2" fillId="2" borderId="0" xfId="0" applyNumberFormat="1" applyFont="1" applyFill="1"/>
    <xf numFmtId="0" fontId="0" fillId="0" borderId="1" xfId="0" applyBorder="1"/>
    <xf numFmtId="0" fontId="0" fillId="0" borderId="1" xfId="0" applyNumberFormat="1" applyBorder="1"/>
    <xf numFmtId="49" fontId="0" fillId="0" borderId="1" xfId="0" applyNumberFormat="1" applyBorder="1"/>
    <xf numFmtId="0" fontId="1" fillId="0" borderId="0" xfId="9" applyFont="1" applyProtection="1"/>
    <xf numFmtId="0" fontId="4" fillId="0" borderId="0" xfId="9" applyFont="1" applyAlignment="1" applyProtection="1">
      <alignment horizontal="center"/>
    </xf>
    <xf numFmtId="0" fontId="1" fillId="0" borderId="0" xfId="9" applyFont="1" applyAlignment="1" applyProtection="1">
      <alignment vertical="top"/>
    </xf>
    <xf numFmtId="4" fontId="1" fillId="0" borderId="0" xfId="9" applyNumberFormat="1" applyFont="1" applyProtection="1"/>
    <xf numFmtId="0" fontId="5" fillId="0" borderId="23" xfId="9" applyFont="1" applyBorder="1" applyAlignment="1" applyProtection="1">
      <alignment vertical="top" wrapText="1"/>
    </xf>
    <xf numFmtId="0" fontId="6" fillId="0" borderId="24" xfId="9" applyNumberFormat="1" applyFont="1" applyBorder="1" applyAlignment="1" applyProtection="1">
      <alignment horizontal="center" vertical="top" wrapText="1"/>
    </xf>
    <xf numFmtId="0" fontId="7" fillId="0" borderId="27" xfId="9" applyFont="1" applyBorder="1" applyAlignment="1" applyProtection="1">
      <alignment vertical="top" wrapText="1"/>
    </xf>
    <xf numFmtId="0" fontId="7" fillId="0" borderId="28" xfId="9" applyFont="1" applyBorder="1" applyAlignment="1" applyProtection="1">
      <alignment vertical="top" wrapText="1"/>
    </xf>
    <xf numFmtId="4" fontId="7" fillId="0" borderId="27" xfId="9" applyNumberFormat="1" applyFont="1" applyBorder="1" applyAlignment="1" applyProtection="1">
      <alignment vertical="top" wrapText="1"/>
    </xf>
    <xf numFmtId="0" fontId="9" fillId="0" borderId="24" xfId="9" applyFont="1" applyBorder="1" applyAlignment="1" applyProtection="1">
      <alignment horizontal="center"/>
    </xf>
    <xf numFmtId="4" fontId="7" fillId="0" borderId="29" xfId="9" applyNumberFormat="1" applyFont="1" applyBorder="1" applyAlignment="1" applyProtection="1">
      <alignment horizontal="center" vertical="top" wrapText="1"/>
    </xf>
    <xf numFmtId="4" fontId="7" fillId="0" borderId="30" xfId="9" applyNumberFormat="1" applyFont="1" applyBorder="1" applyAlignment="1" applyProtection="1">
      <alignment horizontal="center" vertical="top" wrapText="1"/>
    </xf>
    <xf numFmtId="0" fontId="5" fillId="0" borderId="27" xfId="9" applyFont="1" applyBorder="1" applyAlignment="1" applyProtection="1">
      <alignment vertical="top" wrapText="1"/>
    </xf>
    <xf numFmtId="4" fontId="7" fillId="0" borderId="29" xfId="9" applyNumberFormat="1" applyFont="1" applyBorder="1" applyAlignment="1" applyProtection="1">
      <alignment horizontal="center" vertical="top" wrapText="1"/>
      <protection locked="0"/>
    </xf>
    <xf numFmtId="4" fontId="7" fillId="0" borderId="31" xfId="9" applyNumberFormat="1" applyFont="1" applyBorder="1" applyAlignment="1" applyProtection="1">
      <alignment horizontal="center" vertical="top" wrapText="1"/>
    </xf>
    <xf numFmtId="4" fontId="7" fillId="0" borderId="32" xfId="9" applyNumberFormat="1" applyFont="1" applyBorder="1" applyAlignment="1" applyProtection="1">
      <alignment horizontal="center" vertical="top" wrapText="1"/>
    </xf>
    <xf numFmtId="0" fontId="10" fillId="0" borderId="27" xfId="9" applyNumberFormat="1" applyFont="1" applyBorder="1" applyAlignment="1" applyProtection="1">
      <alignment horizontal="left" vertical="top" wrapText="1"/>
    </xf>
    <xf numFmtId="0" fontId="6" fillId="0" borderId="27" xfId="9" applyNumberFormat="1" applyFont="1" applyBorder="1" applyAlignment="1" applyProtection="1">
      <alignment horizontal="left" vertical="top" wrapText="1"/>
    </xf>
    <xf numFmtId="4" fontId="7" fillId="0" borderId="33" xfId="9" applyNumberFormat="1" applyFont="1" applyBorder="1" applyAlignment="1" applyProtection="1">
      <alignment horizontal="center" vertical="top" wrapText="1"/>
    </xf>
    <xf numFmtId="0" fontId="7" fillId="0" borderId="27" xfId="9" applyFont="1" applyFill="1" applyBorder="1" applyAlignment="1" applyProtection="1">
      <alignment vertical="top" wrapText="1"/>
    </xf>
    <xf numFmtId="0" fontId="7" fillId="0" borderId="34" xfId="9" applyFont="1" applyBorder="1" applyAlignment="1" applyProtection="1">
      <alignment vertical="top" wrapText="1"/>
    </xf>
    <xf numFmtId="0" fontId="6" fillId="0" borderId="35" xfId="9" applyNumberFormat="1" applyFont="1" applyBorder="1" applyAlignment="1" applyProtection="1">
      <alignment horizontal="center" vertical="top" wrapText="1"/>
    </xf>
    <xf numFmtId="0" fontId="7" fillId="0" borderId="36" xfId="9" applyFont="1" applyBorder="1" applyAlignment="1" applyProtection="1">
      <alignment vertical="top" wrapText="1"/>
    </xf>
    <xf numFmtId="0" fontId="7" fillId="0" borderId="37" xfId="9" applyFont="1" applyBorder="1" applyAlignment="1" applyProtection="1">
      <alignment vertical="top" wrapText="1"/>
    </xf>
    <xf numFmtId="0" fontId="6" fillId="0" borderId="0" xfId="9" applyNumberFormat="1" applyFont="1" applyBorder="1" applyAlignment="1" applyProtection="1">
      <alignment horizontal="center" vertical="top" wrapText="1"/>
    </xf>
    <xf numFmtId="4" fontId="12" fillId="0" borderId="0" xfId="9" applyNumberFormat="1" applyFont="1" applyBorder="1" applyAlignment="1" applyProtection="1">
      <alignment horizontal="center" vertical="top" wrapText="1"/>
    </xf>
    <xf numFmtId="4" fontId="12" fillId="0" borderId="16" xfId="9" applyNumberFormat="1" applyFont="1" applyBorder="1" applyAlignment="1" applyProtection="1">
      <alignment horizontal="center" vertical="top" wrapText="1"/>
    </xf>
    <xf numFmtId="0" fontId="7" fillId="0" borderId="16" xfId="9" applyFont="1" applyBorder="1" applyAlignment="1" applyProtection="1">
      <alignment vertical="top" wrapText="1"/>
    </xf>
    <xf numFmtId="4" fontId="13" fillId="0" borderId="16" xfId="9" applyNumberFormat="1" applyFont="1" applyFill="1" applyBorder="1" applyAlignment="1" applyProtection="1">
      <alignment horizontal="center" vertical="top" wrapText="1"/>
    </xf>
    <xf numFmtId="4" fontId="6" fillId="0" borderId="0" xfId="9" applyNumberFormat="1" applyFont="1" applyBorder="1" applyAlignment="1" applyProtection="1">
      <alignment vertical="top" wrapText="1"/>
    </xf>
    <xf numFmtId="0" fontId="5" fillId="0" borderId="0" xfId="9" applyFont="1" applyBorder="1" applyAlignment="1" applyProtection="1">
      <alignment vertical="top" wrapText="1"/>
    </xf>
    <xf numFmtId="0" fontId="7" fillId="0" borderId="0" xfId="9" applyFont="1" applyBorder="1" applyAlignment="1" applyProtection="1">
      <alignment vertical="top" wrapText="1"/>
    </xf>
    <xf numFmtId="2" fontId="5" fillId="0" borderId="0" xfId="9" applyNumberFormat="1" applyFont="1" applyFill="1" applyBorder="1" applyAlignment="1" applyProtection="1">
      <alignment vertical="top" wrapText="1"/>
    </xf>
    <xf numFmtId="0" fontId="5" fillId="0" borderId="15" xfId="9" applyFont="1" applyBorder="1" applyAlignment="1" applyProtection="1">
      <alignment vertical="top" wrapText="1"/>
    </xf>
    <xf numFmtId="0" fontId="7" fillId="0" borderId="15" xfId="9" applyFont="1" applyBorder="1" applyAlignment="1" applyProtection="1">
      <alignment vertical="top" wrapText="1"/>
    </xf>
    <xf numFmtId="2" fontId="5" fillId="0" borderId="15" xfId="9" applyNumberFormat="1" applyFont="1" applyFill="1" applyBorder="1" applyAlignment="1" applyProtection="1">
      <alignment vertical="top" wrapText="1"/>
    </xf>
    <xf numFmtId="2" fontId="5" fillId="0" borderId="38" xfId="9" applyNumberFormat="1" applyFont="1" applyFill="1" applyBorder="1" applyAlignment="1" applyProtection="1">
      <alignment horizontal="center" vertical="top" wrapText="1"/>
    </xf>
    <xf numFmtId="2" fontId="5" fillId="0" borderId="23" xfId="9" applyNumberFormat="1" applyFont="1" applyFill="1" applyBorder="1" applyAlignment="1" applyProtection="1">
      <alignment horizontal="center" vertical="top" wrapText="1"/>
    </xf>
    <xf numFmtId="4" fontId="5" fillId="0" borderId="23" xfId="9" applyNumberFormat="1" applyFont="1" applyBorder="1" applyAlignment="1" applyProtection="1">
      <alignment horizontal="center" vertical="top" wrapText="1"/>
    </xf>
    <xf numFmtId="0" fontId="6" fillId="0" borderId="39" xfId="9" applyNumberFormat="1" applyFont="1" applyBorder="1" applyAlignment="1" applyProtection="1">
      <alignment horizontal="center" vertical="top" wrapText="1"/>
    </xf>
    <xf numFmtId="0" fontId="7" fillId="0" borderId="25" xfId="9" applyFont="1" applyBorder="1" applyAlignment="1" applyProtection="1">
      <alignment vertical="top" wrapText="1"/>
    </xf>
    <xf numFmtId="4" fontId="7" fillId="0" borderId="40" xfId="9" applyNumberFormat="1" applyFont="1" applyBorder="1" applyAlignment="1" applyProtection="1">
      <alignment vertical="top" wrapText="1"/>
    </xf>
    <xf numFmtId="4" fontId="7" fillId="0" borderId="26" xfId="9" applyNumberFormat="1" applyFont="1" applyBorder="1" applyAlignment="1" applyProtection="1">
      <alignment horizontal="center" vertical="top" wrapText="1"/>
    </xf>
    <xf numFmtId="0" fontId="7" fillId="0" borderId="18" xfId="9" applyFont="1" applyBorder="1" applyAlignment="1" applyProtection="1">
      <alignment vertical="top" wrapText="1"/>
    </xf>
    <xf numFmtId="4" fontId="7" fillId="0" borderId="14" xfId="9" applyNumberFormat="1" applyFont="1" applyBorder="1" applyAlignment="1" applyProtection="1">
      <alignment horizontal="center" vertical="top" wrapText="1"/>
    </xf>
    <xf numFmtId="0" fontId="6" fillId="0" borderId="41" xfId="9" applyNumberFormat="1" applyFont="1" applyBorder="1" applyAlignment="1" applyProtection="1">
      <alignment horizontal="center" vertical="top" wrapText="1"/>
    </xf>
    <xf numFmtId="4" fontId="7" fillId="0" borderId="42" xfId="9" applyNumberFormat="1" applyFont="1" applyBorder="1" applyAlignment="1" applyProtection="1">
      <alignment horizontal="center" vertical="top" wrapText="1"/>
    </xf>
    <xf numFmtId="0" fontId="11" fillId="0" borderId="16" xfId="9" applyFont="1" applyFill="1" applyBorder="1" applyAlignment="1" applyProtection="1">
      <alignment horizontal="center" vertical="top" wrapText="1"/>
    </xf>
    <xf numFmtId="4" fontId="13" fillId="0" borderId="0" xfId="9" applyNumberFormat="1" applyFont="1" applyFill="1" applyBorder="1" applyAlignment="1" applyProtection="1">
      <alignment horizontal="center" vertical="top" wrapText="1"/>
    </xf>
    <xf numFmtId="0" fontId="11" fillId="0" borderId="0" xfId="9" applyFont="1" applyFill="1" applyBorder="1" applyAlignment="1" applyProtection="1">
      <alignment horizontal="center" vertical="top" wrapText="1"/>
    </xf>
    <xf numFmtId="0" fontId="14" fillId="0" borderId="0" xfId="9" applyFont="1" applyBorder="1" applyProtection="1"/>
    <xf numFmtId="4" fontId="16" fillId="0" borderId="0" xfId="10" applyNumberFormat="1" applyFont="1" applyFill="1" applyBorder="1" applyAlignment="1" applyProtection="1">
      <alignment horizontal="center" vertical="top" wrapText="1"/>
    </xf>
    <xf numFmtId="0" fontId="13" fillId="0" borderId="0" xfId="9" applyFont="1" applyBorder="1" applyProtection="1"/>
    <xf numFmtId="0" fontId="7" fillId="0" borderId="0" xfId="9" applyFont="1" applyBorder="1" applyProtection="1"/>
    <xf numFmtId="0" fontId="7" fillId="0" borderId="0" xfId="9" applyFont="1" applyBorder="1" applyAlignment="1" applyProtection="1">
      <alignment vertical="top"/>
    </xf>
    <xf numFmtId="2" fontId="7" fillId="0" borderId="0" xfId="9" applyNumberFormat="1" applyFont="1" applyFill="1" applyBorder="1" applyProtection="1"/>
    <xf numFmtId="0" fontId="11" fillId="0" borderId="0" xfId="9" applyFont="1" applyBorder="1" applyAlignment="1" applyProtection="1">
      <alignment horizontal="center"/>
    </xf>
    <xf numFmtId="0" fontId="11" fillId="0" borderId="0" xfId="9" applyFont="1" applyBorder="1" applyAlignment="1" applyProtection="1">
      <alignment horizontal="center" vertical="top"/>
    </xf>
    <xf numFmtId="2" fontId="11" fillId="0" borderId="0" xfId="9" applyNumberFormat="1" applyFont="1" applyFill="1" applyBorder="1" applyAlignment="1" applyProtection="1">
      <alignment horizontal="center"/>
    </xf>
    <xf numFmtId="0" fontId="5" fillId="0" borderId="19" xfId="9" applyNumberFormat="1" applyFont="1" applyBorder="1" applyAlignment="1" applyProtection="1">
      <alignment horizontal="center" vertical="top" wrapText="1"/>
    </xf>
    <xf numFmtId="0" fontId="5" fillId="0" borderId="20" xfId="9" applyNumberFormat="1" applyFont="1" applyBorder="1" applyAlignment="1" applyProtection="1">
      <alignment horizontal="center" vertical="top" wrapText="1"/>
    </xf>
    <xf numFmtId="4" fontId="5" fillId="0" borderId="20" xfId="9" applyNumberFormat="1" applyFont="1" applyBorder="1" applyAlignment="1" applyProtection="1">
      <alignment horizontal="center" vertical="top" wrapText="1"/>
    </xf>
    <xf numFmtId="2" fontId="5" fillId="0" borderId="20" xfId="9" applyNumberFormat="1" applyFont="1" applyFill="1" applyBorder="1" applyAlignment="1" applyProtection="1">
      <alignment horizontal="center" vertical="top" wrapText="1"/>
    </xf>
    <xf numFmtId="4" fontId="5" fillId="0" borderId="21" xfId="9" applyNumberFormat="1" applyFont="1" applyBorder="1" applyAlignment="1" applyProtection="1">
      <alignment horizontal="center" vertical="top" wrapText="1"/>
    </xf>
    <xf numFmtId="0" fontId="7" fillId="0" borderId="40" xfId="9" applyFont="1" applyBorder="1" applyAlignment="1" applyProtection="1">
      <alignment horizontal="center"/>
    </xf>
    <xf numFmtId="2" fontId="7" fillId="0" borderId="40" xfId="9" applyNumberFormat="1" applyFont="1" applyFill="1" applyBorder="1" applyAlignment="1" applyProtection="1">
      <alignment vertical="top"/>
    </xf>
    <xf numFmtId="4" fontId="7" fillId="0" borderId="32" xfId="9" applyNumberFormat="1" applyFont="1" applyBorder="1" applyProtection="1"/>
    <xf numFmtId="0" fontId="7" fillId="0" borderId="43" xfId="9" applyFont="1" applyBorder="1" applyAlignment="1" applyProtection="1">
      <alignment horizontal="center"/>
    </xf>
    <xf numFmtId="0" fontId="7" fillId="0" borderId="27" xfId="9" applyFont="1" applyBorder="1" applyAlignment="1" applyProtection="1">
      <alignment horizontal="center"/>
    </xf>
    <xf numFmtId="2" fontId="7" fillId="0" borderId="44" xfId="9" applyNumberFormat="1" applyFont="1" applyFill="1" applyBorder="1" applyAlignment="1" applyProtection="1">
      <alignment vertical="top"/>
    </xf>
    <xf numFmtId="4" fontId="7" fillId="0" borderId="30" xfId="9" applyNumberFormat="1" applyFont="1" applyBorder="1" applyProtection="1"/>
    <xf numFmtId="0" fontId="7" fillId="0" borderId="27" xfId="9" applyFont="1" applyFill="1" applyBorder="1" applyAlignment="1" applyProtection="1">
      <alignment horizontal="center"/>
    </xf>
    <xf numFmtId="0" fontId="7" fillId="0" borderId="43" xfId="9" applyFont="1" applyFill="1" applyBorder="1" applyAlignment="1" applyProtection="1">
      <alignment horizontal="center"/>
    </xf>
    <xf numFmtId="0" fontId="7" fillId="0" borderId="45" xfId="9" applyFont="1" applyFill="1" applyBorder="1" applyAlignment="1" applyProtection="1">
      <alignment horizontal="center"/>
    </xf>
    <xf numFmtId="4" fontId="7" fillId="0" borderId="46" xfId="9" applyNumberFormat="1" applyFont="1" applyBorder="1" applyProtection="1"/>
    <xf numFmtId="0" fontId="7" fillId="0" borderId="40" xfId="9" applyNumberFormat="1" applyFont="1" applyBorder="1" applyAlignment="1" applyProtection="1">
      <alignment horizontal="center" vertical="top" wrapText="1"/>
    </xf>
    <xf numFmtId="0" fontId="7" fillId="0" borderId="27" xfId="9" applyNumberFormat="1" applyFont="1" applyBorder="1" applyAlignment="1" applyProtection="1">
      <alignment horizontal="center" vertical="top" wrapText="1"/>
    </xf>
    <xf numFmtId="0" fontId="7" fillId="0" borderId="43" xfId="9" applyNumberFormat="1" applyFont="1" applyBorder="1" applyAlignment="1" applyProtection="1">
      <alignment horizontal="center" vertical="top" wrapText="1"/>
    </xf>
    <xf numFmtId="0" fontId="7" fillId="0" borderId="10" xfId="9" applyNumberFormat="1" applyFont="1" applyBorder="1" applyAlignment="1" applyProtection="1">
      <alignment horizontal="center" vertical="top" wrapText="1"/>
    </xf>
    <xf numFmtId="4" fontId="7" fillId="0" borderId="47" xfId="9" applyNumberFormat="1" applyFont="1" applyBorder="1" applyProtection="1"/>
    <xf numFmtId="0" fontId="7" fillId="0" borderId="0" xfId="9" applyNumberFormat="1" applyFont="1" applyBorder="1" applyAlignment="1" applyProtection="1">
      <alignment horizontal="center" vertical="top" wrapText="1"/>
    </xf>
    <xf numFmtId="2" fontId="7" fillId="0" borderId="8" xfId="9" applyNumberFormat="1" applyFont="1" applyFill="1" applyBorder="1" applyAlignment="1" applyProtection="1">
      <alignment vertical="top"/>
    </xf>
    <xf numFmtId="0" fontId="7" fillId="0" borderId="44" xfId="9" applyNumberFormat="1" applyFont="1" applyBorder="1" applyAlignment="1" applyProtection="1">
      <alignment horizontal="center" vertical="top" wrapText="1"/>
    </xf>
    <xf numFmtId="2" fontId="7" fillId="0" borderId="1" xfId="9" applyNumberFormat="1" applyFont="1" applyFill="1" applyBorder="1" applyAlignment="1" applyProtection="1">
      <alignment vertical="top"/>
    </xf>
    <xf numFmtId="4" fontId="7" fillId="0" borderId="48" xfId="9" applyNumberFormat="1" applyFont="1" applyBorder="1" applyProtection="1"/>
    <xf numFmtId="0" fontId="7" fillId="0" borderId="49" xfId="9" applyNumberFormat="1" applyFont="1" applyBorder="1" applyAlignment="1" applyProtection="1">
      <alignment horizontal="center" vertical="top" wrapText="1"/>
    </xf>
    <xf numFmtId="4" fontId="7" fillId="0" borderId="49" xfId="9" applyNumberFormat="1" applyFont="1" applyBorder="1" applyAlignment="1" applyProtection="1">
      <alignment vertical="top" wrapText="1"/>
    </xf>
    <xf numFmtId="4" fontId="7" fillId="0" borderId="50" xfId="9" applyNumberFormat="1" applyFont="1" applyBorder="1" applyProtection="1"/>
    <xf numFmtId="4" fontId="7" fillId="0" borderId="0" xfId="9" applyNumberFormat="1" applyFont="1" applyBorder="1" applyAlignment="1" applyProtection="1">
      <alignment vertical="top" wrapText="1"/>
    </xf>
    <xf numFmtId="2" fontId="7" fillId="0" borderId="0" xfId="9" applyNumberFormat="1" applyFont="1" applyBorder="1" applyAlignment="1" applyProtection="1">
      <alignment vertical="top" wrapText="1"/>
    </xf>
    <xf numFmtId="4" fontId="7" fillId="0" borderId="17" xfId="9" applyNumberFormat="1" applyFont="1" applyBorder="1" applyProtection="1"/>
    <xf numFmtId="0" fontId="7" fillId="0" borderId="18" xfId="9" applyNumberFormat="1" applyFont="1" applyBorder="1" applyAlignment="1" applyProtection="1">
      <alignment horizontal="center" vertical="top" wrapText="1"/>
    </xf>
    <xf numFmtId="4" fontId="7" fillId="0" borderId="33" xfId="9" applyNumberFormat="1" applyFont="1" applyBorder="1" applyProtection="1"/>
    <xf numFmtId="0" fontId="7" fillId="0" borderId="1" xfId="9" applyNumberFormat="1" applyFont="1" applyBorder="1" applyAlignment="1" applyProtection="1">
      <alignment horizontal="center" vertical="top" wrapText="1"/>
    </xf>
    <xf numFmtId="0" fontId="7" fillId="0" borderId="46" xfId="9" applyNumberFormat="1" applyFont="1" applyBorder="1" applyAlignment="1" applyProtection="1">
      <alignment horizontal="center" vertical="top" wrapText="1"/>
    </xf>
    <xf numFmtId="0" fontId="7" fillId="0" borderId="3" xfId="9" applyNumberFormat="1" applyFont="1" applyBorder="1" applyAlignment="1" applyProtection="1">
      <alignment horizontal="center" vertical="top" wrapText="1"/>
    </xf>
    <xf numFmtId="0" fontId="7" fillId="0" borderId="51" xfId="9" applyNumberFormat="1" applyFont="1" applyBorder="1" applyAlignment="1" applyProtection="1">
      <alignment horizontal="center" vertical="top" wrapText="1"/>
    </xf>
    <xf numFmtId="0" fontId="7" fillId="0" borderId="34" xfId="9" applyNumberFormat="1" applyFont="1" applyBorder="1" applyAlignment="1" applyProtection="1">
      <alignment horizontal="center" vertical="top" wrapText="1"/>
    </xf>
    <xf numFmtId="4" fontId="7" fillId="0" borderId="8" xfId="9" applyNumberFormat="1" applyFont="1" applyBorder="1" applyProtection="1"/>
    <xf numFmtId="0" fontId="7" fillId="0" borderId="22" xfId="9" applyNumberFormat="1" applyFont="1" applyBorder="1" applyAlignment="1" applyProtection="1">
      <alignment horizontal="center" vertical="top" wrapText="1"/>
    </xf>
    <xf numFmtId="2" fontId="7" fillId="0" borderId="0" xfId="9" applyNumberFormat="1" applyFont="1" applyFill="1" applyBorder="1" applyAlignment="1" applyProtection="1">
      <alignment vertical="top"/>
    </xf>
    <xf numFmtId="2" fontId="7" fillId="0" borderId="4" xfId="9" applyNumberFormat="1" applyFont="1" applyFill="1" applyBorder="1" applyAlignment="1" applyProtection="1">
      <alignment vertical="top"/>
    </xf>
    <xf numFmtId="4" fontId="7" fillId="0" borderId="4" xfId="9" applyNumberFormat="1" applyFont="1" applyBorder="1" applyProtection="1"/>
    <xf numFmtId="0" fontId="7" fillId="0" borderId="11" xfId="9" applyNumberFormat="1" applyFont="1" applyBorder="1" applyAlignment="1" applyProtection="1">
      <alignment horizontal="center" vertical="top" wrapText="1"/>
    </xf>
    <xf numFmtId="0" fontId="7" fillId="0" borderId="5" xfId="9" applyNumberFormat="1" applyFont="1" applyBorder="1" applyAlignment="1" applyProtection="1">
      <alignment horizontal="center" vertical="top" wrapText="1"/>
    </xf>
    <xf numFmtId="2" fontId="7" fillId="0" borderId="5" xfId="9" applyNumberFormat="1" applyFont="1" applyFill="1" applyBorder="1" applyAlignment="1" applyProtection="1">
      <alignment vertical="top"/>
    </xf>
    <xf numFmtId="4" fontId="7" fillId="0" borderId="52" xfId="9" applyNumberFormat="1" applyFont="1" applyBorder="1" applyProtection="1"/>
    <xf numFmtId="0" fontId="7" fillId="0" borderId="44" xfId="9" applyFont="1" applyBorder="1" applyAlignment="1" applyProtection="1">
      <alignment horizontal="center"/>
    </xf>
    <xf numFmtId="0" fontId="7" fillId="0" borderId="53" xfId="9" applyNumberFormat="1" applyFont="1" applyBorder="1" applyAlignment="1" applyProtection="1">
      <alignment horizontal="center" vertical="top" wrapText="1"/>
    </xf>
    <xf numFmtId="4" fontId="7" fillId="0" borderId="42" xfId="9" applyNumberFormat="1" applyFont="1" applyBorder="1" applyProtection="1"/>
    <xf numFmtId="4" fontId="11" fillId="0" borderId="0" xfId="9" applyNumberFormat="1" applyFont="1" applyFill="1" applyBorder="1" applyAlignment="1" applyProtection="1">
      <alignment vertical="top" wrapText="1"/>
    </xf>
    <xf numFmtId="4" fontId="7" fillId="0" borderId="0" xfId="9" applyNumberFormat="1" applyFont="1" applyBorder="1" applyProtection="1"/>
    <xf numFmtId="0" fontId="7" fillId="0" borderId="27" xfId="9" applyFont="1" applyBorder="1" applyAlignment="1" applyProtection="1">
      <alignment vertical="top"/>
    </xf>
    <xf numFmtId="0" fontId="11" fillId="0" borderId="4" xfId="9" applyFont="1" applyFill="1" applyBorder="1" applyAlignment="1" applyProtection="1">
      <alignment vertical="top" wrapText="1"/>
    </xf>
    <xf numFmtId="4" fontId="11" fillId="0" borderId="4" xfId="9" applyNumberFormat="1" applyFont="1" applyFill="1" applyBorder="1" applyAlignment="1" applyProtection="1">
      <alignment vertical="top" wrapText="1"/>
    </xf>
    <xf numFmtId="0" fontId="6" fillId="0" borderId="24" xfId="9" applyNumberFormat="1" applyFont="1" applyBorder="1" applyAlignment="1" applyProtection="1">
      <alignment horizontal="center" vertical="top"/>
    </xf>
    <xf numFmtId="0" fontId="7" fillId="0" borderId="28" xfId="9" applyFont="1" applyBorder="1" applyAlignment="1" applyProtection="1">
      <alignment vertical="top"/>
    </xf>
    <xf numFmtId="4" fontId="7" fillId="0" borderId="27" xfId="9" applyNumberFormat="1" applyFont="1" applyBorder="1" applyAlignment="1" applyProtection="1">
      <alignment vertical="top"/>
    </xf>
    <xf numFmtId="4" fontId="7" fillId="0" borderId="29" xfId="9" applyNumberFormat="1" applyFont="1" applyBorder="1" applyAlignment="1" applyProtection="1">
      <alignment horizontal="center" vertical="top"/>
    </xf>
    <xf numFmtId="0" fontId="0" fillId="0" borderId="0" xfId="0" applyAlignment="1"/>
    <xf numFmtId="4" fontId="7" fillId="3" borderId="27" xfId="9" applyNumberFormat="1" applyFont="1" applyFill="1" applyBorder="1" applyAlignment="1" applyProtection="1">
      <alignment vertical="top" wrapText="1"/>
    </xf>
    <xf numFmtId="0" fontId="13" fillId="3" borderId="0" xfId="9" applyFont="1" applyFill="1" applyBorder="1" applyProtection="1"/>
    <xf numFmtId="0" fontId="5" fillId="3" borderId="0" xfId="9" applyFont="1" applyFill="1" applyBorder="1" applyAlignment="1" applyProtection="1">
      <alignment horizontal="center" vertical="top" wrapText="1"/>
    </xf>
    <xf numFmtId="0" fontId="11" fillId="3" borderId="0" xfId="9" applyFont="1" applyFill="1" applyBorder="1" applyAlignment="1" applyProtection="1">
      <alignment horizontal="center" vertical="top" wrapText="1"/>
    </xf>
    <xf numFmtId="2" fontId="7" fillId="3" borderId="0" xfId="9" applyNumberFormat="1" applyFont="1" applyFill="1" applyBorder="1" applyProtection="1"/>
    <xf numFmtId="0" fontId="0" fillId="3" borderId="0" xfId="0" applyFill="1"/>
    <xf numFmtId="0" fontId="5" fillId="3" borderId="19" xfId="9" applyFont="1" applyFill="1" applyBorder="1" applyAlignment="1" applyProtection="1">
      <alignment horizontal="center" vertical="top" wrapText="1"/>
    </xf>
    <xf numFmtId="0" fontId="5" fillId="3" borderId="20" xfId="9" applyFont="1" applyFill="1" applyBorder="1" applyAlignment="1" applyProtection="1">
      <alignment horizontal="center" vertical="top" wrapText="1"/>
    </xf>
    <xf numFmtId="2" fontId="5" fillId="3" borderId="54" xfId="9" applyNumberFormat="1" applyFont="1" applyFill="1" applyBorder="1" applyAlignment="1" applyProtection="1">
      <alignment horizontal="center" vertical="top" wrapText="1"/>
    </xf>
    <xf numFmtId="0" fontId="5" fillId="3" borderId="21" xfId="9" applyFont="1" applyFill="1" applyBorder="1" applyAlignment="1" applyProtection="1">
      <alignment horizontal="center" vertical="top" wrapText="1"/>
    </xf>
    <xf numFmtId="0" fontId="7" fillId="3" borderId="55" xfId="9" applyFont="1" applyFill="1" applyBorder="1" applyAlignment="1" applyProtection="1">
      <alignment horizontal="center"/>
    </xf>
    <xf numFmtId="0" fontId="7" fillId="3" borderId="56" xfId="9" applyNumberFormat="1" applyFont="1" applyFill="1" applyBorder="1" applyAlignment="1" applyProtection="1">
      <alignment horizontal="left" vertical="top" wrapText="1"/>
    </xf>
    <xf numFmtId="0" fontId="7" fillId="3" borderId="54" xfId="9" applyFont="1" applyFill="1" applyBorder="1" applyAlignment="1" applyProtection="1">
      <alignment horizontal="center" vertical="top" wrapText="1"/>
    </xf>
    <xf numFmtId="2" fontId="7" fillId="3" borderId="1" xfId="9" applyNumberFormat="1" applyFont="1" applyFill="1" applyBorder="1" applyAlignment="1" applyProtection="1">
      <alignment vertical="top"/>
    </xf>
    <xf numFmtId="4" fontId="7" fillId="3" borderId="57" xfId="10" applyNumberFormat="1" applyFont="1" applyFill="1" applyBorder="1" applyAlignment="1" applyProtection="1">
      <alignment horizontal="center" vertical="top" wrapText="1"/>
    </xf>
    <xf numFmtId="0" fontId="7" fillId="3" borderId="58" xfId="9" applyFont="1" applyFill="1" applyBorder="1" applyAlignment="1" applyProtection="1">
      <alignment horizontal="center"/>
    </xf>
    <xf numFmtId="0" fontId="7" fillId="3" borderId="43" xfId="9" applyNumberFormat="1" applyFont="1" applyFill="1" applyBorder="1" applyAlignment="1" applyProtection="1">
      <alignment horizontal="left" vertical="top" wrapText="1"/>
    </xf>
    <xf numFmtId="0" fontId="7" fillId="3" borderId="27" xfId="9" applyFont="1" applyFill="1" applyBorder="1" applyAlignment="1" applyProtection="1">
      <alignment horizontal="center" vertical="top" wrapText="1"/>
    </xf>
    <xf numFmtId="4" fontId="7" fillId="3" borderId="46" xfId="10" applyNumberFormat="1" applyFont="1" applyFill="1" applyBorder="1" applyAlignment="1" applyProtection="1">
      <alignment horizontal="center" vertical="top" wrapText="1"/>
    </xf>
    <xf numFmtId="0" fontId="7" fillId="3" borderId="59" xfId="9" applyNumberFormat="1" applyFont="1" applyFill="1" applyBorder="1" applyAlignment="1" applyProtection="1">
      <alignment horizontal="center" vertical="top" wrapText="1"/>
    </xf>
    <xf numFmtId="0" fontId="7" fillId="3" borderId="10" xfId="9" applyNumberFormat="1" applyFont="1" applyFill="1" applyBorder="1" applyAlignment="1" applyProtection="1">
      <alignment horizontal="left" vertical="top" wrapText="1"/>
    </xf>
    <xf numFmtId="0" fontId="7" fillId="3" borderId="10" xfId="9" applyFont="1" applyFill="1" applyBorder="1" applyAlignment="1" applyProtection="1">
      <alignment horizontal="center" vertical="top" wrapText="1"/>
    </xf>
    <xf numFmtId="4" fontId="7" fillId="3" borderId="10" xfId="10" applyNumberFormat="1" applyFont="1" applyFill="1" applyBorder="1" applyAlignment="1" applyProtection="1">
      <alignment horizontal="center" vertical="top" wrapText="1"/>
    </xf>
    <xf numFmtId="0" fontId="7" fillId="3" borderId="0" xfId="9" applyFont="1" applyFill="1" applyBorder="1" applyProtection="1"/>
    <xf numFmtId="4" fontId="13" fillId="3" borderId="0" xfId="9" applyNumberFormat="1" applyFont="1" applyFill="1" applyBorder="1" applyAlignment="1" applyProtection="1">
      <alignment horizontal="center" vertical="top" wrapText="1"/>
    </xf>
    <xf numFmtId="0" fontId="7" fillId="3" borderId="0" xfId="9" applyNumberFormat="1" applyFont="1" applyFill="1" applyBorder="1" applyAlignment="1" applyProtection="1">
      <alignment horizontal="center" vertical="top" wrapText="1"/>
    </xf>
    <xf numFmtId="4" fontId="7" fillId="3" borderId="0" xfId="9" applyNumberFormat="1" applyFont="1" applyFill="1" applyBorder="1" applyAlignment="1" applyProtection="1">
      <alignment vertical="top" wrapText="1"/>
    </xf>
    <xf numFmtId="4" fontId="7" fillId="3" borderId="0" xfId="9" applyNumberFormat="1" applyFont="1" applyFill="1" applyBorder="1" applyProtection="1"/>
    <xf numFmtId="0" fontId="5" fillId="3" borderId="23" xfId="9" applyFont="1" applyFill="1" applyBorder="1" applyAlignment="1" applyProtection="1">
      <alignment vertical="top" wrapText="1"/>
    </xf>
    <xf numFmtId="4" fontId="5" fillId="3" borderId="23" xfId="9" applyNumberFormat="1" applyFont="1" applyFill="1" applyBorder="1" applyAlignment="1" applyProtection="1">
      <alignment horizontal="center" vertical="top" wrapText="1"/>
    </xf>
    <xf numFmtId="0" fontId="7" fillId="3" borderId="25" xfId="9" applyFont="1" applyFill="1" applyBorder="1" applyAlignment="1" applyProtection="1">
      <alignment horizontal="center"/>
    </xf>
    <xf numFmtId="0" fontId="7" fillId="3" borderId="25" xfId="9" applyNumberFormat="1" applyFont="1" applyFill="1" applyBorder="1" applyAlignment="1" applyProtection="1">
      <alignment horizontal="left" vertical="top" wrapText="1"/>
    </xf>
    <xf numFmtId="0" fontId="7" fillId="3" borderId="25" xfId="9" applyNumberFormat="1" applyFont="1" applyFill="1" applyBorder="1" applyAlignment="1" applyProtection="1">
      <alignment horizontal="center" vertical="top" wrapText="1"/>
    </xf>
    <xf numFmtId="0" fontId="7" fillId="3" borderId="25" xfId="9" applyFont="1" applyFill="1" applyBorder="1" applyAlignment="1" applyProtection="1">
      <alignment vertical="top"/>
    </xf>
    <xf numFmtId="4" fontId="7" fillId="3" borderId="60" xfId="9" applyNumberFormat="1" applyFont="1" applyFill="1" applyBorder="1" applyAlignment="1" applyProtection="1">
      <alignment horizontal="right"/>
    </xf>
    <xf numFmtId="0" fontId="7" fillId="3" borderId="27" xfId="9" applyNumberFormat="1" applyFont="1" applyFill="1" applyBorder="1" applyAlignment="1" applyProtection="1">
      <alignment horizontal="center" vertical="top" wrapText="1"/>
    </xf>
    <xf numFmtId="0" fontId="7" fillId="3" borderId="27" xfId="9" applyNumberFormat="1" applyFont="1" applyFill="1" applyBorder="1" applyAlignment="1" applyProtection="1">
      <alignment horizontal="left" vertical="top" wrapText="1"/>
    </xf>
    <xf numFmtId="0" fontId="7" fillId="3" borderId="27" xfId="9" applyFont="1" applyFill="1" applyBorder="1" applyAlignment="1" applyProtection="1">
      <alignment vertical="top"/>
    </xf>
    <xf numFmtId="4" fontId="7" fillId="3" borderId="30" xfId="9" applyNumberFormat="1" applyFont="1" applyFill="1" applyBorder="1" applyAlignment="1" applyProtection="1">
      <alignment horizontal="right"/>
    </xf>
    <xf numFmtId="0" fontId="7" fillId="3" borderId="40" xfId="9" applyNumberFormat="1" applyFont="1" applyFill="1" applyBorder="1" applyAlignment="1" applyProtection="1">
      <alignment horizontal="center" vertical="top" wrapText="1"/>
    </xf>
    <xf numFmtId="0" fontId="7" fillId="3" borderId="40" xfId="9" applyFont="1" applyFill="1" applyBorder="1" applyAlignment="1" applyProtection="1">
      <alignment horizontal="center"/>
    </xf>
    <xf numFmtId="165" fontId="7" fillId="3" borderId="27" xfId="9" applyNumberFormat="1" applyFont="1" applyFill="1" applyBorder="1" applyAlignment="1" applyProtection="1">
      <alignment horizontal="center" vertical="top" wrapText="1"/>
    </xf>
    <xf numFmtId="0" fontId="7" fillId="3" borderId="18" xfId="9" applyFont="1" applyFill="1" applyBorder="1" applyAlignment="1" applyProtection="1">
      <alignment vertical="top"/>
    </xf>
    <xf numFmtId="4" fontId="7" fillId="3" borderId="29" xfId="9" applyNumberFormat="1" applyFont="1" applyFill="1" applyBorder="1" applyAlignment="1" applyProtection="1">
      <alignment horizontal="right"/>
    </xf>
    <xf numFmtId="0" fontId="7" fillId="3" borderId="24" xfId="9" applyFont="1" applyFill="1" applyBorder="1" applyAlignment="1" applyProtection="1">
      <alignment horizontal="center"/>
    </xf>
    <xf numFmtId="0" fontId="5" fillId="3" borderId="27" xfId="9" applyFont="1" applyFill="1" applyBorder="1" applyAlignment="1" applyProtection="1">
      <alignment vertical="top" wrapText="1"/>
    </xf>
    <xf numFmtId="0" fontId="7" fillId="3" borderId="27" xfId="9" applyFont="1" applyFill="1" applyBorder="1" applyAlignment="1" applyProtection="1">
      <alignment vertical="top" wrapText="1"/>
    </xf>
    <xf numFmtId="4" fontId="7" fillId="3" borderId="61" xfId="9" applyNumberFormat="1" applyFont="1" applyFill="1" applyBorder="1" applyAlignment="1" applyProtection="1">
      <alignment horizontal="right"/>
    </xf>
    <xf numFmtId="0" fontId="7" fillId="3" borderId="24" xfId="9" applyNumberFormat="1" applyFont="1" applyFill="1" applyBorder="1" applyAlignment="1" applyProtection="1">
      <alignment horizontal="center" vertical="top" wrapText="1"/>
    </xf>
    <xf numFmtId="0" fontId="7" fillId="3" borderId="62" xfId="9" applyFont="1" applyFill="1" applyBorder="1" applyAlignment="1" applyProtection="1">
      <alignment horizontal="center" vertical="top"/>
    </xf>
    <xf numFmtId="0" fontId="7" fillId="3" borderId="49" xfId="9" applyFont="1" applyFill="1" applyBorder="1" applyAlignment="1" applyProtection="1">
      <alignment vertical="top" wrapText="1"/>
    </xf>
    <xf numFmtId="0" fontId="7" fillId="3" borderId="49" xfId="9" applyFont="1" applyFill="1" applyBorder="1" applyAlignment="1" applyProtection="1">
      <alignment horizontal="center" vertical="top" wrapText="1"/>
    </xf>
    <xf numFmtId="0" fontId="7" fillId="3" borderId="40" xfId="9" applyFont="1" applyFill="1" applyBorder="1" applyAlignment="1" applyProtection="1">
      <alignment vertical="top"/>
    </xf>
    <xf numFmtId="4" fontId="7" fillId="3" borderId="50" xfId="9" applyNumberFormat="1" applyFont="1" applyFill="1" applyBorder="1" applyAlignment="1" applyProtection="1">
      <alignment horizontal="right" vertical="top"/>
    </xf>
    <xf numFmtId="0" fontId="7" fillId="3" borderId="1" xfId="9" applyNumberFormat="1" applyFont="1" applyFill="1" applyBorder="1" applyAlignment="1" applyProtection="1">
      <alignment horizontal="center" vertical="top" wrapText="1"/>
    </xf>
    <xf numFmtId="0" fontId="5" fillId="3" borderId="7" xfId="9" applyFont="1" applyFill="1" applyBorder="1" applyAlignment="1" applyProtection="1">
      <alignment vertical="top" wrapText="1"/>
    </xf>
    <xf numFmtId="0" fontId="5" fillId="3" borderId="8" xfId="9" applyFont="1" applyFill="1" applyBorder="1" applyAlignment="1" applyProtection="1">
      <alignment vertical="top" wrapText="1"/>
    </xf>
    <xf numFmtId="0" fontId="7" fillId="3" borderId="8" xfId="9" applyFont="1" applyFill="1" applyBorder="1" applyAlignment="1" applyProtection="1">
      <alignment vertical="top"/>
    </xf>
    <xf numFmtId="4" fontId="7" fillId="3" borderId="9" xfId="9" applyNumberFormat="1" applyFont="1" applyFill="1" applyBorder="1" applyAlignment="1" applyProtection="1">
      <alignment horizontal="right"/>
    </xf>
    <xf numFmtId="0" fontId="7" fillId="3" borderId="63" xfId="9" applyNumberFormat="1" applyFont="1" applyFill="1" applyBorder="1" applyAlignment="1" applyProtection="1">
      <alignment horizontal="center" vertical="top" wrapText="1"/>
    </xf>
    <xf numFmtId="0" fontId="7" fillId="3" borderId="40" xfId="9" applyFont="1" applyFill="1" applyBorder="1" applyAlignment="1" applyProtection="1">
      <alignment vertical="top" wrapText="1"/>
    </xf>
    <xf numFmtId="0" fontId="7" fillId="3" borderId="40" xfId="9" applyFont="1" applyFill="1" applyBorder="1" applyAlignment="1" applyProtection="1">
      <alignment horizontal="center" vertical="top" wrapText="1"/>
    </xf>
    <xf numFmtId="4" fontId="7" fillId="3" borderId="32" xfId="9" applyNumberFormat="1" applyFont="1" applyFill="1" applyBorder="1" applyAlignment="1" applyProtection="1">
      <alignment horizontal="right"/>
    </xf>
    <xf numFmtId="0" fontId="7" fillId="3" borderId="62" xfId="9" applyNumberFormat="1" applyFont="1" applyFill="1" applyBorder="1" applyAlignment="1" applyProtection="1">
      <alignment horizontal="center" vertical="top" wrapText="1"/>
    </xf>
    <xf numFmtId="4" fontId="7" fillId="3" borderId="50" xfId="9" applyNumberFormat="1" applyFont="1" applyFill="1" applyBorder="1" applyAlignment="1" applyProtection="1">
      <alignment horizontal="right"/>
    </xf>
    <xf numFmtId="0" fontId="5" fillId="3" borderId="8" xfId="9" applyFont="1" applyFill="1" applyBorder="1" applyAlignment="1" applyProtection="1">
      <alignment horizontal="center" vertical="top" wrapText="1"/>
    </xf>
    <xf numFmtId="4" fontId="7" fillId="3" borderId="17" xfId="9" applyNumberFormat="1" applyFont="1" applyFill="1" applyBorder="1" applyAlignment="1" applyProtection="1">
      <alignment horizontal="right"/>
    </xf>
    <xf numFmtId="0" fontId="7" fillId="3" borderId="10" xfId="9" applyNumberFormat="1" applyFont="1" applyFill="1" applyBorder="1" applyAlignment="1" applyProtection="1">
      <alignment horizontal="center" vertical="top" wrapText="1"/>
    </xf>
    <xf numFmtId="0" fontId="7" fillId="3" borderId="10" xfId="9" applyFont="1" applyFill="1" applyBorder="1" applyAlignment="1" applyProtection="1">
      <alignment vertical="top" wrapText="1"/>
    </xf>
    <xf numFmtId="4" fontId="7" fillId="3" borderId="10" xfId="9" applyNumberFormat="1" applyFont="1" applyFill="1" applyBorder="1" applyAlignment="1" applyProtection="1">
      <alignment horizontal="right" vertical="top"/>
    </xf>
    <xf numFmtId="4" fontId="7" fillId="3" borderId="64" xfId="9" applyNumberFormat="1" applyFont="1" applyFill="1" applyBorder="1" applyAlignment="1" applyProtection="1">
      <alignment horizontal="right"/>
    </xf>
    <xf numFmtId="4" fontId="7" fillId="3" borderId="33" xfId="9" applyNumberFormat="1" applyFont="1" applyFill="1" applyBorder="1" applyAlignment="1" applyProtection="1">
      <alignment horizontal="right"/>
    </xf>
    <xf numFmtId="4" fontId="7" fillId="3" borderId="64" xfId="9" applyNumberFormat="1" applyFont="1" applyFill="1" applyBorder="1" applyAlignment="1" applyProtection="1">
      <alignment horizontal="right" vertical="top"/>
    </xf>
    <xf numFmtId="0" fontId="11" fillId="3" borderId="27" xfId="9" applyFont="1" applyFill="1" applyBorder="1" applyAlignment="1" applyProtection="1">
      <alignment vertical="top" wrapText="1"/>
    </xf>
    <xf numFmtId="0" fontId="18" fillId="0" borderId="0" xfId="0" applyFont="1"/>
    <xf numFmtId="0" fontId="18" fillId="0" borderId="0" xfId="0" applyFont="1" applyFill="1"/>
    <xf numFmtId="0" fontId="18" fillId="4" borderId="1" xfId="0" applyFont="1" applyFill="1" applyBorder="1"/>
    <xf numFmtId="0" fontId="18" fillId="0" borderId="0" xfId="0" applyFont="1" applyFill="1" applyAlignment="1"/>
    <xf numFmtId="43" fontId="18" fillId="0" borderId="0" xfId="7" applyFont="1" applyFill="1"/>
    <xf numFmtId="43" fontId="18" fillId="4" borderId="1" xfId="7" applyFont="1" applyFill="1" applyBorder="1"/>
    <xf numFmtId="4" fontId="19" fillId="0" borderId="0" xfId="0" applyNumberFormat="1" applyFont="1" applyFill="1"/>
    <xf numFmtId="43" fontId="18" fillId="4" borderId="1" xfId="7" applyFont="1" applyFill="1" applyBorder="1" applyAlignment="1">
      <alignment horizontal="center"/>
    </xf>
    <xf numFmtId="43" fontId="18" fillId="4" borderId="1" xfId="0" applyNumberFormat="1" applyFont="1" applyFill="1" applyBorder="1"/>
    <xf numFmtId="0" fontId="18" fillId="0" borderId="1" xfId="0" applyFont="1" applyBorder="1"/>
    <xf numFmtId="0" fontId="18" fillId="0" borderId="1" xfId="0" applyNumberFormat="1" applyFont="1" applyBorder="1"/>
    <xf numFmtId="49" fontId="18" fillId="0" borderId="1" xfId="0" applyNumberFormat="1" applyFont="1" applyFill="1" applyBorder="1"/>
    <xf numFmtId="0" fontId="18" fillId="0" borderId="1" xfId="0" applyNumberFormat="1" applyFont="1" applyFill="1" applyBorder="1"/>
    <xf numFmtId="0" fontId="18" fillId="0" borderId="1" xfId="0" applyFont="1" applyFill="1" applyBorder="1"/>
    <xf numFmtId="4" fontId="18" fillId="4" borderId="22" xfId="0" applyNumberFormat="1" applyFont="1" applyFill="1" applyBorder="1"/>
    <xf numFmtId="0" fontId="18" fillId="0" borderId="4" xfId="0" applyFont="1" applyFill="1" applyBorder="1"/>
    <xf numFmtId="0" fontId="18" fillId="0" borderId="12" xfId="0" applyFont="1" applyFill="1" applyBorder="1"/>
    <xf numFmtId="0" fontId="18" fillId="0" borderId="2" xfId="0" applyFont="1" applyBorder="1"/>
    <xf numFmtId="0" fontId="18" fillId="0" borderId="0" xfId="0" applyFont="1" applyBorder="1"/>
    <xf numFmtId="164" fontId="19" fillId="0" borderId="0" xfId="5" applyNumberFormat="1" applyFont="1" applyFill="1" applyBorder="1" applyAlignment="1"/>
    <xf numFmtId="0" fontId="18" fillId="0" borderId="0" xfId="0" applyFont="1" applyFill="1" applyBorder="1"/>
    <xf numFmtId="164" fontId="19" fillId="0" borderId="3" xfId="5" applyNumberFormat="1" applyFont="1" applyFill="1" applyBorder="1" applyAlignment="1"/>
    <xf numFmtId="0" fontId="18" fillId="0" borderId="0" xfId="0" applyFont="1" applyFill="1" applyBorder="1" applyAlignment="1"/>
    <xf numFmtId="0" fontId="18" fillId="0" borderId="3" xfId="0" applyFont="1" applyFill="1" applyBorder="1" applyAlignment="1"/>
    <xf numFmtId="0" fontId="18" fillId="0" borderId="0" xfId="0" applyFont="1" applyBorder="1" applyAlignment="1">
      <alignment horizontal="right"/>
    </xf>
    <xf numFmtId="2" fontId="19" fillId="0" borderId="0" xfId="0" applyNumberFormat="1" applyFont="1" applyFill="1" applyBorder="1" applyAlignment="1"/>
    <xf numFmtId="2" fontId="19" fillId="0" borderId="3" xfId="0" applyNumberFormat="1" applyFont="1" applyFill="1" applyBorder="1" applyAlignment="1"/>
    <xf numFmtId="0" fontId="18" fillId="0" borderId="3" xfId="0" applyFont="1" applyFill="1" applyBorder="1"/>
    <xf numFmtId="2" fontId="18" fillId="0" borderId="1" xfId="0" applyNumberFormat="1" applyFont="1" applyBorder="1"/>
    <xf numFmtId="43" fontId="19" fillId="0" borderId="1" xfId="0" applyNumberFormat="1" applyFont="1" applyFill="1" applyBorder="1" applyAlignment="1"/>
    <xf numFmtId="43" fontId="19" fillId="0" borderId="0" xfId="0" applyNumberFormat="1" applyFont="1" applyFill="1" applyBorder="1" applyAlignment="1"/>
    <xf numFmtId="43" fontId="19" fillId="0" borderId="3" xfId="0" applyNumberFormat="1" applyFont="1" applyFill="1" applyBorder="1" applyAlignment="1"/>
    <xf numFmtId="0" fontId="18" fillId="0" borderId="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5" xfId="0" applyFont="1" applyBorder="1"/>
    <xf numFmtId="0" fontId="18" fillId="0" borderId="5" xfId="0" applyFont="1" applyFill="1" applyBorder="1"/>
    <xf numFmtId="0" fontId="18" fillId="0" borderId="6" xfId="0" applyFont="1" applyFill="1" applyBorder="1"/>
    <xf numFmtId="0" fontId="19" fillId="0" borderId="0" xfId="0" applyFont="1" applyFill="1" applyAlignment="1"/>
    <xf numFmtId="0" fontId="19" fillId="0" borderId="0" xfId="3" applyFont="1" applyFill="1" applyAlignment="1"/>
    <xf numFmtId="0" fontId="19" fillId="0" borderId="0" xfId="3" applyFont="1" applyFill="1" applyAlignment="1">
      <alignment horizontal="left"/>
    </xf>
    <xf numFmtId="0" fontId="20" fillId="0" borderId="0" xfId="3" applyFont="1" applyFill="1" applyAlignment="1">
      <alignment horizontal="left"/>
    </xf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right"/>
    </xf>
    <xf numFmtId="0" fontId="18" fillId="4" borderId="1" xfId="0" applyFont="1" applyFill="1" applyBorder="1" applyAlignment="1">
      <alignment horizontal="right"/>
    </xf>
    <xf numFmtId="43" fontId="19" fillId="4" borderId="1" xfId="3" applyNumberFormat="1" applyFont="1" applyFill="1" applyBorder="1" applyAlignment="1"/>
    <xf numFmtId="43" fontId="19" fillId="0" borderId="0" xfId="7" applyFont="1" applyFill="1" applyBorder="1"/>
    <xf numFmtId="0" fontId="22" fillId="0" borderId="0" xfId="0" applyFont="1" applyAlignment="1"/>
    <xf numFmtId="0" fontId="18" fillId="0" borderId="0" xfId="0" applyFont="1" applyAlignment="1"/>
    <xf numFmtId="4" fontId="26" fillId="0" borderId="5" xfId="0" applyNumberFormat="1" applyFont="1" applyBorder="1"/>
    <xf numFmtId="49" fontId="26" fillId="0" borderId="0" xfId="0" applyNumberFormat="1" applyFont="1"/>
    <xf numFmtId="49" fontId="22" fillId="0" borderId="15" xfId="0" applyNumberFormat="1" applyFont="1" applyBorder="1" applyAlignment="1">
      <alignment horizontal="center"/>
    </xf>
    <xf numFmtId="0" fontId="27" fillId="0" borderId="0" xfId="0" applyFont="1"/>
    <xf numFmtId="0" fontId="24" fillId="0" borderId="5" xfId="0" applyFont="1" applyBorder="1"/>
    <xf numFmtId="2" fontId="22" fillId="0" borderId="5" xfId="10" applyNumberFormat="1" applyFont="1" applyBorder="1" applyAlignment="1">
      <alignment horizontal="right"/>
    </xf>
    <xf numFmtId="0" fontId="26" fillId="0" borderId="0" xfId="0" applyFont="1"/>
    <xf numFmtId="43" fontId="22" fillId="0" borderId="0" xfId="10" applyFont="1" applyAlignment="1">
      <alignment horizontal="center"/>
    </xf>
    <xf numFmtId="10" fontId="22" fillId="0" borderId="0" xfId="0" applyNumberFormat="1" applyFont="1"/>
    <xf numFmtId="0" fontId="22" fillId="0" borderId="0" xfId="8" applyNumberFormat="1" applyFont="1" applyAlignment="1">
      <alignment horizontal="center"/>
    </xf>
    <xf numFmtId="4" fontId="26" fillId="0" borderId="0" xfId="0" applyNumberFormat="1" applyFont="1" applyAlignment="1"/>
    <xf numFmtId="4" fontId="26" fillId="0" borderId="0" xfId="0" applyNumberFormat="1" applyFont="1" applyBorder="1" applyAlignment="1">
      <alignment horizontal="left"/>
    </xf>
    <xf numFmtId="43" fontId="28" fillId="0" borderId="0" xfId="0" applyNumberFormat="1" applyFont="1" applyBorder="1" applyAlignment="1"/>
    <xf numFmtId="0" fontId="22" fillId="0" borderId="5" xfId="0" applyFont="1" applyBorder="1" applyAlignment="1"/>
    <xf numFmtId="10" fontId="29" fillId="0" borderId="0" xfId="0" applyNumberFormat="1" applyFont="1" applyBorder="1" applyAlignment="1">
      <alignment horizontal="left"/>
    </xf>
    <xf numFmtId="0" fontId="22" fillId="0" borderId="0" xfId="0" applyFont="1" applyBorder="1"/>
    <xf numFmtId="43" fontId="22" fillId="0" borderId="0" xfId="0" applyNumberFormat="1" applyFont="1" applyBorder="1" applyAlignment="1"/>
    <xf numFmtId="9" fontId="24" fillId="0" borderId="0" xfId="0" applyNumberFormat="1" applyFont="1" applyBorder="1" applyAlignment="1"/>
    <xf numFmtId="0" fontId="22" fillId="0" borderId="5" xfId="0" applyFont="1" applyBorder="1"/>
    <xf numFmtId="2" fontId="22" fillId="0" borderId="5" xfId="0" applyNumberFormat="1" applyFont="1" applyBorder="1" applyAlignment="1">
      <alignment horizontal="right"/>
    </xf>
    <xf numFmtId="4" fontId="22" fillId="0" borderId="0" xfId="0" applyNumberFormat="1" applyFont="1"/>
    <xf numFmtId="2" fontId="22" fillId="0" borderId="0" xfId="0" applyNumberFormat="1" applyFont="1"/>
    <xf numFmtId="9" fontId="22" fillId="0" borderId="0" xfId="0" applyNumberFormat="1" applyFont="1" applyAlignment="1">
      <alignment horizontal="left"/>
    </xf>
    <xf numFmtId="166" fontId="22" fillId="0" borderId="0" xfId="10" applyNumberFormat="1" applyFont="1"/>
    <xf numFmtId="0" fontId="18" fillId="0" borderId="0" xfId="0" applyFont="1" applyAlignment="1">
      <alignment vertical="center"/>
    </xf>
    <xf numFmtId="0" fontId="28" fillId="0" borderId="0" xfId="0" applyFont="1" applyAlignment="1"/>
    <xf numFmtId="0" fontId="32" fillId="5" borderId="1" xfId="11" applyFont="1" applyFill="1" applyBorder="1" applyAlignment="1">
      <alignment horizontal="left"/>
    </xf>
    <xf numFmtId="3" fontId="31" fillId="0" borderId="1" xfId="11" applyNumberFormat="1" applyFont="1" applyFill="1" applyBorder="1" applyAlignment="1">
      <alignment horizontal="center" vertical="top" wrapText="1"/>
    </xf>
    <xf numFmtId="4" fontId="31" fillId="0" borderId="1" xfId="11" applyNumberFormat="1" applyFont="1" applyFill="1" applyBorder="1" applyAlignment="1">
      <alignment vertical="top" wrapText="1"/>
    </xf>
    <xf numFmtId="2" fontId="0" fillId="0" borderId="1" xfId="0" applyNumberFormat="1" applyBorder="1"/>
    <xf numFmtId="4" fontId="32" fillId="5" borderId="1" xfId="11" applyNumberFormat="1" applyFont="1" applyFill="1" applyBorder="1" applyAlignment="1">
      <alignment vertical="top" wrapText="1"/>
    </xf>
    <xf numFmtId="4" fontId="31" fillId="0" borderId="1" xfId="11" applyNumberFormat="1" applyFont="1" applyFill="1" applyBorder="1" applyAlignment="1">
      <alignment horizontal="left" vertical="top" wrapText="1"/>
    </xf>
    <xf numFmtId="4" fontId="32" fillId="0" borderId="1" xfId="11" applyNumberFormat="1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" fontId="31" fillId="3" borderId="1" xfId="11" applyNumberFormat="1" applyFont="1" applyFill="1" applyBorder="1" applyAlignment="1">
      <alignment vertical="top" wrapText="1"/>
    </xf>
    <xf numFmtId="2" fontId="0" fillId="3" borderId="1" xfId="0" applyNumberFormat="1" applyFill="1" applyBorder="1"/>
    <xf numFmtId="0" fontId="0" fillId="3" borderId="1" xfId="0" applyFill="1" applyBorder="1"/>
    <xf numFmtId="43" fontId="0" fillId="3" borderId="1" xfId="7" applyFont="1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2" fontId="0" fillId="0" borderId="1" xfId="0" applyNumberFormat="1" applyFill="1" applyBorder="1"/>
    <xf numFmtId="0" fontId="0" fillId="0" borderId="1" xfId="0" applyFill="1" applyBorder="1"/>
    <xf numFmtId="0" fontId="0" fillId="0" borderId="0" xfId="0" applyFill="1"/>
    <xf numFmtId="43" fontId="0" fillId="0" borderId="1" xfId="7" applyFont="1" applyBorder="1"/>
    <xf numFmtId="0" fontId="0" fillId="0" borderId="2" xfId="0" applyBorder="1"/>
    <xf numFmtId="0" fontId="0" fillId="0" borderId="3" xfId="0" applyBorder="1"/>
    <xf numFmtId="0" fontId="0" fillId="0" borderId="11" xfId="0" applyBorder="1"/>
    <xf numFmtId="0" fontId="0" fillId="0" borderId="9" xfId="0" applyBorder="1"/>
    <xf numFmtId="4" fontId="31" fillId="3" borderId="18" xfId="11" applyNumberFormat="1" applyFont="1" applyFill="1" applyBorder="1" applyAlignment="1">
      <alignment vertical="top" wrapText="1"/>
    </xf>
    <xf numFmtId="43" fontId="19" fillId="4" borderId="1" xfId="7" applyFont="1" applyFill="1" applyBorder="1" applyAlignment="1"/>
    <xf numFmtId="0" fontId="0" fillId="6" borderId="0" xfId="0" applyFill="1"/>
    <xf numFmtId="0" fontId="0" fillId="6" borderId="8" xfId="0" applyFill="1" applyBorder="1" applyAlignment="1"/>
    <xf numFmtId="0" fontId="0" fillId="6" borderId="8" xfId="0" applyFill="1" applyBorder="1" applyAlignment="1">
      <alignment horizontal="center"/>
    </xf>
    <xf numFmtId="4" fontId="31" fillId="6" borderId="1" xfId="11" applyNumberFormat="1" applyFont="1" applyFill="1" applyBorder="1" applyAlignment="1">
      <alignment vertical="top" wrapText="1"/>
    </xf>
    <xf numFmtId="2" fontId="0" fillId="6" borderId="1" xfId="0" applyNumberFormat="1" applyFill="1" applyBorder="1"/>
    <xf numFmtId="0" fontId="0" fillId="6" borderId="1" xfId="0" applyFill="1" applyBorder="1"/>
    <xf numFmtId="43" fontId="0" fillId="6" borderId="1" xfId="7" applyFont="1" applyFill="1" applyBorder="1"/>
    <xf numFmtId="4" fontId="31" fillId="6" borderId="22" xfId="11" applyNumberFormat="1" applyFont="1" applyFill="1" applyBorder="1" applyAlignment="1">
      <alignment horizontal="center" vertical="top" wrapText="1"/>
    </xf>
    <xf numFmtId="4" fontId="31" fillId="6" borderId="10" xfId="11" applyNumberFormat="1" applyFont="1" applyFill="1" applyBorder="1" applyAlignment="1">
      <alignment horizontal="center" vertical="top" wrapText="1"/>
    </xf>
    <xf numFmtId="2" fontId="0" fillId="6" borderId="22" xfId="0" applyNumberFormat="1" applyFill="1" applyBorder="1" applyAlignment="1">
      <alignment horizontal="center"/>
    </xf>
    <xf numFmtId="2" fontId="0" fillId="6" borderId="18" xfId="0" applyNumberFormat="1" applyFill="1" applyBorder="1" applyAlignment="1">
      <alignment horizontal="center"/>
    </xf>
    <xf numFmtId="2" fontId="0" fillId="6" borderId="10" xfId="0" applyNumberFormat="1" applyFill="1" applyBorder="1" applyAlignment="1">
      <alignment horizontal="center"/>
    </xf>
    <xf numFmtId="0" fontId="0" fillId="0" borderId="0" xfId="0" applyBorder="1"/>
    <xf numFmtId="43" fontId="0" fillId="0" borderId="0" xfId="0" applyNumberFormat="1"/>
    <xf numFmtId="43" fontId="0" fillId="0" borderId="1" xfId="7" applyFont="1" applyFill="1" applyBorder="1"/>
    <xf numFmtId="43" fontId="0" fillId="7" borderId="1" xfId="7" applyFont="1" applyFill="1" applyBorder="1"/>
    <xf numFmtId="43" fontId="18" fillId="0" borderId="0" xfId="0" applyNumberFormat="1" applyFont="1" applyFill="1"/>
    <xf numFmtId="43" fontId="18" fillId="0" borderId="0" xfId="0" applyNumberFormat="1" applyFont="1"/>
    <xf numFmtId="43" fontId="18" fillId="0" borderId="0" xfId="7" applyFont="1"/>
    <xf numFmtId="43" fontId="18" fillId="0" borderId="1" xfId="7" applyFont="1" applyBorder="1"/>
    <xf numFmtId="43" fontId="18" fillId="0" borderId="1" xfId="7" applyFont="1" applyFill="1" applyBorder="1"/>
    <xf numFmtId="43" fontId="0" fillId="0" borderId="1" xfId="0" applyNumberFormat="1" applyBorder="1"/>
    <xf numFmtId="4" fontId="19" fillId="0" borderId="0" xfId="0" applyNumberFormat="1" applyFont="1" applyFill="1" applyAlignment="1">
      <alignment horizontal="left" wrapText="1"/>
    </xf>
    <xf numFmtId="0" fontId="18" fillId="0" borderId="0" xfId="0" applyFont="1" applyAlignment="1">
      <alignment horizontal="left" wrapText="1"/>
    </xf>
    <xf numFmtId="0" fontId="23" fillId="0" borderId="0" xfId="0" applyFont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43" fontId="18" fillId="4" borderId="10" xfId="7" applyFont="1" applyFill="1" applyBorder="1"/>
    <xf numFmtId="4" fontId="5" fillId="0" borderId="65" xfId="9" applyNumberFormat="1" applyFont="1" applyBorder="1" applyAlignment="1" applyProtection="1">
      <alignment horizontal="center" vertical="top" wrapText="1"/>
    </xf>
    <xf numFmtId="0" fontId="5" fillId="0" borderId="66" xfId="9" applyFont="1" applyBorder="1" applyAlignment="1" applyProtection="1">
      <alignment vertical="top" wrapText="1"/>
    </xf>
    <xf numFmtId="4" fontId="5" fillId="0" borderId="67" xfId="9" applyNumberFormat="1" applyFont="1" applyBorder="1" applyAlignment="1" applyProtection="1">
      <alignment vertical="top" wrapText="1"/>
    </xf>
    <xf numFmtId="0" fontId="18" fillId="0" borderId="5" xfId="0" applyFont="1" applyBorder="1" applyAlignment="1"/>
    <xf numFmtId="0" fontId="18" fillId="0" borderId="0" xfId="0" applyFont="1" applyAlignment="1">
      <alignment wrapText="1"/>
    </xf>
    <xf numFmtId="43" fontId="0" fillId="0" borderId="0" xfId="7" applyFont="1"/>
    <xf numFmtId="2" fontId="0" fillId="0" borderId="0" xfId="0" applyNumberFormat="1"/>
    <xf numFmtId="0" fontId="26" fillId="0" borderId="0" xfId="0" applyFont="1" applyBorder="1" applyAlignment="1"/>
    <xf numFmtId="0" fontId="34" fillId="0" borderId="0" xfId="0" applyFont="1" applyAlignment="1"/>
    <xf numFmtId="0" fontId="26" fillId="0" borderId="5" xfId="0" applyNumberFormat="1" applyFont="1" applyBorder="1" applyAlignment="1">
      <alignment horizontal="center"/>
    </xf>
    <xf numFmtId="4" fontId="18" fillId="4" borderId="1" xfId="0" applyNumberFormat="1" applyFont="1" applyFill="1" applyBorder="1" applyAlignment="1"/>
    <xf numFmtId="43" fontId="24" fillId="0" borderId="0" xfId="10" applyFont="1" applyBorder="1" applyAlignment="1">
      <alignment horizontal="center"/>
    </xf>
    <xf numFmtId="9" fontId="19" fillId="0" borderId="0" xfId="0" applyNumberFormat="1" applyFont="1" applyBorder="1" applyAlignment="1">
      <alignment vertical="center"/>
    </xf>
    <xf numFmtId="0" fontId="0" fillId="0" borderId="0" xfId="0" applyFill="1" applyAlignment="1"/>
    <xf numFmtId="0" fontId="0" fillId="0" borderId="7" xfId="0" applyFill="1" applyBorder="1" applyAlignment="1">
      <alignment horizontal="right"/>
    </xf>
    <xf numFmtId="166" fontId="0" fillId="0" borderId="8" xfId="7" applyNumberFormat="1" applyFont="1" applyFill="1" applyBorder="1"/>
    <xf numFmtId="166" fontId="0" fillId="0" borderId="0" xfId="7" applyNumberFormat="1" applyFont="1"/>
    <xf numFmtId="2" fontId="7" fillId="0" borderId="27" xfId="9" applyNumberFormat="1" applyFont="1" applyBorder="1" applyAlignment="1" applyProtection="1">
      <alignment vertical="top" wrapText="1"/>
    </xf>
    <xf numFmtId="0" fontId="18" fillId="0" borderId="0" xfId="0" applyFont="1" applyAlignment="1">
      <alignment horizontal="left"/>
    </xf>
    <xf numFmtId="43" fontId="22" fillId="0" borderId="0" xfId="10" applyFont="1" applyBorder="1" applyAlignment="1">
      <alignment horizontal="center"/>
    </xf>
    <xf numFmtId="2" fontId="22" fillId="0" borderId="0" xfId="0" applyNumberFormat="1" applyFont="1" applyBorder="1"/>
    <xf numFmtId="0" fontId="24" fillId="0" borderId="0" xfId="0" applyFont="1" applyBorder="1"/>
    <xf numFmtId="2" fontId="18" fillId="0" borderId="0" xfId="10" applyNumberFormat="1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2" fontId="18" fillId="0" borderId="0" xfId="10" applyNumberFormat="1" applyFont="1" applyBorder="1" applyAlignment="1">
      <alignment horizontal="right"/>
    </xf>
    <xf numFmtId="2" fontId="35" fillId="0" borderId="8" xfId="0" applyNumberFormat="1" applyFont="1" applyFill="1" applyBorder="1"/>
    <xf numFmtId="2" fontId="18" fillId="0" borderId="5" xfId="0" applyNumberFormat="1" applyFont="1" applyBorder="1"/>
    <xf numFmtId="2" fontId="37" fillId="0" borderId="0" xfId="10" applyNumberFormat="1" applyFont="1" applyBorder="1" applyAlignment="1">
      <alignment horizontal="center"/>
    </xf>
    <xf numFmtId="2" fontId="37" fillId="0" borderId="0" xfId="10" applyNumberFormat="1" applyFont="1" applyBorder="1" applyAlignment="1">
      <alignment horizontal="left"/>
    </xf>
    <xf numFmtId="2" fontId="18" fillId="0" borderId="8" xfId="0" applyNumberFormat="1" applyFont="1" applyBorder="1"/>
    <xf numFmtId="43" fontId="24" fillId="0" borderId="0" xfId="10" applyFont="1" applyBorder="1" applyAlignment="1">
      <alignment horizontal="center"/>
    </xf>
    <xf numFmtId="43" fontId="22" fillId="0" borderId="5" xfId="10" applyFont="1" applyBorder="1" applyAlignment="1">
      <alignment horizontal="right"/>
    </xf>
    <xf numFmtId="2" fontId="26" fillId="0" borderId="0" xfId="0" applyNumberFormat="1" applyFont="1"/>
    <xf numFmtId="0" fontId="0" fillId="0" borderId="0" xfId="0"/>
    <xf numFmtId="43" fontId="0" fillId="0" borderId="0" xfId="7" applyFont="1"/>
    <xf numFmtId="2" fontId="0" fillId="0" borderId="0" xfId="0" applyNumberFormat="1"/>
    <xf numFmtId="4" fontId="0" fillId="0" borderId="0" xfId="0" applyNumberFormat="1"/>
    <xf numFmtId="43" fontId="0" fillId="0" borderId="9" xfId="7" applyNumberFormat="1" applyFont="1" applyFill="1" applyBorder="1"/>
    <xf numFmtId="49" fontId="39" fillId="0" borderId="5" xfId="0" applyNumberFormat="1" applyFont="1" applyBorder="1" applyAlignment="1">
      <alignment horizontal="center"/>
    </xf>
    <xf numFmtId="2" fontId="0" fillId="0" borderId="0" xfId="0" applyNumberFormat="1" applyFill="1"/>
    <xf numFmtId="2" fontId="35" fillId="0" borderId="0" xfId="0" applyNumberFormat="1" applyFont="1" applyFill="1"/>
    <xf numFmtId="164" fontId="7" fillId="0" borderId="27" xfId="9" applyNumberFormat="1" applyFont="1" applyBorder="1" applyAlignment="1" applyProtection="1">
      <alignment vertical="top" wrapText="1"/>
    </xf>
    <xf numFmtId="43" fontId="0" fillId="0" borderId="1" xfId="7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4" fontId="31" fillId="0" borderId="22" xfId="11" applyNumberFormat="1" applyFont="1" applyFill="1" applyBorder="1" applyAlignment="1">
      <alignment horizontal="center" vertical="top" wrapText="1"/>
    </xf>
    <xf numFmtId="4" fontId="31" fillId="0" borderId="10" xfId="11" applyNumberFormat="1" applyFont="1" applyFill="1" applyBorder="1" applyAlignment="1">
      <alignment horizontal="center" vertical="top" wrapText="1"/>
    </xf>
    <xf numFmtId="0" fontId="11" fillId="0" borderId="16" xfId="9" applyFont="1" applyFill="1" applyBorder="1" applyAlignment="1" applyProtection="1">
      <alignment horizontal="center" vertical="top" wrapText="1"/>
    </xf>
    <xf numFmtId="0" fontId="13" fillId="3" borderId="0" xfId="9" applyNumberFormat="1" applyFont="1" applyFill="1" applyBorder="1" applyAlignment="1" applyProtection="1">
      <alignment horizontal="left" vertical="top" wrapText="1"/>
    </xf>
    <xf numFmtId="0" fontId="11" fillId="0" borderId="4" xfId="9" applyFont="1" applyFill="1" applyBorder="1" applyAlignment="1" applyProtection="1">
      <alignment horizontal="center" vertical="top" wrapText="1"/>
    </xf>
    <xf numFmtId="0" fontId="13" fillId="0" borderId="0" xfId="9" applyNumberFormat="1" applyFont="1" applyBorder="1" applyAlignment="1" applyProtection="1">
      <alignment horizontal="left" vertical="top" wrapText="1"/>
    </xf>
    <xf numFmtId="0" fontId="15" fillId="0" borderId="0" xfId="9" applyFont="1" applyFill="1" applyBorder="1" applyAlignment="1" applyProtection="1">
      <alignment horizontal="center" vertical="top" wrapText="1"/>
    </xf>
    <xf numFmtId="43" fontId="24" fillId="0" borderId="0" xfId="7" applyFont="1" applyFill="1" applyAlignment="1">
      <alignment horizontal="center"/>
    </xf>
    <xf numFmtId="43" fontId="24" fillId="4" borderId="0" xfId="7" applyFont="1" applyFill="1" applyAlignment="1">
      <alignment horizontal="center"/>
    </xf>
    <xf numFmtId="0" fontId="18" fillId="0" borderId="1" xfId="0" applyFont="1" applyBorder="1" applyAlignment="1">
      <alignment horizontal="center"/>
    </xf>
    <xf numFmtId="2" fontId="19" fillId="0" borderId="0" xfId="0" applyNumberFormat="1" applyFont="1" applyFill="1" applyBorder="1" applyAlignment="1">
      <alignment horizontal="right"/>
    </xf>
    <xf numFmtId="43" fontId="19" fillId="0" borderId="1" xfId="0" applyNumberFormat="1" applyFont="1" applyFill="1" applyBorder="1" applyAlignment="1">
      <alignment horizontal="center"/>
    </xf>
    <xf numFmtId="0" fontId="24" fillId="0" borderId="0" xfId="3" applyFont="1" applyFill="1" applyAlignment="1">
      <alignment horizontal="right"/>
    </xf>
    <xf numFmtId="0" fontId="21" fillId="4" borderId="0" xfId="0" applyFont="1" applyFill="1" applyAlignment="1">
      <alignment horizontal="center"/>
    </xf>
    <xf numFmtId="2" fontId="19" fillId="0" borderId="1" xfId="0" applyNumberFormat="1" applyFont="1" applyFill="1" applyBorder="1" applyAlignment="1">
      <alignment horizontal="center"/>
    </xf>
    <xf numFmtId="0" fontId="18" fillId="0" borderId="4" xfId="0" applyFont="1" applyBorder="1" applyAlignment="1">
      <alignment horizontal="right"/>
    </xf>
    <xf numFmtId="164" fontId="18" fillId="0" borderId="7" xfId="0" applyNumberFormat="1" applyFont="1" applyBorder="1" applyAlignment="1">
      <alignment horizontal="center"/>
    </xf>
    <xf numFmtId="164" fontId="18" fillId="0" borderId="9" xfId="0" applyNumberFormat="1" applyFont="1" applyBorder="1" applyAlignment="1">
      <alignment horizontal="center"/>
    </xf>
    <xf numFmtId="43" fontId="19" fillId="0" borderId="11" xfId="0" applyNumberFormat="1" applyFont="1" applyFill="1" applyBorder="1" applyAlignment="1">
      <alignment horizontal="center"/>
    </xf>
    <xf numFmtId="43" fontId="19" fillId="0" borderId="6" xfId="0" applyNumberFormat="1" applyFont="1" applyFill="1" applyBorder="1" applyAlignment="1">
      <alignment horizontal="center"/>
    </xf>
    <xf numFmtId="4" fontId="18" fillId="0" borderId="4" xfId="0" applyNumberFormat="1" applyFont="1" applyBorder="1" applyAlignment="1">
      <alignment horizontal="center"/>
    </xf>
    <xf numFmtId="43" fontId="18" fillId="4" borderId="7" xfId="0" applyNumberFormat="1" applyFont="1" applyFill="1" applyBorder="1" applyAlignment="1">
      <alignment horizontal="center"/>
    </xf>
    <xf numFmtId="43" fontId="18" fillId="4" borderId="9" xfId="0" applyNumberFormat="1" applyFont="1" applyFill="1" applyBorder="1" applyAlignment="1">
      <alignment horizontal="center"/>
    </xf>
    <xf numFmtId="43" fontId="18" fillId="0" borderId="4" xfId="7" applyFont="1" applyFill="1" applyBorder="1" applyAlignment="1">
      <alignment horizontal="center"/>
    </xf>
    <xf numFmtId="2" fontId="18" fillId="4" borderId="1" xfId="0" applyNumberFormat="1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43" fontId="41" fillId="0" borderId="0" xfId="10" applyFont="1" applyBorder="1" applyAlignment="1">
      <alignment horizontal="right"/>
    </xf>
    <xf numFmtId="43" fontId="22" fillId="0" borderId="5" xfId="10" applyFont="1" applyBorder="1" applyAlignment="1">
      <alignment horizontal="center"/>
    </xf>
    <xf numFmtId="0" fontId="22" fillId="0" borderId="0" xfId="0" applyFont="1" applyAlignment="1">
      <alignment horizontal="center"/>
    </xf>
    <xf numFmtId="49" fontId="40" fillId="0" borderId="5" xfId="0" applyNumberFormat="1" applyFont="1" applyBorder="1" applyAlignment="1">
      <alignment horizontal="left" wrapText="1"/>
    </xf>
    <xf numFmtId="49" fontId="26" fillId="0" borderId="5" xfId="0" applyNumberFormat="1" applyFont="1" applyBorder="1" applyAlignment="1">
      <alignment horizontal="left"/>
    </xf>
    <xf numFmtId="49" fontId="26" fillId="0" borderId="8" xfId="0" applyNumberFormat="1" applyFont="1" applyBorder="1" applyAlignment="1">
      <alignment horizontal="left"/>
    </xf>
    <xf numFmtId="4" fontId="26" fillId="0" borderId="5" xfId="0" applyNumberFormat="1" applyFont="1" applyBorder="1" applyAlignment="1">
      <alignment horizontal="center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left" wrapText="1"/>
    </xf>
    <xf numFmtId="0" fontId="22" fillId="0" borderId="0" xfId="0" applyFont="1" applyBorder="1" applyAlignment="1">
      <alignment horizontal="left"/>
    </xf>
    <xf numFmtId="0" fontId="38" fillId="0" borderId="5" xfId="0" applyFont="1" applyBorder="1" applyAlignment="1">
      <alignment horizontal="center" wrapText="1"/>
    </xf>
    <xf numFmtId="49" fontId="26" fillId="0" borderId="5" xfId="0" applyNumberFormat="1" applyFont="1" applyBorder="1" applyAlignment="1">
      <alignment horizontal="center"/>
    </xf>
    <xf numFmtId="0" fontId="22" fillId="0" borderId="0" xfId="0" applyFont="1" applyAlignment="1">
      <alignment horizontal="right"/>
    </xf>
    <xf numFmtId="43" fontId="28" fillId="0" borderId="8" xfId="0" applyNumberFormat="1" applyFont="1" applyBorder="1" applyAlignment="1">
      <alignment horizontal="center"/>
    </xf>
    <xf numFmtId="43" fontId="28" fillId="0" borderId="5" xfId="0" applyNumberFormat="1" applyFont="1" applyBorder="1" applyAlignment="1"/>
    <xf numFmtId="43" fontId="28" fillId="0" borderId="5" xfId="0" applyNumberFormat="1" applyFont="1" applyBorder="1" applyAlignment="1">
      <alignment horizontal="center"/>
    </xf>
    <xf numFmtId="43" fontId="22" fillId="0" borderId="15" xfId="0" applyNumberFormat="1" applyFont="1" applyBorder="1" applyAlignment="1">
      <alignment horizontal="center"/>
    </xf>
    <xf numFmtId="43" fontId="24" fillId="0" borderId="0" xfId="1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49" fontId="19" fillId="0" borderId="0" xfId="0" applyNumberFormat="1" applyFont="1" applyBorder="1" applyAlignment="1">
      <alignment horizontal="left" vertical="top" wrapText="1"/>
    </xf>
    <xf numFmtId="49" fontId="19" fillId="0" borderId="0" xfId="0" applyNumberFormat="1" applyFont="1" applyBorder="1" applyAlignment="1">
      <alignment horizontal="left" vertical="top"/>
    </xf>
    <xf numFmtId="0" fontId="18" fillId="0" borderId="0" xfId="0" applyFont="1" applyAlignment="1">
      <alignment horizontal="left"/>
    </xf>
    <xf numFmtId="2" fontId="36" fillId="0" borderId="0" xfId="0" applyNumberFormat="1" applyFont="1" applyBorder="1" applyAlignment="1">
      <alignment horizontal="right" wrapText="1"/>
    </xf>
    <xf numFmtId="0" fontId="22" fillId="0" borderId="5" xfId="0" applyFont="1" applyBorder="1" applyAlignment="1">
      <alignment horizontal="left" wrapText="1"/>
    </xf>
    <xf numFmtId="0" fontId="18" fillId="0" borderId="0" xfId="0" applyFont="1" applyBorder="1" applyAlignment="1">
      <alignment horizontal="left"/>
    </xf>
    <xf numFmtId="0" fontId="18" fillId="0" borderId="0" xfId="0" applyFont="1" applyBorder="1" applyAlignment="1">
      <alignment horizontal="center"/>
    </xf>
  </cellXfs>
  <cellStyles count="15">
    <cellStyle name="Comma" xfId="7" builtinId="3"/>
    <cellStyle name="Comma 2" xfId="10"/>
    <cellStyle name="Comma 3" xfId="4"/>
    <cellStyle name="Normal" xfId="0" builtinId="0"/>
    <cellStyle name="Normal 2" xfId="9"/>
    <cellStyle name="Normal 2 2" xfId="12"/>
    <cellStyle name="Normal 2 4" xfId="1"/>
    <cellStyle name="Normal 3" xfId="11"/>
    <cellStyle name="Normal 3 2" xfId="2"/>
    <cellStyle name="Normal 4 2" xfId="13"/>
    <cellStyle name="Normal 5 2" xfId="14"/>
    <cellStyle name="Normal 6" xfId="3"/>
    <cellStyle name="Normal 6 2" xfId="6"/>
    <cellStyle name="Normal 9" xfId="5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28575</xdr:colOff>
      <xdr:row>0</xdr:row>
      <xdr:rowOff>523874</xdr:rowOff>
    </xdr:to>
    <xdr:pic>
      <xdr:nvPicPr>
        <xdr:cNvPr id="2" name="Picture 1" descr="C:\Users\opti-3060\Desktop\logo2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2438400" cy="5143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28575</xdr:colOff>
      <xdr:row>0</xdr:row>
      <xdr:rowOff>523874</xdr:rowOff>
    </xdr:to>
    <xdr:pic>
      <xdr:nvPicPr>
        <xdr:cNvPr id="2" name="Picture 1" descr="C:\Users\opti-3060\Desktop\logo2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2438400" cy="5143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28575</xdr:colOff>
      <xdr:row>0</xdr:row>
      <xdr:rowOff>523874</xdr:rowOff>
    </xdr:to>
    <xdr:pic>
      <xdr:nvPicPr>
        <xdr:cNvPr id="2" name="Picture 1" descr="C:\Users\opti-3060\Desktop\logo2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2438400" cy="5143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1828800</xdr:colOff>
      <xdr:row>0</xdr:row>
      <xdr:rowOff>523874</xdr:rowOff>
    </xdr:to>
    <xdr:pic>
      <xdr:nvPicPr>
        <xdr:cNvPr id="2" name="Picture 1" descr="C:\Users\opti-3060\Desktop\logo2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2438400" cy="5143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1495712</xdr:colOff>
      <xdr:row>5</xdr:row>
      <xdr:rowOff>28575</xdr:rowOff>
    </xdr:to>
    <xdr:pic>
      <xdr:nvPicPr>
        <xdr:cNvPr id="2" name="Picture 1" descr="C:\Users\opti-3060\Desktop\logo2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76874" cy="1028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74</xdr:row>
      <xdr:rowOff>76200</xdr:rowOff>
    </xdr:from>
    <xdr:to>
      <xdr:col>2</xdr:col>
      <xdr:colOff>404812</xdr:colOff>
      <xdr:row>76</xdr:row>
      <xdr:rowOff>0</xdr:rowOff>
    </xdr:to>
    <xdr:sp macro="" textlink="">
      <xdr:nvSpPr>
        <xdr:cNvPr id="41" name="Freeform 40"/>
        <xdr:cNvSpPr/>
      </xdr:nvSpPr>
      <xdr:spPr>
        <a:xfrm>
          <a:off x="790575" y="13258800"/>
          <a:ext cx="509587" cy="962025"/>
        </a:xfrm>
        <a:custGeom>
          <a:avLst/>
          <a:gdLst>
            <a:gd name="connsiteX0" fmla="*/ 53975 w 509587"/>
            <a:gd name="connsiteY0" fmla="*/ 0 h 962025"/>
            <a:gd name="connsiteX1" fmla="*/ 501650 w 509587"/>
            <a:gd name="connsiteY1" fmla="*/ 285750 h 962025"/>
            <a:gd name="connsiteX2" fmla="*/ 6350 w 509587"/>
            <a:gd name="connsiteY2" fmla="*/ 666750 h 962025"/>
            <a:gd name="connsiteX3" fmla="*/ 463550 w 509587"/>
            <a:gd name="connsiteY3" fmla="*/ 962025 h 9620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09587" h="962025">
              <a:moveTo>
                <a:pt x="53975" y="0"/>
              </a:moveTo>
              <a:cubicBezTo>
                <a:pt x="281781" y="87312"/>
                <a:pt x="509587" y="174625"/>
                <a:pt x="501650" y="285750"/>
              </a:cubicBezTo>
              <a:cubicBezTo>
                <a:pt x="493713" y="396875"/>
                <a:pt x="12700" y="554038"/>
                <a:pt x="6350" y="666750"/>
              </a:cubicBezTo>
              <a:cubicBezTo>
                <a:pt x="0" y="779462"/>
                <a:pt x="384175" y="938213"/>
                <a:pt x="463550" y="9620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219075</xdr:colOff>
      <xdr:row>74</xdr:row>
      <xdr:rowOff>85726</xdr:rowOff>
    </xdr:from>
    <xdr:to>
      <xdr:col>5</xdr:col>
      <xdr:colOff>119062</xdr:colOff>
      <xdr:row>76</xdr:row>
      <xdr:rowOff>47625</xdr:rowOff>
    </xdr:to>
    <xdr:sp macro="" textlink="">
      <xdr:nvSpPr>
        <xdr:cNvPr id="44" name="Freeform 43"/>
        <xdr:cNvSpPr/>
      </xdr:nvSpPr>
      <xdr:spPr>
        <a:xfrm>
          <a:off x="2227263" y="17000539"/>
          <a:ext cx="384174" cy="596899"/>
        </a:xfrm>
        <a:custGeom>
          <a:avLst/>
          <a:gdLst>
            <a:gd name="connsiteX0" fmla="*/ 53975 w 509587"/>
            <a:gd name="connsiteY0" fmla="*/ 0 h 962025"/>
            <a:gd name="connsiteX1" fmla="*/ 501650 w 509587"/>
            <a:gd name="connsiteY1" fmla="*/ 285750 h 962025"/>
            <a:gd name="connsiteX2" fmla="*/ 6350 w 509587"/>
            <a:gd name="connsiteY2" fmla="*/ 666750 h 962025"/>
            <a:gd name="connsiteX3" fmla="*/ 463550 w 509587"/>
            <a:gd name="connsiteY3" fmla="*/ 962025 h 9620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09587" h="962025">
              <a:moveTo>
                <a:pt x="53975" y="0"/>
              </a:moveTo>
              <a:cubicBezTo>
                <a:pt x="281781" y="87312"/>
                <a:pt x="509587" y="174625"/>
                <a:pt x="501650" y="285750"/>
              </a:cubicBezTo>
              <a:cubicBezTo>
                <a:pt x="493713" y="396875"/>
                <a:pt x="12700" y="554038"/>
                <a:pt x="6350" y="666750"/>
              </a:cubicBezTo>
              <a:cubicBezTo>
                <a:pt x="0" y="779462"/>
                <a:pt x="384175" y="938213"/>
                <a:pt x="463550" y="9620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581025</xdr:colOff>
      <xdr:row>74</xdr:row>
      <xdr:rowOff>9525</xdr:rowOff>
    </xdr:from>
    <xdr:to>
      <xdr:col>7</xdr:col>
      <xdr:colOff>481012</xdr:colOff>
      <xdr:row>76</xdr:row>
      <xdr:rowOff>0</xdr:rowOff>
    </xdr:to>
    <xdr:sp macro="" textlink="">
      <xdr:nvSpPr>
        <xdr:cNvPr id="45" name="Freeform 44"/>
        <xdr:cNvSpPr/>
      </xdr:nvSpPr>
      <xdr:spPr>
        <a:xfrm>
          <a:off x="3914775" y="13192125"/>
          <a:ext cx="509587" cy="962025"/>
        </a:xfrm>
        <a:custGeom>
          <a:avLst/>
          <a:gdLst>
            <a:gd name="connsiteX0" fmla="*/ 53975 w 509587"/>
            <a:gd name="connsiteY0" fmla="*/ 0 h 962025"/>
            <a:gd name="connsiteX1" fmla="*/ 501650 w 509587"/>
            <a:gd name="connsiteY1" fmla="*/ 285750 h 962025"/>
            <a:gd name="connsiteX2" fmla="*/ 6350 w 509587"/>
            <a:gd name="connsiteY2" fmla="*/ 666750 h 962025"/>
            <a:gd name="connsiteX3" fmla="*/ 463550 w 509587"/>
            <a:gd name="connsiteY3" fmla="*/ 962025 h 9620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09587" h="962025">
              <a:moveTo>
                <a:pt x="53975" y="0"/>
              </a:moveTo>
              <a:cubicBezTo>
                <a:pt x="281781" y="87312"/>
                <a:pt x="509587" y="174625"/>
                <a:pt x="501650" y="285750"/>
              </a:cubicBezTo>
              <a:cubicBezTo>
                <a:pt x="493713" y="396875"/>
                <a:pt x="12700" y="554038"/>
                <a:pt x="6350" y="666750"/>
              </a:cubicBezTo>
              <a:cubicBezTo>
                <a:pt x="0" y="779462"/>
                <a:pt x="384175" y="938213"/>
                <a:pt x="463550" y="9620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171450</xdr:rowOff>
    </xdr:from>
    <xdr:to>
      <xdr:col>3</xdr:col>
      <xdr:colOff>132911</xdr:colOff>
      <xdr:row>3</xdr:row>
      <xdr:rowOff>244475</xdr:rowOff>
    </xdr:to>
    <xdr:pic>
      <xdr:nvPicPr>
        <xdr:cNvPr id="46" name="Picture 45" descr="C:\Users\opti-3060\Desktop\logo2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"/>
          <a:ext cx="1475936" cy="1016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73</xdr:row>
          <xdr:rowOff>171450</xdr:rowOff>
        </xdr:from>
        <xdr:to>
          <xdr:col>8</xdr:col>
          <xdr:colOff>342900</xdr:colOff>
          <xdr:row>74</xdr:row>
          <xdr:rowOff>66675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342900</xdr:colOff>
          <xdr:row>73</xdr:row>
          <xdr:rowOff>161925</xdr:rowOff>
        </xdr:from>
        <xdr:to>
          <xdr:col>5</xdr:col>
          <xdr:colOff>76200</xdr:colOff>
          <xdr:row>74</xdr:row>
          <xdr:rowOff>57150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409575</xdr:colOff>
          <xdr:row>73</xdr:row>
          <xdr:rowOff>152400</xdr:rowOff>
        </xdr:from>
        <xdr:to>
          <xdr:col>2</xdr:col>
          <xdr:colOff>219075</xdr:colOff>
          <xdr:row>74</xdr:row>
          <xdr:rowOff>47625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190500</xdr:colOff>
          <xdr:row>10</xdr:row>
          <xdr:rowOff>171450</xdr:rowOff>
        </xdr:from>
        <xdr:to>
          <xdr:col>9</xdr:col>
          <xdr:colOff>390525</xdr:colOff>
          <xdr:row>10</xdr:row>
          <xdr:rowOff>371475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180975</xdr:colOff>
          <xdr:row>11</xdr:row>
          <xdr:rowOff>114300</xdr:rowOff>
        </xdr:from>
        <xdr:to>
          <xdr:col>9</xdr:col>
          <xdr:colOff>381000</xdr:colOff>
          <xdr:row>12</xdr:row>
          <xdr:rowOff>0</xdr:rowOff>
        </xdr:to>
        <xdr:sp macro="" textlink="">
          <xdr:nvSpPr>
            <xdr:cNvPr id="6171" name="Check Box 27" hidden="1">
              <a:extLst>
                <a:ext uri="{63B3BB69-23CF-44E3-9099-C40C66FF867C}">
                  <a14:compatExt spid="_x0000_s6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180975</xdr:colOff>
          <xdr:row>12</xdr:row>
          <xdr:rowOff>114300</xdr:rowOff>
        </xdr:from>
        <xdr:to>
          <xdr:col>9</xdr:col>
          <xdr:colOff>381000</xdr:colOff>
          <xdr:row>13</xdr:row>
          <xdr:rowOff>9525</xdr:rowOff>
        </xdr:to>
        <xdr:sp macro="" textlink="">
          <xdr:nvSpPr>
            <xdr:cNvPr id="6172" name="Check Box 28" hidden="1">
              <a:extLst>
                <a:ext uri="{63B3BB69-23CF-44E3-9099-C40C66FF867C}">
                  <a14:compatExt spid="_x0000_s61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161925</xdr:colOff>
          <xdr:row>16</xdr:row>
          <xdr:rowOff>114300</xdr:rowOff>
        </xdr:from>
        <xdr:to>
          <xdr:col>4</xdr:col>
          <xdr:colOff>361950</xdr:colOff>
          <xdr:row>17</xdr:row>
          <xdr:rowOff>9525</xdr:rowOff>
        </xdr:to>
        <xdr:sp macro="" textlink="">
          <xdr:nvSpPr>
            <xdr:cNvPr id="6173" name="Check Box 29" hidden="1">
              <a:extLst>
                <a:ext uri="{63B3BB69-23CF-44E3-9099-C40C66FF867C}">
                  <a14:compatExt spid="_x0000_s6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16</xdr:row>
          <xdr:rowOff>133350</xdr:rowOff>
        </xdr:from>
        <xdr:to>
          <xdr:col>6</xdr:col>
          <xdr:colOff>381000</xdr:colOff>
          <xdr:row>17</xdr:row>
          <xdr:rowOff>19050</xdr:rowOff>
        </xdr:to>
        <xdr:sp macro="" textlink="">
          <xdr:nvSpPr>
            <xdr:cNvPr id="6174" name="Check Box 30" hidden="1">
              <a:extLst>
                <a:ext uri="{63B3BB69-23CF-44E3-9099-C40C66FF867C}">
                  <a14:compatExt spid="_x0000_s6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180975</xdr:colOff>
          <xdr:row>16</xdr:row>
          <xdr:rowOff>114300</xdr:rowOff>
        </xdr:from>
        <xdr:to>
          <xdr:col>9</xdr:col>
          <xdr:colOff>381000</xdr:colOff>
          <xdr:row>17</xdr:row>
          <xdr:rowOff>0</xdr:rowOff>
        </xdr:to>
        <xdr:sp macro="" textlink="">
          <xdr:nvSpPr>
            <xdr:cNvPr id="6175" name="Check Box 31" hidden="1">
              <a:extLst>
                <a:ext uri="{63B3BB69-23CF-44E3-9099-C40C66FF867C}">
                  <a14:compatExt spid="_x0000_s61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egagen%20Bank/Estimation/2018/Old%20Rate%202018/Staff/Hawassa/Demela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reciation"/>
      <sheetName val="Fence &amp; Compound"/>
      <sheetName val="Location "/>
      <sheetName val="EXTERNAL SN&amp;EL"/>
      <sheetName val="E.Form"/>
      <sheetName val="Manual Multi Purpose"/>
      <sheetName val="Cities"/>
      <sheetName val="Manual"/>
      <sheetName val="specification"/>
      <sheetName val="Sheet1"/>
      <sheetName val="Sheet2"/>
      <sheetName val="Sheet3"/>
    </sheetNames>
    <sheetDataSet>
      <sheetData sheetId="0"/>
      <sheetData sheetId="1"/>
      <sheetData sheetId="2">
        <row r="125">
          <cell r="C125" t="str">
            <v>Internal Structure</v>
          </cell>
        </row>
        <row r="126">
          <cell r="C126" t="str">
            <v>External Elecrical &amp; Sanitary Works</v>
          </cell>
        </row>
        <row r="127">
          <cell r="C127" t="str">
            <v>Fence &amp; compound =</v>
          </cell>
        </row>
        <row r="128">
          <cell r="C128" t="str">
            <v>Consultancy Service</v>
          </cell>
        </row>
        <row r="129">
          <cell r="C129" t="str">
            <v>Location Value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C4" sqref="C4"/>
    </sheetView>
  </sheetViews>
  <sheetFormatPr defaultRowHeight="15" x14ac:dyDescent="0.25"/>
  <cols>
    <col min="1" max="1" width="26" customWidth="1"/>
    <col min="2" max="2" width="15.7109375" customWidth="1"/>
    <col min="3" max="3" width="14.28515625" customWidth="1"/>
    <col min="4" max="4" width="15.5703125" customWidth="1"/>
    <col min="5" max="7" width="14.85546875" customWidth="1"/>
    <col min="9" max="9" width="10.5703125" bestFit="1" customWidth="1"/>
  </cols>
  <sheetData>
    <row r="1" spans="1:9" x14ac:dyDescent="0.25">
      <c r="A1" s="378" t="s">
        <v>617</v>
      </c>
      <c r="B1" s="378"/>
      <c r="C1" s="378"/>
      <c r="D1" s="378"/>
      <c r="E1" s="378"/>
      <c r="F1" s="378"/>
      <c r="G1" s="378"/>
      <c r="H1" s="378"/>
    </row>
    <row r="2" spans="1:9" ht="45" customHeight="1" x14ac:dyDescent="0.25">
      <c r="A2" s="378" t="s">
        <v>618</v>
      </c>
      <c r="B2" s="378" t="s">
        <v>622</v>
      </c>
      <c r="C2" s="378"/>
      <c r="D2" s="379" t="s">
        <v>639</v>
      </c>
      <c r="E2" s="379"/>
      <c r="F2" s="380" t="s">
        <v>640</v>
      </c>
      <c r="G2" s="381"/>
      <c r="H2" s="4"/>
    </row>
    <row r="3" spans="1:9" x14ac:dyDescent="0.25">
      <c r="A3" s="378"/>
      <c r="B3" s="4" t="s">
        <v>615</v>
      </c>
      <c r="C3" s="4" t="s">
        <v>616</v>
      </c>
      <c r="D3" s="4" t="s">
        <v>615</v>
      </c>
      <c r="E3" s="4" t="s">
        <v>616</v>
      </c>
      <c r="F3" s="4" t="s">
        <v>615</v>
      </c>
      <c r="G3" s="4" t="s">
        <v>616</v>
      </c>
      <c r="H3" s="297" t="s">
        <v>636</v>
      </c>
    </row>
    <row r="4" spans="1:9" ht="22.5" customHeight="1" x14ac:dyDescent="0.25">
      <c r="A4" s="4" t="s">
        <v>619</v>
      </c>
      <c r="B4" s="299">
        <f>'G+ Buildings'!D166</f>
        <v>18745.138800000001</v>
      </c>
      <c r="C4" s="299">
        <f>'G+ Buildings'!E166</f>
        <v>11081.784599999999</v>
      </c>
      <c r="D4" s="299">
        <v>15582</v>
      </c>
      <c r="E4" s="299">
        <v>7588</v>
      </c>
      <c r="F4" s="299">
        <f>B4-D4</f>
        <v>3163.1388000000006</v>
      </c>
      <c r="G4" s="299">
        <f>C4-E4</f>
        <v>3493.784599999999</v>
      </c>
      <c r="H4" s="4" t="s">
        <v>637</v>
      </c>
    </row>
    <row r="5" spans="1:9" ht="22.5" customHeight="1" x14ac:dyDescent="0.25">
      <c r="A5" s="4" t="s">
        <v>620</v>
      </c>
      <c r="B5" s="299">
        <f>'G+ Buildings'!I166</f>
        <v>16537.649400000002</v>
      </c>
      <c r="C5" s="299">
        <f>'G+ Buildings'!J166</f>
        <v>11107.468800000001</v>
      </c>
      <c r="D5" s="299">
        <v>16618</v>
      </c>
      <c r="E5" s="299">
        <v>9170</v>
      </c>
      <c r="F5" s="289">
        <f t="shared" ref="F5:F21" si="0">B5-D5</f>
        <v>-80.350599999997939</v>
      </c>
      <c r="G5" s="299">
        <f t="shared" ref="G5:G21" si="1">C5-E5</f>
        <v>1937.4688000000006</v>
      </c>
      <c r="H5" s="4" t="s">
        <v>637</v>
      </c>
    </row>
    <row r="6" spans="1:9" ht="22.5" customHeight="1" x14ac:dyDescent="0.25">
      <c r="A6" s="4" t="s">
        <v>621</v>
      </c>
      <c r="B6" s="299">
        <f>'G+ Buildings'!N166</f>
        <v>16167.2562</v>
      </c>
      <c r="C6" s="299">
        <f>'G+ Buildings'!O166</f>
        <v>11070.9702</v>
      </c>
      <c r="D6" s="299">
        <v>17122</v>
      </c>
      <c r="E6" s="299">
        <v>8680</v>
      </c>
      <c r="F6" s="289">
        <f t="shared" si="0"/>
        <v>-954.74380000000019</v>
      </c>
      <c r="G6" s="299">
        <f t="shared" si="1"/>
        <v>2390.9701999999997</v>
      </c>
      <c r="H6" s="4" t="s">
        <v>637</v>
      </c>
    </row>
    <row r="7" spans="1:9" ht="22.5" customHeight="1" x14ac:dyDescent="0.25">
      <c r="A7" s="4" t="s">
        <v>631</v>
      </c>
      <c r="B7" s="299">
        <f>'G+ Buildings'!S166</f>
        <v>19888.761600000002</v>
      </c>
      <c r="C7" s="299">
        <f>'G+ Buildings'!T166</f>
        <v>11065.563</v>
      </c>
      <c r="D7" s="377">
        <v>16660</v>
      </c>
      <c r="E7" s="377">
        <v>12292</v>
      </c>
      <c r="F7" s="321">
        <f t="shared" si="0"/>
        <v>3228.7616000000016</v>
      </c>
      <c r="G7" s="321">
        <f t="shared" si="1"/>
        <v>-1226.4369999999999</v>
      </c>
      <c r="H7" s="4" t="s">
        <v>637</v>
      </c>
    </row>
    <row r="8" spans="1:9" ht="22.5" customHeight="1" x14ac:dyDescent="0.25">
      <c r="A8" s="4" t="s">
        <v>632</v>
      </c>
      <c r="B8" s="299">
        <f>'G+ Buildings'!X166</f>
        <v>13517.728200000001</v>
      </c>
      <c r="C8" s="299">
        <f>'G+ Buildings'!Y166</f>
        <v>10670.8374</v>
      </c>
      <c r="D8" s="377"/>
      <c r="E8" s="377"/>
      <c r="F8" s="321">
        <f t="shared" si="0"/>
        <v>13517.728200000001</v>
      </c>
      <c r="G8" s="321">
        <f t="shared" si="1"/>
        <v>10670.8374</v>
      </c>
      <c r="H8" s="4" t="s">
        <v>637</v>
      </c>
    </row>
    <row r="9" spans="1:9" ht="22.5" customHeight="1" x14ac:dyDescent="0.25">
      <c r="A9" s="4" t="s">
        <v>500</v>
      </c>
      <c r="B9" s="299">
        <f>'G+ Buildings'!AC166</f>
        <v>16584.9624</v>
      </c>
      <c r="C9" s="299">
        <f>'G+ Buildings'!AD166</f>
        <v>10918.2168</v>
      </c>
      <c r="D9" s="377"/>
      <c r="E9" s="377"/>
      <c r="F9" s="321">
        <f t="shared" si="0"/>
        <v>16584.9624</v>
      </c>
      <c r="G9" s="321">
        <f t="shared" si="1"/>
        <v>10918.2168</v>
      </c>
      <c r="H9" s="4" t="s">
        <v>637</v>
      </c>
    </row>
    <row r="10" spans="1:9" ht="22.5" customHeight="1" x14ac:dyDescent="0.25">
      <c r="A10" s="4" t="s">
        <v>501</v>
      </c>
      <c r="B10" s="299">
        <f>'G+ Buildings'!AH166</f>
        <v>16455.189600000002</v>
      </c>
      <c r="C10" s="299">
        <f>'G+ Buildings'!AI166</f>
        <v>11022.305400000001</v>
      </c>
      <c r="D10" s="377"/>
      <c r="E10" s="377"/>
      <c r="F10" s="321">
        <f t="shared" si="0"/>
        <v>16455.189600000002</v>
      </c>
      <c r="G10" s="321">
        <f t="shared" si="1"/>
        <v>11022.305400000001</v>
      </c>
      <c r="H10" s="4" t="s">
        <v>637</v>
      </c>
    </row>
    <row r="11" spans="1:9" ht="22.5" customHeight="1" x14ac:dyDescent="0.25">
      <c r="A11" s="4" t="s">
        <v>633</v>
      </c>
      <c r="B11" s="299">
        <f>'G+ Buildings'!AM166</f>
        <v>16725.549599999998</v>
      </c>
      <c r="C11" s="299">
        <f>'G+ Buildings'!AN166</f>
        <v>10946.604600000001</v>
      </c>
      <c r="D11" s="377"/>
      <c r="E11" s="377"/>
      <c r="F11" s="321">
        <f t="shared" si="0"/>
        <v>16725.549599999998</v>
      </c>
      <c r="G11" s="321">
        <f t="shared" si="1"/>
        <v>10946.604600000001</v>
      </c>
      <c r="H11" s="4" t="s">
        <v>637</v>
      </c>
    </row>
    <row r="12" spans="1:9" ht="22.5" customHeight="1" x14ac:dyDescent="0.25">
      <c r="A12" s="4" t="s">
        <v>623</v>
      </c>
      <c r="B12" s="299">
        <f>'Villa Higher'!D178</f>
        <v>25555.452800000003</v>
      </c>
      <c r="C12" s="299">
        <f>'Villa Higher'!E178</f>
        <v>7776.2407999999996</v>
      </c>
      <c r="D12" s="320">
        <v>16245</v>
      </c>
      <c r="E12" s="299">
        <v>3976</v>
      </c>
      <c r="F12" s="299">
        <f t="shared" si="0"/>
        <v>9310.4528000000028</v>
      </c>
      <c r="G12" s="299">
        <f t="shared" si="1"/>
        <v>3800.2407999999996</v>
      </c>
      <c r="H12" s="4" t="s">
        <v>637</v>
      </c>
    </row>
    <row r="13" spans="1:9" ht="22.5" customHeight="1" x14ac:dyDescent="0.25">
      <c r="A13" s="4" t="s">
        <v>624</v>
      </c>
      <c r="B13" s="299">
        <f>'Villa Lower'!E62</f>
        <v>8862.0375000000004</v>
      </c>
      <c r="C13" s="299">
        <f>'Villa Lower'!G62</f>
        <v>1510.0039999999999</v>
      </c>
      <c r="D13" s="320">
        <v>4032</v>
      </c>
      <c r="E13" s="299">
        <v>1694</v>
      </c>
      <c r="F13" s="299">
        <f t="shared" si="0"/>
        <v>4830.0375000000004</v>
      </c>
      <c r="G13" s="289">
        <f t="shared" si="1"/>
        <v>-183.99600000000009</v>
      </c>
      <c r="H13" s="4" t="s">
        <v>637</v>
      </c>
    </row>
    <row r="14" spans="1:9" ht="22.5" customHeight="1" x14ac:dyDescent="0.25">
      <c r="A14" s="4" t="s">
        <v>625</v>
      </c>
      <c r="B14" s="299">
        <f>'Multi-Purposed halls'!D151</f>
        <v>59422.792600000001</v>
      </c>
      <c r="C14" s="299">
        <f>'Multi-Purposed halls'!E151</f>
        <v>11724.0929</v>
      </c>
      <c r="D14" s="320">
        <v>9604</v>
      </c>
      <c r="E14" s="299">
        <v>1694</v>
      </c>
      <c r="F14" s="299">
        <f t="shared" si="0"/>
        <v>49818.792600000001</v>
      </c>
      <c r="G14" s="299">
        <f t="shared" si="1"/>
        <v>10030.0929</v>
      </c>
      <c r="H14" s="4" t="s">
        <v>637</v>
      </c>
      <c r="I14" s="319"/>
    </row>
    <row r="15" spans="1:9" ht="22.5" customHeight="1" x14ac:dyDescent="0.25">
      <c r="A15" s="4" t="s">
        <v>626</v>
      </c>
      <c r="B15" s="299">
        <f>'Multi-Purposed halls'!H151</f>
        <v>17215.989600000001</v>
      </c>
      <c r="C15" s="299">
        <f>'Multi-Purposed halls'!I151</f>
        <v>3344.6534000000001</v>
      </c>
      <c r="D15" s="299">
        <v>4732</v>
      </c>
      <c r="E15" s="299">
        <v>378</v>
      </c>
      <c r="F15" s="299">
        <f t="shared" si="0"/>
        <v>12483.989600000001</v>
      </c>
      <c r="G15" s="299">
        <f t="shared" si="1"/>
        <v>2966.6534000000001</v>
      </c>
      <c r="H15" s="4" t="s">
        <v>637</v>
      </c>
    </row>
    <row r="16" spans="1:9" ht="22.5" customHeight="1" x14ac:dyDescent="0.25">
      <c r="A16" s="4" t="s">
        <v>627</v>
      </c>
      <c r="B16" s="299">
        <f>'Multi-Purposed halls'!L151</f>
        <v>1785.2880000000002</v>
      </c>
      <c r="C16" s="299">
        <f>'Multi-Purposed halls'!M151</f>
        <v>486.21199999999999</v>
      </c>
      <c r="D16" s="377">
        <v>1705</v>
      </c>
      <c r="E16" s="377">
        <v>196</v>
      </c>
      <c r="F16" s="299">
        <f t="shared" si="0"/>
        <v>80.288000000000238</v>
      </c>
      <c r="G16" s="299">
        <f t="shared" si="1"/>
        <v>290.21199999999999</v>
      </c>
      <c r="H16" s="4" t="s">
        <v>638</v>
      </c>
    </row>
    <row r="17" spans="1:8" ht="22.5" customHeight="1" x14ac:dyDescent="0.25">
      <c r="A17" s="4" t="s">
        <v>628</v>
      </c>
      <c r="B17" s="299">
        <f>'Multi-Purposed halls'!P151</f>
        <v>1578.3152</v>
      </c>
      <c r="C17" s="299">
        <f>'Multi-Purposed halls'!Q151</f>
        <v>425.59079999999994</v>
      </c>
      <c r="D17" s="377"/>
      <c r="E17" s="377"/>
      <c r="F17" s="299">
        <f t="shared" si="0"/>
        <v>1578.3152</v>
      </c>
      <c r="G17" s="299">
        <f t="shared" si="1"/>
        <v>425.59079999999994</v>
      </c>
      <c r="H17" s="4" t="s">
        <v>638</v>
      </c>
    </row>
    <row r="18" spans="1:8" ht="22.5" customHeight="1" x14ac:dyDescent="0.25">
      <c r="A18" s="4" t="s">
        <v>634</v>
      </c>
      <c r="B18" s="299">
        <f>'Multi-Purposed halls'!T151</f>
        <v>1364.8509999999999</v>
      </c>
      <c r="C18" s="299">
        <f>'Multi-Purposed halls'!U151</f>
        <v>359.7115</v>
      </c>
      <c r="D18" s="377">
        <v>1324</v>
      </c>
      <c r="E18" s="377">
        <v>154</v>
      </c>
      <c r="F18" s="299">
        <f t="shared" si="0"/>
        <v>40.850999999999885</v>
      </c>
      <c r="G18" s="299">
        <f t="shared" si="1"/>
        <v>205.7115</v>
      </c>
      <c r="H18" s="4" t="s">
        <v>638</v>
      </c>
    </row>
    <row r="19" spans="1:8" ht="22.5" customHeight="1" x14ac:dyDescent="0.25">
      <c r="A19" s="4" t="s">
        <v>629</v>
      </c>
      <c r="B19" s="299">
        <f>'Multi-Purposed halls'!X151</f>
        <v>1297.5762</v>
      </c>
      <c r="C19" s="299">
        <f>'Multi-Purposed halls'!Y151</f>
        <v>331.90229999999997</v>
      </c>
      <c r="D19" s="377"/>
      <c r="E19" s="377"/>
      <c r="F19" s="299">
        <f t="shared" si="0"/>
        <v>1297.5762</v>
      </c>
      <c r="G19" s="299">
        <f t="shared" si="1"/>
        <v>331.90229999999997</v>
      </c>
      <c r="H19" s="4" t="s">
        <v>638</v>
      </c>
    </row>
    <row r="20" spans="1:8" ht="22.5" customHeight="1" x14ac:dyDescent="0.25">
      <c r="A20" s="4" t="s">
        <v>630</v>
      </c>
      <c r="B20" s="299">
        <f>'Multi-Purposed halls'!AB151</f>
        <v>1178.3779999999999</v>
      </c>
      <c r="C20" s="299">
        <f>'Multi-Purposed halls'!AC151</f>
        <v>310.95699999999999</v>
      </c>
      <c r="D20" s="377">
        <v>1113</v>
      </c>
      <c r="E20" s="377">
        <v>154</v>
      </c>
      <c r="F20" s="299">
        <f t="shared" si="0"/>
        <v>65.377999999999929</v>
      </c>
      <c r="G20" s="299">
        <f t="shared" si="1"/>
        <v>156.95699999999999</v>
      </c>
      <c r="H20" s="4" t="s">
        <v>638</v>
      </c>
    </row>
    <row r="21" spans="1:8" ht="22.5" customHeight="1" x14ac:dyDescent="0.25">
      <c r="A21" s="4" t="s">
        <v>635</v>
      </c>
      <c r="B21" s="299">
        <f>'Multi-Purposed halls'!AF151</f>
        <v>1127.7940000000001</v>
      </c>
      <c r="C21" s="299">
        <f>'Multi-Purposed halls'!AG151</f>
        <v>293.26100000000002</v>
      </c>
      <c r="D21" s="377"/>
      <c r="E21" s="377"/>
      <c r="F21" s="299">
        <f t="shared" si="0"/>
        <v>1127.7940000000001</v>
      </c>
      <c r="G21" s="299">
        <f t="shared" si="1"/>
        <v>293.26100000000002</v>
      </c>
      <c r="H21" s="4" t="s">
        <v>638</v>
      </c>
    </row>
  </sheetData>
  <mergeCells count="13">
    <mergeCell ref="D18:D19"/>
    <mergeCell ref="E18:E19"/>
    <mergeCell ref="D20:D21"/>
    <mergeCell ref="E20:E21"/>
    <mergeCell ref="A1:H1"/>
    <mergeCell ref="B2:C2"/>
    <mergeCell ref="D2:E2"/>
    <mergeCell ref="F2:G2"/>
    <mergeCell ref="A2:A3"/>
    <mergeCell ref="D7:D11"/>
    <mergeCell ref="E7:E11"/>
    <mergeCell ref="D16:D17"/>
    <mergeCell ref="E16:E17"/>
  </mergeCells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>
      <selection activeCell="H61" sqref="H61"/>
    </sheetView>
  </sheetViews>
  <sheetFormatPr defaultRowHeight="15" x14ac:dyDescent="0.25"/>
  <cols>
    <col min="2" max="2" width="27" customWidth="1"/>
    <col min="4" max="4" width="11.5703125" customWidth="1"/>
    <col min="5" max="5" width="10.140625" customWidth="1"/>
    <col min="6" max="6" width="15.42578125" customWidth="1"/>
    <col min="7" max="7" width="15.5703125" customWidth="1"/>
    <col min="9" max="9" width="14.28515625" customWidth="1"/>
  </cols>
  <sheetData>
    <row r="1" spans="1:9" ht="41.25" customHeight="1" x14ac:dyDescent="0.25"/>
    <row r="2" spans="1:9" x14ac:dyDescent="0.25">
      <c r="A2" s="4" t="s">
        <v>264</v>
      </c>
      <c r="B2" s="382" t="s">
        <v>265</v>
      </c>
      <c r="C2" s="383"/>
      <c r="D2" s="383"/>
      <c r="E2" s="383"/>
      <c r="F2" s="383"/>
      <c r="G2" s="383"/>
      <c r="H2" s="383"/>
      <c r="I2" s="384"/>
    </row>
    <row r="3" spans="1:9" ht="15.75" x14ac:dyDescent="0.25">
      <c r="A3" s="4">
        <v>1</v>
      </c>
      <c r="B3" s="276" t="s">
        <v>267</v>
      </c>
      <c r="C3" s="4" t="s">
        <v>266</v>
      </c>
      <c r="D3" s="4"/>
      <c r="E3" s="4" t="s">
        <v>615</v>
      </c>
      <c r="F3" s="4"/>
      <c r="G3" s="4" t="s">
        <v>616</v>
      </c>
      <c r="H3" s="4"/>
      <c r="I3" s="4"/>
    </row>
    <row r="4" spans="1:9" ht="32.25" customHeight="1" x14ac:dyDescent="0.25">
      <c r="A4" s="277"/>
      <c r="B4" s="278" t="s">
        <v>268</v>
      </c>
      <c r="C4" s="279">
        <v>1</v>
      </c>
      <c r="D4" s="279"/>
      <c r="E4" s="279">
        <f>MAX(C4:C7)</f>
        <v>47.16</v>
      </c>
      <c r="F4" s="279">
        <f>MAX(D4:D7)</f>
        <v>0</v>
      </c>
      <c r="G4" s="279">
        <f>MIN(C4:C7)</f>
        <v>1</v>
      </c>
      <c r="H4" s="4"/>
      <c r="I4" s="4">
        <f>$C4*H4/100</f>
        <v>0</v>
      </c>
    </row>
    <row r="5" spans="1:9" ht="32.25" customHeight="1" x14ac:dyDescent="0.25">
      <c r="A5" s="277"/>
      <c r="B5" s="278" t="s">
        <v>269</v>
      </c>
      <c r="C5" s="279">
        <v>4</v>
      </c>
      <c r="D5" s="279"/>
      <c r="E5" s="279"/>
      <c r="F5" s="279"/>
      <c r="G5" s="279"/>
      <c r="H5" s="4">
        <v>100</v>
      </c>
      <c r="I5" s="4">
        <f t="shared" ref="I5:I60" si="0">$C5*H5/100</f>
        <v>4</v>
      </c>
    </row>
    <row r="6" spans="1:9" ht="46.5" customHeight="1" x14ac:dyDescent="0.25">
      <c r="A6" s="277"/>
      <c r="B6" s="278" t="s">
        <v>270</v>
      </c>
      <c r="C6" s="279">
        <v>20.49</v>
      </c>
      <c r="D6" s="279"/>
      <c r="E6" s="279"/>
      <c r="F6" s="279"/>
      <c r="G6" s="279"/>
      <c r="H6" s="4"/>
      <c r="I6" s="4">
        <f t="shared" si="0"/>
        <v>0</v>
      </c>
    </row>
    <row r="7" spans="1:9" ht="46.5" customHeight="1" x14ac:dyDescent="0.25">
      <c r="A7" s="277"/>
      <c r="B7" s="278" t="s">
        <v>271</v>
      </c>
      <c r="C7" s="279">
        <v>47.16</v>
      </c>
      <c r="D7" s="279"/>
      <c r="E7" s="279"/>
      <c r="F7" s="279"/>
      <c r="G7" s="279"/>
      <c r="H7" s="4"/>
      <c r="I7" s="4">
        <f t="shared" si="0"/>
        <v>0</v>
      </c>
    </row>
    <row r="8" spans="1:9" ht="15.75" x14ac:dyDescent="0.25">
      <c r="A8" s="4">
        <v>2</v>
      </c>
      <c r="B8" s="280" t="s">
        <v>272</v>
      </c>
      <c r="C8" s="279"/>
      <c r="D8" s="279"/>
      <c r="E8" s="279"/>
      <c r="F8" s="279"/>
      <c r="G8" s="279"/>
      <c r="H8" s="4"/>
      <c r="I8" s="4">
        <f t="shared" si="0"/>
        <v>0</v>
      </c>
    </row>
    <row r="9" spans="1:9" ht="15.75" x14ac:dyDescent="0.25">
      <c r="A9" s="4">
        <v>3</v>
      </c>
      <c r="B9" s="280" t="s">
        <v>273</v>
      </c>
      <c r="C9" s="279"/>
      <c r="D9" s="279"/>
      <c r="E9" s="279"/>
      <c r="F9" s="279"/>
      <c r="G9" s="279"/>
      <c r="H9" s="4"/>
      <c r="I9" s="4">
        <f t="shared" si="0"/>
        <v>0</v>
      </c>
    </row>
    <row r="10" spans="1:9" ht="15.75" x14ac:dyDescent="0.25">
      <c r="A10" s="277"/>
      <c r="B10" s="278" t="s">
        <v>274</v>
      </c>
      <c r="C10" s="279">
        <v>2.16</v>
      </c>
      <c r="D10" s="279"/>
      <c r="E10" s="279">
        <f>MAX(C10:C13)</f>
        <v>10.63</v>
      </c>
      <c r="F10" s="279">
        <f>MAX(D10:D13)</f>
        <v>0</v>
      </c>
      <c r="G10" s="279">
        <f>MIN(C10:C14)</f>
        <v>1</v>
      </c>
      <c r="H10" s="4"/>
      <c r="I10" s="4">
        <f t="shared" si="0"/>
        <v>0</v>
      </c>
    </row>
    <row r="11" spans="1:9" ht="15.75" x14ac:dyDescent="0.25">
      <c r="A11" s="277"/>
      <c r="B11" s="278" t="s">
        <v>275</v>
      </c>
      <c r="C11" s="279">
        <v>1</v>
      </c>
      <c r="D11" s="279"/>
      <c r="E11" s="279"/>
      <c r="F11" s="279"/>
      <c r="G11" s="279"/>
      <c r="H11" s="4"/>
      <c r="I11" s="4">
        <f t="shared" si="0"/>
        <v>0</v>
      </c>
    </row>
    <row r="12" spans="1:9" ht="32.25" customHeight="1" x14ac:dyDescent="0.25">
      <c r="A12" s="277"/>
      <c r="B12" s="278" t="s">
        <v>276</v>
      </c>
      <c r="C12" s="279">
        <v>10.63</v>
      </c>
      <c r="D12" s="279"/>
      <c r="E12" s="279"/>
      <c r="F12" s="279"/>
      <c r="G12" s="279"/>
      <c r="H12" s="4">
        <v>100</v>
      </c>
      <c r="I12" s="4">
        <f t="shared" si="0"/>
        <v>10.63</v>
      </c>
    </row>
    <row r="13" spans="1:9" ht="31.5" customHeight="1" x14ac:dyDescent="0.25">
      <c r="A13" s="277"/>
      <c r="B13" s="278" t="s">
        <v>277</v>
      </c>
      <c r="C13" s="279">
        <v>8.4</v>
      </c>
      <c r="D13" s="279"/>
      <c r="E13" s="279"/>
      <c r="F13" s="279"/>
      <c r="G13" s="279"/>
      <c r="H13" s="4"/>
      <c r="I13" s="4">
        <f t="shared" si="0"/>
        <v>0</v>
      </c>
    </row>
    <row r="14" spans="1:9" ht="15.75" x14ac:dyDescent="0.25">
      <c r="A14" s="277"/>
      <c r="B14" s="278" t="s">
        <v>278</v>
      </c>
      <c r="C14" s="279">
        <v>1.89</v>
      </c>
      <c r="D14" s="279"/>
      <c r="E14" s="279"/>
      <c r="F14" s="279"/>
      <c r="G14" s="279"/>
      <c r="H14" s="4"/>
      <c r="I14" s="4">
        <f t="shared" si="0"/>
        <v>0</v>
      </c>
    </row>
    <row r="15" spans="1:9" ht="15.75" x14ac:dyDescent="0.25">
      <c r="A15" s="4">
        <v>4</v>
      </c>
      <c r="B15" s="280" t="s">
        <v>279</v>
      </c>
      <c r="C15" s="279"/>
      <c r="D15" s="279"/>
      <c r="E15" s="279"/>
      <c r="F15" s="279"/>
      <c r="G15" s="279"/>
      <c r="H15" s="4"/>
      <c r="I15" s="4">
        <f t="shared" si="0"/>
        <v>0</v>
      </c>
    </row>
    <row r="16" spans="1:9" ht="15.75" x14ac:dyDescent="0.25">
      <c r="A16" s="277"/>
      <c r="B16" s="278" t="s">
        <v>280</v>
      </c>
      <c r="C16" s="279">
        <v>2.16</v>
      </c>
      <c r="D16" s="279"/>
      <c r="E16" s="279">
        <f>MAX(C16:C20)</f>
        <v>10.63</v>
      </c>
      <c r="F16" s="279">
        <f>MAX(D16:D20)</f>
        <v>0</v>
      </c>
      <c r="G16" s="279">
        <f>MIN(C16:C20)</f>
        <v>1</v>
      </c>
      <c r="H16" s="4"/>
      <c r="I16" s="4">
        <f t="shared" si="0"/>
        <v>0</v>
      </c>
    </row>
    <row r="17" spans="1:9" ht="15.75" x14ac:dyDescent="0.25">
      <c r="A17" s="277"/>
      <c r="B17" s="278" t="s">
        <v>281</v>
      </c>
      <c r="C17" s="279">
        <v>1</v>
      </c>
      <c r="D17" s="279"/>
      <c r="E17" s="279"/>
      <c r="F17" s="279"/>
      <c r="G17" s="279"/>
      <c r="H17" s="4"/>
      <c r="I17" s="4">
        <f t="shared" si="0"/>
        <v>0</v>
      </c>
    </row>
    <row r="18" spans="1:9" ht="34.5" customHeight="1" x14ac:dyDescent="0.25">
      <c r="A18" s="277"/>
      <c r="B18" s="278" t="s">
        <v>282</v>
      </c>
      <c r="C18" s="279">
        <v>10.63</v>
      </c>
      <c r="D18" s="279"/>
      <c r="E18" s="279"/>
      <c r="F18" s="279"/>
      <c r="G18" s="279"/>
      <c r="H18" s="4">
        <v>100</v>
      </c>
      <c r="I18" s="4">
        <f t="shared" si="0"/>
        <v>10.63</v>
      </c>
    </row>
    <row r="19" spans="1:9" ht="30" customHeight="1" x14ac:dyDescent="0.25">
      <c r="A19" s="277"/>
      <c r="B19" s="278" t="s">
        <v>283</v>
      </c>
      <c r="C19" s="279">
        <v>8.4</v>
      </c>
      <c r="D19" s="279"/>
      <c r="E19" s="279"/>
      <c r="F19" s="279"/>
      <c r="G19" s="279"/>
      <c r="H19" s="4"/>
      <c r="I19" s="4">
        <f t="shared" si="0"/>
        <v>0</v>
      </c>
    </row>
    <row r="20" spans="1:9" ht="15.75" x14ac:dyDescent="0.25">
      <c r="A20" s="277"/>
      <c r="B20" s="278" t="s">
        <v>284</v>
      </c>
      <c r="C20" s="279">
        <v>1.89</v>
      </c>
      <c r="D20" s="279"/>
      <c r="E20" s="279"/>
      <c r="F20" s="279"/>
      <c r="G20" s="279"/>
      <c r="H20" s="4"/>
      <c r="I20" s="4">
        <f t="shared" si="0"/>
        <v>0</v>
      </c>
    </row>
    <row r="21" spans="1:9" ht="15.75" x14ac:dyDescent="0.25">
      <c r="A21" s="4">
        <v>5</v>
      </c>
      <c r="B21" s="280" t="s">
        <v>285</v>
      </c>
      <c r="C21" s="279"/>
      <c r="D21" s="279"/>
      <c r="E21" s="279"/>
      <c r="F21" s="279"/>
      <c r="G21" s="279"/>
      <c r="H21" s="4"/>
      <c r="I21" s="4">
        <f t="shared" si="0"/>
        <v>0</v>
      </c>
    </row>
    <row r="22" spans="1:9" ht="15.75" x14ac:dyDescent="0.25">
      <c r="A22" s="277"/>
      <c r="B22" s="278" t="s">
        <v>286</v>
      </c>
      <c r="C22" s="279">
        <v>1</v>
      </c>
      <c r="D22" s="279"/>
      <c r="E22" s="279">
        <f>MAX(C22:C24)</f>
        <v>1.62</v>
      </c>
      <c r="F22" s="279">
        <f>MAX(D22:D24)</f>
        <v>0</v>
      </c>
      <c r="G22" s="279">
        <f>MIN(C22:C24)</f>
        <v>1</v>
      </c>
      <c r="H22" s="4">
        <v>100</v>
      </c>
      <c r="I22" s="4">
        <f t="shared" si="0"/>
        <v>1</v>
      </c>
    </row>
    <row r="23" spans="1:9" ht="15.75" x14ac:dyDescent="0.25">
      <c r="A23" s="277"/>
      <c r="B23" s="281" t="s">
        <v>287</v>
      </c>
      <c r="C23" s="279">
        <v>1.37</v>
      </c>
      <c r="D23" s="279"/>
      <c r="E23" s="279"/>
      <c r="F23" s="279"/>
      <c r="G23" s="279"/>
      <c r="H23" s="4"/>
      <c r="I23" s="4">
        <f t="shared" si="0"/>
        <v>0</v>
      </c>
    </row>
    <row r="24" spans="1:9" ht="15.75" x14ac:dyDescent="0.25">
      <c r="A24" s="277"/>
      <c r="B24" s="281" t="s">
        <v>288</v>
      </c>
      <c r="C24" s="279">
        <v>1.62</v>
      </c>
      <c r="D24" s="279"/>
      <c r="E24" s="279"/>
      <c r="F24" s="279"/>
      <c r="G24" s="279"/>
      <c r="H24" s="4"/>
      <c r="I24" s="4">
        <f t="shared" si="0"/>
        <v>0</v>
      </c>
    </row>
    <row r="25" spans="1:9" ht="15.75" x14ac:dyDescent="0.25">
      <c r="A25" s="4">
        <v>6</v>
      </c>
      <c r="B25" s="280" t="s">
        <v>289</v>
      </c>
      <c r="C25" s="279"/>
      <c r="D25" s="279"/>
      <c r="E25" s="279"/>
      <c r="F25" s="279"/>
      <c r="G25" s="279"/>
      <c r="H25" s="4"/>
      <c r="I25" s="4">
        <f t="shared" si="0"/>
        <v>0</v>
      </c>
    </row>
    <row r="26" spans="1:9" ht="31.5" customHeight="1" x14ac:dyDescent="0.25">
      <c r="A26" s="277"/>
      <c r="B26" s="278" t="s">
        <v>290</v>
      </c>
      <c r="C26" s="279">
        <v>1.67</v>
      </c>
      <c r="D26" s="279"/>
      <c r="E26" s="279">
        <f>MAX(C26:C27)</f>
        <v>1.67</v>
      </c>
      <c r="F26" s="279">
        <f>MAX(D26:D27)</f>
        <v>0</v>
      </c>
      <c r="G26" s="279">
        <f>MIN(C26:C27)</f>
        <v>1</v>
      </c>
      <c r="H26" s="4"/>
      <c r="I26" s="4">
        <f t="shared" si="0"/>
        <v>0</v>
      </c>
    </row>
    <row r="27" spans="1:9" ht="31.5" customHeight="1" x14ac:dyDescent="0.25">
      <c r="A27" s="277"/>
      <c r="B27" s="278" t="s">
        <v>291</v>
      </c>
      <c r="C27" s="279">
        <v>1</v>
      </c>
      <c r="D27" s="279"/>
      <c r="E27" s="279"/>
      <c r="F27" s="279"/>
      <c r="G27" s="279"/>
      <c r="H27" s="4"/>
      <c r="I27" s="4">
        <f t="shared" si="0"/>
        <v>0</v>
      </c>
    </row>
    <row r="28" spans="1:9" ht="15.75" x14ac:dyDescent="0.25">
      <c r="A28" s="4">
        <v>7</v>
      </c>
      <c r="B28" s="280" t="s">
        <v>292</v>
      </c>
      <c r="C28" s="279"/>
      <c r="D28" s="279"/>
      <c r="E28" s="279"/>
      <c r="F28" s="279"/>
      <c r="G28" s="279"/>
      <c r="H28" s="4"/>
      <c r="I28" s="4">
        <f t="shared" si="0"/>
        <v>0</v>
      </c>
    </row>
    <row r="29" spans="1:9" ht="15.75" customHeight="1" x14ac:dyDescent="0.25">
      <c r="A29" s="277"/>
      <c r="B29" s="278" t="s">
        <v>293</v>
      </c>
      <c r="C29" s="279">
        <v>1</v>
      </c>
      <c r="D29" s="279"/>
      <c r="E29" s="279">
        <f>MAX(C29)</f>
        <v>1</v>
      </c>
      <c r="F29" s="279">
        <f>MAX(D29)</f>
        <v>0</v>
      </c>
      <c r="G29" s="279">
        <f>MIN(C29:C30)</f>
        <v>1</v>
      </c>
      <c r="H29" s="4">
        <v>100</v>
      </c>
      <c r="I29" s="4">
        <f t="shared" si="0"/>
        <v>1</v>
      </c>
    </row>
    <row r="30" spans="1:9" ht="15.75" x14ac:dyDescent="0.25">
      <c r="A30" s="4">
        <v>8</v>
      </c>
      <c r="B30" s="280" t="s">
        <v>294</v>
      </c>
      <c r="C30" s="279"/>
      <c r="D30" s="279"/>
      <c r="E30" s="279"/>
      <c r="F30" s="279"/>
      <c r="G30" s="279"/>
      <c r="H30" s="4"/>
      <c r="I30" s="4">
        <f t="shared" si="0"/>
        <v>0</v>
      </c>
    </row>
    <row r="31" spans="1:9" ht="15.75" x14ac:dyDescent="0.25">
      <c r="A31" s="277"/>
      <c r="B31" s="278" t="s">
        <v>295</v>
      </c>
      <c r="C31" s="279">
        <v>1</v>
      </c>
      <c r="D31" s="279"/>
      <c r="E31" s="279">
        <f>MAX(C31:C34)</f>
        <v>6.49</v>
      </c>
      <c r="F31" s="279">
        <f>MAX(D31:D34)</f>
        <v>0</v>
      </c>
      <c r="G31" s="279">
        <f>MIN(C31:C34)</f>
        <v>1</v>
      </c>
      <c r="H31" s="4">
        <v>100</v>
      </c>
      <c r="I31" s="4">
        <f t="shared" si="0"/>
        <v>1</v>
      </c>
    </row>
    <row r="32" spans="1:9" ht="33.75" customHeight="1" x14ac:dyDescent="0.25">
      <c r="A32" s="277"/>
      <c r="B32" s="278" t="s">
        <v>296</v>
      </c>
      <c r="C32" s="279">
        <v>2.72</v>
      </c>
      <c r="D32" s="279"/>
      <c r="E32" s="279"/>
      <c r="F32" s="279"/>
      <c r="G32" s="279"/>
      <c r="H32" s="4"/>
      <c r="I32" s="4">
        <f t="shared" si="0"/>
        <v>0</v>
      </c>
    </row>
    <row r="33" spans="1:9" ht="36" customHeight="1" x14ac:dyDescent="0.25">
      <c r="A33" s="277"/>
      <c r="B33" s="278" t="s">
        <v>297</v>
      </c>
      <c r="C33" s="279">
        <v>3.06</v>
      </c>
      <c r="D33" s="279"/>
      <c r="E33" s="279"/>
      <c r="F33" s="279"/>
      <c r="G33" s="279"/>
      <c r="H33" s="4"/>
      <c r="I33" s="4">
        <f t="shared" si="0"/>
        <v>0</v>
      </c>
    </row>
    <row r="34" spans="1:9" ht="19.5" customHeight="1" x14ac:dyDescent="0.25">
      <c r="A34" s="277"/>
      <c r="B34" s="278" t="s">
        <v>298</v>
      </c>
      <c r="C34" s="279">
        <v>6.49</v>
      </c>
      <c r="D34" s="279"/>
      <c r="E34" s="279"/>
      <c r="F34" s="279"/>
      <c r="G34" s="279"/>
      <c r="H34" s="4"/>
      <c r="I34" s="4">
        <f t="shared" si="0"/>
        <v>0</v>
      </c>
    </row>
    <row r="35" spans="1:9" ht="15.75" x14ac:dyDescent="0.25">
      <c r="A35" s="4">
        <v>9</v>
      </c>
      <c r="B35" s="280" t="s">
        <v>299</v>
      </c>
      <c r="C35" s="279"/>
      <c r="D35" s="279"/>
      <c r="E35" s="279"/>
      <c r="F35" s="279"/>
      <c r="G35" s="279"/>
      <c r="H35" s="4"/>
      <c r="I35" s="4">
        <f t="shared" si="0"/>
        <v>0</v>
      </c>
    </row>
    <row r="36" spans="1:9" ht="15.75" x14ac:dyDescent="0.25">
      <c r="A36" s="277"/>
      <c r="B36" s="278" t="s">
        <v>300</v>
      </c>
      <c r="C36" s="279">
        <v>1</v>
      </c>
      <c r="D36" s="279"/>
      <c r="E36" s="279">
        <f>MAX(C36:C39)</f>
        <v>4.04</v>
      </c>
      <c r="F36" s="279">
        <f>MAX(D36:D39)</f>
        <v>0</v>
      </c>
      <c r="G36" s="279">
        <f>MIN(C36:C39)</f>
        <v>1</v>
      </c>
      <c r="H36" s="4">
        <v>100</v>
      </c>
      <c r="I36" s="4">
        <f t="shared" si="0"/>
        <v>1</v>
      </c>
    </row>
    <row r="37" spans="1:9" ht="15.75" x14ac:dyDescent="0.25">
      <c r="A37" s="277"/>
      <c r="B37" s="278" t="s">
        <v>301</v>
      </c>
      <c r="C37" s="279">
        <v>1.08</v>
      </c>
      <c r="D37" s="279"/>
      <c r="E37" s="279"/>
      <c r="F37" s="279"/>
      <c r="G37" s="279"/>
      <c r="H37" s="4"/>
      <c r="I37" s="4">
        <f t="shared" si="0"/>
        <v>0</v>
      </c>
    </row>
    <row r="38" spans="1:9" ht="15.75" x14ac:dyDescent="0.25">
      <c r="A38" s="277"/>
      <c r="B38" s="278" t="s">
        <v>302</v>
      </c>
      <c r="C38" s="279">
        <v>2.96</v>
      </c>
      <c r="D38" s="279"/>
      <c r="E38" s="279"/>
      <c r="F38" s="279"/>
      <c r="G38" s="279"/>
      <c r="H38" s="4"/>
      <c r="I38" s="4">
        <f t="shared" si="0"/>
        <v>0</v>
      </c>
    </row>
    <row r="39" spans="1:9" ht="15.75" x14ac:dyDescent="0.25">
      <c r="A39" s="277"/>
      <c r="B39" s="278" t="s">
        <v>303</v>
      </c>
      <c r="C39" s="279">
        <v>4.04</v>
      </c>
      <c r="D39" s="279"/>
      <c r="E39" s="279"/>
      <c r="F39" s="279"/>
      <c r="G39" s="279"/>
      <c r="H39" s="4"/>
      <c r="I39" s="4">
        <f t="shared" si="0"/>
        <v>0</v>
      </c>
    </row>
    <row r="40" spans="1:9" ht="15.75" x14ac:dyDescent="0.25">
      <c r="A40" s="282">
        <v>10</v>
      </c>
      <c r="B40" s="280" t="s">
        <v>304</v>
      </c>
      <c r="C40" s="279"/>
      <c r="D40" s="279"/>
      <c r="E40" s="279"/>
      <c r="F40" s="279"/>
      <c r="G40" s="279"/>
      <c r="H40" s="4"/>
      <c r="I40" s="4">
        <f t="shared" si="0"/>
        <v>0</v>
      </c>
    </row>
    <row r="41" spans="1:9" ht="15.75" x14ac:dyDescent="0.25">
      <c r="A41" s="277"/>
      <c r="B41" s="278" t="s">
        <v>305</v>
      </c>
      <c r="C41" s="279">
        <v>1</v>
      </c>
      <c r="D41" s="279"/>
      <c r="E41" s="279">
        <f>MAX(C41:C48)</f>
        <v>13.32</v>
      </c>
      <c r="F41" s="279">
        <f>MAX(D41:D48)</f>
        <v>0</v>
      </c>
      <c r="G41" s="279">
        <f>MIN(C41:C48)</f>
        <v>1</v>
      </c>
      <c r="H41" s="4">
        <v>100</v>
      </c>
      <c r="I41" s="4">
        <f t="shared" si="0"/>
        <v>1</v>
      </c>
    </row>
    <row r="42" spans="1:9" ht="15.75" x14ac:dyDescent="0.25">
      <c r="A42" s="277"/>
      <c r="B42" s="278" t="s">
        <v>306</v>
      </c>
      <c r="C42" s="279">
        <v>1.08</v>
      </c>
      <c r="D42" s="279"/>
      <c r="E42" s="279"/>
      <c r="F42" s="279"/>
      <c r="G42" s="279"/>
      <c r="H42" s="4"/>
      <c r="I42" s="4">
        <f t="shared" si="0"/>
        <v>0</v>
      </c>
    </row>
    <row r="43" spans="1:9" ht="38.25" customHeight="1" x14ac:dyDescent="0.25">
      <c r="A43" s="277"/>
      <c r="B43" s="278" t="s">
        <v>307</v>
      </c>
      <c r="C43" s="279">
        <v>2.96</v>
      </c>
      <c r="D43" s="279"/>
      <c r="E43" s="279"/>
      <c r="F43" s="279"/>
      <c r="G43" s="279"/>
      <c r="H43" s="4"/>
      <c r="I43" s="4">
        <f t="shared" si="0"/>
        <v>0</v>
      </c>
    </row>
    <row r="44" spans="1:9" ht="36" customHeight="1" x14ac:dyDescent="0.25">
      <c r="A44" s="277"/>
      <c r="B44" s="278" t="s">
        <v>308</v>
      </c>
      <c r="C44" s="279">
        <v>2.96</v>
      </c>
      <c r="D44" s="279"/>
      <c r="E44" s="279"/>
      <c r="F44" s="279"/>
      <c r="G44" s="279"/>
      <c r="H44" s="4"/>
      <c r="I44" s="4">
        <f t="shared" si="0"/>
        <v>0</v>
      </c>
    </row>
    <row r="45" spans="1:9" ht="34.5" customHeight="1" x14ac:dyDescent="0.25">
      <c r="A45" s="277"/>
      <c r="B45" s="278" t="s">
        <v>309</v>
      </c>
      <c r="C45" s="279">
        <v>4.04</v>
      </c>
      <c r="D45" s="279"/>
      <c r="E45" s="279"/>
      <c r="F45" s="279"/>
      <c r="G45" s="279"/>
      <c r="H45" s="4"/>
      <c r="I45" s="4">
        <f t="shared" si="0"/>
        <v>0</v>
      </c>
    </row>
    <row r="46" spans="1:9" ht="49.5" customHeight="1" x14ac:dyDescent="0.25">
      <c r="A46" s="277"/>
      <c r="B46" s="278" t="s">
        <v>310</v>
      </c>
      <c r="C46" s="279">
        <v>12.12</v>
      </c>
      <c r="D46" s="279"/>
      <c r="E46" s="279"/>
      <c r="F46" s="279"/>
      <c r="G46" s="279"/>
      <c r="H46" s="4"/>
      <c r="I46" s="4">
        <f t="shared" si="0"/>
        <v>0</v>
      </c>
    </row>
    <row r="47" spans="1:9" ht="18" customHeight="1" x14ac:dyDescent="0.25">
      <c r="A47" s="277"/>
      <c r="B47" s="278" t="s">
        <v>311</v>
      </c>
      <c r="C47" s="279">
        <v>10.55</v>
      </c>
      <c r="D47" s="279"/>
      <c r="E47" s="279"/>
      <c r="F47" s="279"/>
      <c r="G47" s="279"/>
      <c r="H47" s="4"/>
      <c r="I47" s="4">
        <f t="shared" si="0"/>
        <v>0</v>
      </c>
    </row>
    <row r="48" spans="1:9" ht="15.75" x14ac:dyDescent="0.25">
      <c r="A48" s="277"/>
      <c r="B48" s="278" t="s">
        <v>312</v>
      </c>
      <c r="C48" s="279">
        <v>13.32</v>
      </c>
      <c r="D48" s="279"/>
      <c r="E48" s="279"/>
      <c r="F48" s="279"/>
      <c r="G48" s="279"/>
      <c r="H48" s="4"/>
      <c r="I48" s="4">
        <f t="shared" si="0"/>
        <v>0</v>
      </c>
    </row>
    <row r="49" spans="1:9" ht="15.75" x14ac:dyDescent="0.25">
      <c r="A49" s="4">
        <v>11</v>
      </c>
      <c r="B49" s="280" t="s">
        <v>313</v>
      </c>
      <c r="C49" s="279"/>
      <c r="D49" s="279"/>
      <c r="E49" s="279"/>
      <c r="F49" s="279"/>
      <c r="G49" s="279"/>
      <c r="H49" s="4"/>
      <c r="I49" s="4">
        <f t="shared" si="0"/>
        <v>0</v>
      </c>
    </row>
    <row r="50" spans="1:9" ht="35.25" customHeight="1" x14ac:dyDescent="0.25">
      <c r="A50" s="277"/>
      <c r="B50" s="278" t="s">
        <v>316</v>
      </c>
      <c r="C50" s="279">
        <v>1.48</v>
      </c>
      <c r="D50" s="279"/>
      <c r="E50" s="279">
        <f>MAX(C50:C54)</f>
        <v>1.48</v>
      </c>
      <c r="F50" s="279">
        <f>MAX(D50:D54)</f>
        <v>0</v>
      </c>
      <c r="G50" s="279">
        <f>MIN(C50:C54)</f>
        <v>0.2</v>
      </c>
      <c r="H50" s="4"/>
      <c r="I50" s="4">
        <f t="shared" si="0"/>
        <v>0</v>
      </c>
    </row>
    <row r="51" spans="1:9" ht="17.25" customHeight="1" x14ac:dyDescent="0.25">
      <c r="A51" s="277"/>
      <c r="B51" s="278" t="s">
        <v>314</v>
      </c>
      <c r="C51" s="279">
        <v>1</v>
      </c>
      <c r="D51" s="279"/>
      <c r="E51" s="279"/>
      <c r="F51" s="279"/>
      <c r="G51" s="279"/>
      <c r="H51" s="4"/>
      <c r="I51" s="4">
        <f t="shared" si="0"/>
        <v>0</v>
      </c>
    </row>
    <row r="52" spans="1:9" ht="15.75" x14ac:dyDescent="0.25">
      <c r="A52" s="277"/>
      <c r="B52" s="278" t="s">
        <v>315</v>
      </c>
      <c r="C52" s="279">
        <v>0.2</v>
      </c>
      <c r="D52" s="279"/>
      <c r="E52" s="279"/>
      <c r="F52" s="279"/>
      <c r="G52" s="279"/>
      <c r="H52" s="4"/>
      <c r="I52" s="4">
        <f t="shared" si="0"/>
        <v>0</v>
      </c>
    </row>
    <row r="53" spans="1:9" ht="33" customHeight="1" x14ac:dyDescent="0.25">
      <c r="A53" s="277"/>
      <c r="B53" s="278" t="s">
        <v>317</v>
      </c>
      <c r="C53" s="279">
        <v>1.19</v>
      </c>
      <c r="D53" s="279"/>
      <c r="E53" s="279"/>
      <c r="F53" s="279"/>
      <c r="G53" s="279"/>
      <c r="H53" s="4"/>
      <c r="I53" s="4">
        <f t="shared" si="0"/>
        <v>0</v>
      </c>
    </row>
    <row r="54" spans="1:9" ht="35.25" customHeight="1" x14ac:dyDescent="0.25">
      <c r="A54" s="277"/>
      <c r="B54" s="278" t="s">
        <v>318</v>
      </c>
      <c r="C54" s="279">
        <v>1.24</v>
      </c>
      <c r="D54" s="279"/>
      <c r="E54" s="279"/>
      <c r="F54" s="279"/>
      <c r="G54" s="279"/>
      <c r="H54" s="4"/>
      <c r="I54" s="4">
        <f t="shared" si="0"/>
        <v>0</v>
      </c>
    </row>
    <row r="55" spans="1:9" ht="15.75" x14ac:dyDescent="0.25">
      <c r="A55" s="4">
        <v>12</v>
      </c>
      <c r="B55" s="280" t="s">
        <v>319</v>
      </c>
      <c r="C55" s="279"/>
      <c r="D55" s="279"/>
      <c r="E55" s="279"/>
      <c r="F55" s="279"/>
      <c r="G55" s="279"/>
      <c r="H55" s="4"/>
      <c r="I55" s="4">
        <f t="shared" si="0"/>
        <v>0</v>
      </c>
    </row>
    <row r="56" spans="1:9" ht="15.75" x14ac:dyDescent="0.25">
      <c r="A56" s="277"/>
      <c r="B56" s="278" t="s">
        <v>320</v>
      </c>
      <c r="C56" s="279">
        <v>4.21</v>
      </c>
      <c r="D56" s="279"/>
      <c r="E56" s="279">
        <f>MAX(C56:C60)</f>
        <v>4.21</v>
      </c>
      <c r="F56" s="279">
        <f>MAX(D56:D60)</f>
        <v>0</v>
      </c>
      <c r="G56" s="279">
        <f>MIN(C56:C60)</f>
        <v>1</v>
      </c>
      <c r="H56" s="4"/>
      <c r="I56" s="4">
        <f t="shared" si="0"/>
        <v>0</v>
      </c>
    </row>
    <row r="57" spans="1:9" ht="15.75" x14ac:dyDescent="0.25">
      <c r="A57" s="277"/>
      <c r="B57" s="278" t="s">
        <v>321</v>
      </c>
      <c r="C57" s="279">
        <v>3.55</v>
      </c>
      <c r="D57" s="279"/>
      <c r="E57" s="279"/>
      <c r="F57" s="279"/>
      <c r="G57" s="279"/>
      <c r="H57" s="4"/>
      <c r="I57" s="4">
        <f t="shared" si="0"/>
        <v>0</v>
      </c>
    </row>
    <row r="58" spans="1:9" ht="15.75" x14ac:dyDescent="0.25">
      <c r="A58" s="277"/>
      <c r="B58" s="278" t="s">
        <v>322</v>
      </c>
      <c r="C58" s="279">
        <v>2.31</v>
      </c>
      <c r="D58" s="279"/>
      <c r="E58" s="279"/>
      <c r="F58" s="279"/>
      <c r="G58" s="279"/>
      <c r="H58" s="4"/>
      <c r="I58" s="4">
        <f t="shared" si="0"/>
        <v>0</v>
      </c>
    </row>
    <row r="59" spans="1:9" ht="15.75" x14ac:dyDescent="0.25">
      <c r="A59" s="277"/>
      <c r="B59" s="278" t="s">
        <v>323</v>
      </c>
      <c r="C59" s="279">
        <v>1.66</v>
      </c>
      <c r="D59" s="279"/>
      <c r="E59" s="279"/>
      <c r="F59" s="279"/>
      <c r="G59" s="279"/>
      <c r="H59" s="4"/>
      <c r="I59" s="4">
        <f t="shared" si="0"/>
        <v>0</v>
      </c>
    </row>
    <row r="60" spans="1:9" ht="15.75" x14ac:dyDescent="0.25">
      <c r="A60" s="277"/>
      <c r="B60" s="278" t="s">
        <v>324</v>
      </c>
      <c r="C60" s="279">
        <v>1</v>
      </c>
      <c r="D60" s="279"/>
      <c r="E60" s="279"/>
      <c r="F60" s="279"/>
      <c r="G60" s="279"/>
      <c r="H60" s="4">
        <v>100</v>
      </c>
      <c r="I60" s="4">
        <f t="shared" si="0"/>
        <v>1</v>
      </c>
    </row>
    <row r="61" spans="1:9" ht="15.75" x14ac:dyDescent="0.25">
      <c r="A61" s="4"/>
      <c r="B61" s="286" t="s">
        <v>325</v>
      </c>
      <c r="C61" s="287">
        <f>SUM(C4:C60)</f>
        <v>216.69000000000005</v>
      </c>
      <c r="D61" s="287">
        <f>SUM(D4:D60)</f>
        <v>0</v>
      </c>
      <c r="E61" s="287">
        <f>SUM(E4:E60)</f>
        <v>102.25</v>
      </c>
      <c r="F61" s="287">
        <f>SUM(F4:F60)</f>
        <v>0</v>
      </c>
      <c r="G61" s="287">
        <f>SUM(G4:G60)</f>
        <v>10.199999999999999</v>
      </c>
      <c r="H61" s="287"/>
      <c r="I61" s="287">
        <f>ROUND(SUM(I4:I60),2)</f>
        <v>31.26</v>
      </c>
    </row>
    <row r="62" spans="1:9" ht="47.25" x14ac:dyDescent="0.25">
      <c r="A62" s="4"/>
      <c r="B62" s="286" t="s">
        <v>327</v>
      </c>
      <c r="C62" s="288"/>
      <c r="D62" s="289">
        <f>IF(D61&gt;0,(79.87*D61+695.33),0)</f>
        <v>0</v>
      </c>
      <c r="E62" s="289">
        <f>IF(E61&gt;0,(79.87*E61+695.33),0)</f>
        <v>8862.0375000000004</v>
      </c>
      <c r="F62" s="289">
        <f>IF(F61&gt;0,(79.87*F61+695.33),0)</f>
        <v>0</v>
      </c>
      <c r="G62" s="289">
        <f>IF(G61&gt;0,(79.87*G61+695.33),0)</f>
        <v>1510.0039999999999</v>
      </c>
      <c r="H62" s="288"/>
      <c r="I62" s="289">
        <f>IF(I61&gt;0,(79.87*I61+695.33),0)</f>
        <v>3192.0662000000002</v>
      </c>
    </row>
    <row r="63" spans="1:9" ht="15.75" x14ac:dyDescent="0.25">
      <c r="A63" s="4"/>
      <c r="B63" s="286" t="s">
        <v>326</v>
      </c>
      <c r="C63" s="288"/>
      <c r="D63" s="288"/>
      <c r="E63" s="288"/>
      <c r="F63" s="288"/>
      <c r="G63" s="288"/>
      <c r="H63" s="288"/>
      <c r="I63" s="288"/>
    </row>
    <row r="64" spans="1:9" ht="47.25" x14ac:dyDescent="0.25">
      <c r="A64" s="4"/>
      <c r="B64" s="286" t="s">
        <v>327</v>
      </c>
      <c r="C64" s="288"/>
      <c r="D64" s="288"/>
      <c r="E64" s="288"/>
      <c r="F64" s="288"/>
      <c r="G64" s="288"/>
      <c r="H64" s="288"/>
      <c r="I64" s="289">
        <f>(1-H63%)*I62</f>
        <v>3192.0662000000002</v>
      </c>
    </row>
    <row r="65" spans="1:9" ht="15.75" x14ac:dyDescent="0.25">
      <c r="A65" s="4"/>
      <c r="B65" s="286" t="s">
        <v>328</v>
      </c>
      <c r="C65" s="288"/>
      <c r="D65" s="288"/>
      <c r="E65" s="288"/>
      <c r="F65" s="288"/>
      <c r="G65" s="288"/>
      <c r="H65" s="288"/>
      <c r="I65" s="288" t="e">
        <f>Area!#REF!+Area!E15+Area!#REF!</f>
        <v>#REF!</v>
      </c>
    </row>
    <row r="66" spans="1:9" x14ac:dyDescent="0.25">
      <c r="A66" s="4"/>
      <c r="B66" s="288" t="s">
        <v>329</v>
      </c>
      <c r="C66" s="288"/>
      <c r="D66" s="288"/>
      <c r="E66" s="288"/>
      <c r="F66" s="288"/>
      <c r="G66" s="288"/>
      <c r="H66" s="288"/>
      <c r="I66" s="289" t="e">
        <f>I64*I65</f>
        <v>#REF!</v>
      </c>
    </row>
  </sheetData>
  <mergeCells count="1">
    <mergeCell ref="B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"/>
  <sheetViews>
    <sheetView workbookViewId="0">
      <selection activeCell="F61" sqref="F61"/>
    </sheetView>
  </sheetViews>
  <sheetFormatPr defaultRowHeight="15" x14ac:dyDescent="0.25"/>
  <cols>
    <col min="2" max="2" width="27" customWidth="1"/>
    <col min="4" max="4" width="10.5703125" hidden="1" customWidth="1"/>
    <col min="5" max="5" width="9.5703125" hidden="1" customWidth="1"/>
    <col min="7" max="7" width="13.28515625" bestFit="1" customWidth="1"/>
    <col min="8" max="8" width="11.5703125" bestFit="1" customWidth="1"/>
  </cols>
  <sheetData>
    <row r="1" spans="1:7" ht="41.25" customHeight="1" x14ac:dyDescent="0.25"/>
    <row r="2" spans="1:7" x14ac:dyDescent="0.25">
      <c r="A2" s="4" t="s">
        <v>264</v>
      </c>
      <c r="B2" s="382" t="s">
        <v>265</v>
      </c>
      <c r="C2" s="383"/>
      <c r="D2" s="383"/>
      <c r="E2" s="383"/>
      <c r="F2" s="383"/>
      <c r="G2" s="384"/>
    </row>
    <row r="3" spans="1:7" ht="15.75" x14ac:dyDescent="0.25">
      <c r="A3" s="4">
        <v>1</v>
      </c>
      <c r="B3" s="276" t="s">
        <v>267</v>
      </c>
      <c r="C3" s="4" t="s">
        <v>266</v>
      </c>
      <c r="D3" s="4" t="s">
        <v>615</v>
      </c>
      <c r="E3" s="4" t="s">
        <v>616</v>
      </c>
      <c r="F3" s="4"/>
      <c r="G3" s="4"/>
    </row>
    <row r="4" spans="1:7" ht="32.25" customHeight="1" x14ac:dyDescent="0.25">
      <c r="A4" s="277"/>
      <c r="B4" s="278" t="s">
        <v>331</v>
      </c>
      <c r="C4" s="278">
        <v>1.31</v>
      </c>
      <c r="D4" s="278">
        <f>MAX(C4:C8)</f>
        <v>8.3000000000000007</v>
      </c>
      <c r="E4" s="278">
        <f>MIN(C4:C8)</f>
        <v>1.31</v>
      </c>
      <c r="F4" s="4"/>
      <c r="G4" s="4">
        <f>$C4*F4/100</f>
        <v>0</v>
      </c>
    </row>
    <row r="5" spans="1:7" ht="32.25" customHeight="1" x14ac:dyDescent="0.25">
      <c r="A5" s="277"/>
      <c r="B5" s="278" t="s">
        <v>330</v>
      </c>
      <c r="C5" s="279">
        <v>1.48</v>
      </c>
      <c r="D5" s="279"/>
      <c r="E5" s="279"/>
      <c r="F5" s="4"/>
      <c r="G5" s="4">
        <f t="shared" ref="G5:G175" si="0">$C5*F5/100</f>
        <v>0</v>
      </c>
    </row>
    <row r="6" spans="1:7" ht="46.5" customHeight="1" x14ac:dyDescent="0.25">
      <c r="A6" s="277"/>
      <c r="B6" s="278" t="s">
        <v>332</v>
      </c>
      <c r="C6" s="279">
        <v>2.85</v>
      </c>
      <c r="D6" s="279"/>
      <c r="E6" s="279"/>
      <c r="F6" s="4"/>
      <c r="G6" s="4">
        <f t="shared" si="0"/>
        <v>0</v>
      </c>
    </row>
    <row r="7" spans="1:7" ht="46.5" customHeight="1" x14ac:dyDescent="0.25">
      <c r="A7" s="277"/>
      <c r="B7" s="278" t="s">
        <v>333</v>
      </c>
      <c r="C7" s="279">
        <v>5.53</v>
      </c>
      <c r="D7" s="279"/>
      <c r="E7" s="279"/>
      <c r="F7" s="4"/>
      <c r="G7" s="4">
        <f t="shared" si="0"/>
        <v>0</v>
      </c>
    </row>
    <row r="8" spans="1:7" ht="46.5" customHeight="1" x14ac:dyDescent="0.25">
      <c r="A8" s="277"/>
      <c r="B8" s="278" t="s">
        <v>334</v>
      </c>
      <c r="C8" s="279">
        <v>8.3000000000000007</v>
      </c>
      <c r="D8" s="279"/>
      <c r="E8" s="279"/>
      <c r="F8" s="4"/>
      <c r="G8" s="4">
        <f t="shared" si="0"/>
        <v>0</v>
      </c>
    </row>
    <row r="9" spans="1:7" ht="15.75" x14ac:dyDescent="0.25">
      <c r="A9" s="4">
        <v>2</v>
      </c>
      <c r="B9" s="280" t="s">
        <v>272</v>
      </c>
      <c r="C9" s="279"/>
      <c r="D9" s="279"/>
      <c r="E9" s="279"/>
      <c r="F9" s="4"/>
      <c r="G9" s="4">
        <f t="shared" si="0"/>
        <v>0</v>
      </c>
    </row>
    <row r="10" spans="1:7" ht="46.5" customHeight="1" x14ac:dyDescent="0.25">
      <c r="A10" s="277"/>
      <c r="B10" s="278" t="s">
        <v>335</v>
      </c>
      <c r="C10" s="279"/>
      <c r="D10" s="278">
        <f>MAX(C10:C12)</f>
        <v>9.19</v>
      </c>
      <c r="E10" s="278">
        <f>MIN(C10:C12)</f>
        <v>4.2</v>
      </c>
      <c r="F10" s="4"/>
      <c r="G10" s="4">
        <f t="shared" si="0"/>
        <v>0</v>
      </c>
    </row>
    <row r="11" spans="1:7" ht="46.5" customHeight="1" x14ac:dyDescent="0.25">
      <c r="A11" s="277"/>
      <c r="B11" s="278" t="s">
        <v>336</v>
      </c>
      <c r="C11" s="279">
        <v>4.2</v>
      </c>
      <c r="D11" s="279"/>
      <c r="E11" s="279"/>
      <c r="F11" s="4"/>
      <c r="G11" s="4">
        <f t="shared" si="0"/>
        <v>0</v>
      </c>
    </row>
    <row r="12" spans="1:7" ht="46.5" customHeight="1" x14ac:dyDescent="0.25">
      <c r="A12" s="277"/>
      <c r="B12" s="278" t="s">
        <v>337</v>
      </c>
      <c r="C12" s="279">
        <v>9.19</v>
      </c>
      <c r="D12" s="279"/>
      <c r="E12" s="279"/>
      <c r="F12" s="4"/>
      <c r="G12" s="4">
        <f t="shared" si="0"/>
        <v>0</v>
      </c>
    </row>
    <row r="13" spans="1:7" ht="15.75" x14ac:dyDescent="0.25">
      <c r="A13" s="4">
        <v>3</v>
      </c>
      <c r="B13" s="280" t="s">
        <v>338</v>
      </c>
      <c r="C13" s="279"/>
      <c r="D13" s="279"/>
      <c r="E13" s="279"/>
      <c r="F13" s="4"/>
      <c r="G13" s="4">
        <f t="shared" si="0"/>
        <v>0</v>
      </c>
    </row>
    <row r="14" spans="1:7" ht="15.75" x14ac:dyDescent="0.25">
      <c r="A14" s="4"/>
      <c r="B14" s="280" t="s">
        <v>339</v>
      </c>
      <c r="C14" s="279"/>
      <c r="D14" s="279"/>
      <c r="E14" s="279"/>
      <c r="F14" s="4"/>
      <c r="G14" s="4">
        <f t="shared" si="0"/>
        <v>0</v>
      </c>
    </row>
    <row r="15" spans="1:7" ht="15.75" x14ac:dyDescent="0.25">
      <c r="A15" s="277"/>
      <c r="B15" s="278" t="s">
        <v>340</v>
      </c>
      <c r="C15" s="279">
        <v>0.48</v>
      </c>
      <c r="D15" s="278">
        <f>MAX(C15:C26)</f>
        <v>6.92</v>
      </c>
      <c r="E15" s="278">
        <f>MIN(C15:C38)</f>
        <v>0.48</v>
      </c>
      <c r="F15" s="4"/>
      <c r="G15" s="4">
        <f t="shared" si="0"/>
        <v>0</v>
      </c>
    </row>
    <row r="16" spans="1:7" ht="15.75" x14ac:dyDescent="0.25">
      <c r="A16" s="277"/>
      <c r="B16" s="278" t="s">
        <v>341</v>
      </c>
      <c r="C16" s="279">
        <v>0.75</v>
      </c>
      <c r="D16" s="279"/>
      <c r="E16" s="279"/>
      <c r="F16" s="4"/>
      <c r="G16" s="4">
        <f t="shared" si="0"/>
        <v>0</v>
      </c>
    </row>
    <row r="17" spans="1:7" ht="32.25" customHeight="1" x14ac:dyDescent="0.25">
      <c r="A17" s="277"/>
      <c r="B17" s="278" t="s">
        <v>342</v>
      </c>
      <c r="C17" s="279">
        <v>0.71</v>
      </c>
      <c r="D17" s="279"/>
      <c r="E17" s="279"/>
      <c r="F17" s="4"/>
      <c r="G17" s="4">
        <f t="shared" si="0"/>
        <v>0</v>
      </c>
    </row>
    <row r="18" spans="1:7" ht="31.5" customHeight="1" x14ac:dyDescent="0.25">
      <c r="A18" s="277"/>
      <c r="B18" s="278" t="s">
        <v>343</v>
      </c>
      <c r="C18" s="279">
        <v>0.96</v>
      </c>
      <c r="D18" s="279"/>
      <c r="E18" s="279"/>
      <c r="F18" s="4"/>
      <c r="G18" s="4">
        <f t="shared" si="0"/>
        <v>0</v>
      </c>
    </row>
    <row r="19" spans="1:7" ht="31.5" customHeight="1" x14ac:dyDescent="0.25">
      <c r="A19" s="277"/>
      <c r="B19" s="278" t="s">
        <v>344</v>
      </c>
      <c r="C19" s="279">
        <v>0.69</v>
      </c>
      <c r="D19" s="279"/>
      <c r="E19" s="279"/>
      <c r="F19" s="4"/>
      <c r="G19" s="4">
        <f t="shared" si="0"/>
        <v>0</v>
      </c>
    </row>
    <row r="20" spans="1:7" ht="31.5" customHeight="1" x14ac:dyDescent="0.25">
      <c r="A20" s="277"/>
      <c r="B20" s="278" t="s">
        <v>345</v>
      </c>
      <c r="C20" s="279">
        <v>2.2000000000000002</v>
      </c>
      <c r="D20" s="279"/>
      <c r="E20" s="279"/>
      <c r="F20" s="4"/>
      <c r="G20" s="4">
        <f t="shared" si="0"/>
        <v>0</v>
      </c>
    </row>
    <row r="21" spans="1:7" ht="31.5" customHeight="1" x14ac:dyDescent="0.25">
      <c r="A21" s="277"/>
      <c r="B21" s="278" t="s">
        <v>346</v>
      </c>
      <c r="C21" s="279">
        <v>1.21</v>
      </c>
      <c r="D21" s="279"/>
      <c r="E21" s="279"/>
      <c r="F21" s="4"/>
      <c r="G21" s="4">
        <f t="shared" si="0"/>
        <v>0</v>
      </c>
    </row>
    <row r="22" spans="1:7" ht="31.5" customHeight="1" x14ac:dyDescent="0.25">
      <c r="A22" s="277"/>
      <c r="B22" s="278" t="s">
        <v>347</v>
      </c>
      <c r="C22" s="279">
        <v>1.03</v>
      </c>
      <c r="D22" s="279"/>
      <c r="E22" s="279"/>
      <c r="F22" s="4"/>
      <c r="G22" s="4">
        <f t="shared" si="0"/>
        <v>0</v>
      </c>
    </row>
    <row r="23" spans="1:7" ht="31.5" customHeight="1" x14ac:dyDescent="0.25">
      <c r="A23" s="277"/>
      <c r="B23" s="278" t="s">
        <v>348</v>
      </c>
      <c r="C23" s="279">
        <v>6.92</v>
      </c>
      <c r="D23" s="279"/>
      <c r="E23" s="279"/>
      <c r="F23" s="4"/>
      <c r="G23" s="4">
        <f t="shared" si="0"/>
        <v>0</v>
      </c>
    </row>
    <row r="24" spans="1:7" ht="31.5" customHeight="1" x14ac:dyDescent="0.25">
      <c r="A24" s="277"/>
      <c r="B24" s="278" t="s">
        <v>349</v>
      </c>
      <c r="C24" s="279">
        <v>0.55000000000000004</v>
      </c>
      <c r="D24" s="279"/>
      <c r="E24" s="279"/>
      <c r="F24" s="4"/>
      <c r="G24" s="4">
        <f t="shared" si="0"/>
        <v>0</v>
      </c>
    </row>
    <row r="25" spans="1:7" ht="31.5" customHeight="1" x14ac:dyDescent="0.25">
      <c r="A25" s="277"/>
      <c r="B25" s="278" t="s">
        <v>350</v>
      </c>
      <c r="C25" s="279">
        <v>0.65</v>
      </c>
      <c r="D25" s="279"/>
      <c r="E25" s="279"/>
      <c r="F25" s="4"/>
      <c r="G25" s="4">
        <f t="shared" si="0"/>
        <v>0</v>
      </c>
    </row>
    <row r="26" spans="1:7" ht="31.5" x14ac:dyDescent="0.25">
      <c r="A26" s="277"/>
      <c r="B26" s="278" t="s">
        <v>351</v>
      </c>
      <c r="C26" s="279">
        <v>1.1200000000000001</v>
      </c>
      <c r="D26" s="279"/>
      <c r="E26" s="279"/>
      <c r="F26" s="4"/>
      <c r="G26" s="4">
        <f t="shared" si="0"/>
        <v>0</v>
      </c>
    </row>
    <row r="27" spans="1:7" ht="15.75" x14ac:dyDescent="0.25">
      <c r="A27" s="4"/>
      <c r="B27" s="280" t="s">
        <v>352</v>
      </c>
      <c r="C27" s="279"/>
      <c r="D27" s="279"/>
      <c r="E27" s="279"/>
      <c r="F27" s="4"/>
      <c r="G27" s="4">
        <f t="shared" si="0"/>
        <v>0</v>
      </c>
    </row>
    <row r="28" spans="1:7" ht="15.75" x14ac:dyDescent="0.25">
      <c r="A28" s="277"/>
      <c r="B28" s="278" t="s">
        <v>353</v>
      </c>
      <c r="C28" s="279">
        <v>0.93</v>
      </c>
      <c r="D28" s="278">
        <f>MAX(C28:C38)</f>
        <v>18.59</v>
      </c>
      <c r="E28" s="278">
        <f>MIN(C28:C38)</f>
        <v>0.93</v>
      </c>
      <c r="F28" s="4"/>
      <c r="G28" s="4">
        <f t="shared" si="0"/>
        <v>0</v>
      </c>
    </row>
    <row r="29" spans="1:7" ht="15.75" x14ac:dyDescent="0.25">
      <c r="A29" s="277"/>
      <c r="B29" s="278" t="s">
        <v>354</v>
      </c>
      <c r="C29" s="279">
        <v>1.44</v>
      </c>
      <c r="D29" s="279"/>
      <c r="E29" s="279"/>
      <c r="F29" s="4"/>
      <c r="G29" s="4">
        <f t="shared" si="0"/>
        <v>0</v>
      </c>
    </row>
    <row r="30" spans="1:7" ht="15.75" x14ac:dyDescent="0.25">
      <c r="A30" s="277"/>
      <c r="B30" s="278" t="s">
        <v>355</v>
      </c>
      <c r="C30" s="279">
        <v>1.37</v>
      </c>
      <c r="D30" s="279"/>
      <c r="E30" s="279"/>
      <c r="F30" s="4"/>
      <c r="G30" s="4">
        <f t="shared" si="0"/>
        <v>0</v>
      </c>
    </row>
    <row r="31" spans="1:7" ht="15.75" x14ac:dyDescent="0.25">
      <c r="A31" s="277"/>
      <c r="B31" s="278" t="s">
        <v>356</v>
      </c>
      <c r="C31" s="279">
        <v>1.86</v>
      </c>
      <c r="D31" s="279"/>
      <c r="E31" s="279"/>
      <c r="F31" s="4"/>
      <c r="G31" s="4">
        <f t="shared" si="0"/>
        <v>0</v>
      </c>
    </row>
    <row r="32" spans="1:7" ht="15.75" x14ac:dyDescent="0.25">
      <c r="A32" s="277"/>
      <c r="B32" s="278" t="s">
        <v>357</v>
      </c>
      <c r="C32" s="279">
        <v>2.33</v>
      </c>
      <c r="D32" s="279"/>
      <c r="E32" s="279"/>
      <c r="F32" s="4"/>
      <c r="G32" s="4">
        <f t="shared" si="0"/>
        <v>0</v>
      </c>
    </row>
    <row r="33" spans="1:7" ht="15.75" x14ac:dyDescent="0.25">
      <c r="A33" s="277"/>
      <c r="B33" s="278" t="s">
        <v>358</v>
      </c>
      <c r="C33" s="279">
        <v>1.35</v>
      </c>
      <c r="D33" s="279"/>
      <c r="E33" s="279"/>
      <c r="F33" s="4"/>
      <c r="G33" s="4">
        <f t="shared" si="0"/>
        <v>0</v>
      </c>
    </row>
    <row r="34" spans="1:7" ht="15.75" x14ac:dyDescent="0.25">
      <c r="A34" s="277"/>
      <c r="B34" s="278" t="s">
        <v>359</v>
      </c>
      <c r="C34" s="279">
        <v>8.7100000000000009</v>
      </c>
      <c r="D34" s="279"/>
      <c r="E34" s="279"/>
      <c r="F34" s="4"/>
      <c r="G34" s="4">
        <f t="shared" si="0"/>
        <v>0</v>
      </c>
    </row>
    <row r="35" spans="1:7" ht="15.75" x14ac:dyDescent="0.25">
      <c r="A35" s="277"/>
      <c r="B35" s="278" t="s">
        <v>360</v>
      </c>
      <c r="C35" s="279">
        <v>2.34</v>
      </c>
      <c r="D35" s="279"/>
      <c r="E35" s="279"/>
      <c r="F35" s="4"/>
      <c r="G35" s="4">
        <f t="shared" si="0"/>
        <v>0</v>
      </c>
    </row>
    <row r="36" spans="1:7" ht="15.75" x14ac:dyDescent="0.25">
      <c r="A36" s="277"/>
      <c r="B36" s="278" t="s">
        <v>361</v>
      </c>
      <c r="C36" s="279">
        <v>2.93</v>
      </c>
      <c r="D36" s="279"/>
      <c r="E36" s="279"/>
      <c r="F36" s="4"/>
      <c r="G36" s="4">
        <f t="shared" si="0"/>
        <v>0</v>
      </c>
    </row>
    <row r="37" spans="1:7" ht="15.75" x14ac:dyDescent="0.25">
      <c r="A37" s="277"/>
      <c r="B37" s="278" t="s">
        <v>362</v>
      </c>
      <c r="C37" s="279">
        <v>13.8</v>
      </c>
      <c r="D37" s="279"/>
      <c r="E37" s="279"/>
      <c r="F37" s="4"/>
      <c r="G37" s="4">
        <f t="shared" si="0"/>
        <v>0</v>
      </c>
    </row>
    <row r="38" spans="1:7" ht="63" x14ac:dyDescent="0.25">
      <c r="A38" s="277"/>
      <c r="B38" s="278" t="s">
        <v>363</v>
      </c>
      <c r="C38" s="279">
        <v>18.59</v>
      </c>
      <c r="D38" s="279"/>
      <c r="E38" s="279"/>
      <c r="F38" s="4"/>
      <c r="G38" s="4">
        <f t="shared" si="0"/>
        <v>0</v>
      </c>
    </row>
    <row r="39" spans="1:7" ht="15.75" x14ac:dyDescent="0.25">
      <c r="A39" s="4">
        <v>4</v>
      </c>
      <c r="B39" s="280" t="s">
        <v>285</v>
      </c>
      <c r="C39" s="279"/>
      <c r="D39" s="279"/>
      <c r="E39" s="279"/>
      <c r="F39" s="4"/>
      <c r="G39" s="4">
        <f t="shared" si="0"/>
        <v>0</v>
      </c>
    </row>
    <row r="40" spans="1:7" ht="15.75" x14ac:dyDescent="0.25">
      <c r="A40" s="277"/>
      <c r="B40" s="278" t="s">
        <v>364</v>
      </c>
      <c r="C40" s="279">
        <v>1.6</v>
      </c>
      <c r="D40" s="278">
        <f>MAX(C40:C54)</f>
        <v>4.9800000000000004</v>
      </c>
      <c r="E40" s="278">
        <f>MIN(C40:C54)</f>
        <v>1.6</v>
      </c>
      <c r="F40" s="4"/>
      <c r="G40" s="4">
        <f t="shared" si="0"/>
        <v>0</v>
      </c>
    </row>
    <row r="41" spans="1:7" ht="15.75" x14ac:dyDescent="0.25">
      <c r="A41" s="277"/>
      <c r="B41" s="281" t="s">
        <v>365</v>
      </c>
      <c r="C41" s="279">
        <v>1.61</v>
      </c>
      <c r="D41" s="279"/>
      <c r="E41" s="279"/>
      <c r="F41" s="4"/>
      <c r="G41" s="4">
        <f t="shared" si="0"/>
        <v>0</v>
      </c>
    </row>
    <row r="42" spans="1:7" ht="15.75" x14ac:dyDescent="0.25">
      <c r="A42" s="277"/>
      <c r="B42" s="281" t="s">
        <v>366</v>
      </c>
      <c r="C42" s="279">
        <v>1.97</v>
      </c>
      <c r="D42" s="279"/>
      <c r="E42" s="279"/>
      <c r="F42" s="4"/>
      <c r="G42" s="4">
        <f t="shared" si="0"/>
        <v>0</v>
      </c>
    </row>
    <row r="43" spans="1:7" ht="15.75" x14ac:dyDescent="0.25">
      <c r="A43" s="277"/>
      <c r="B43" s="281" t="s">
        <v>375</v>
      </c>
      <c r="C43" s="279">
        <v>3.24</v>
      </c>
      <c r="D43" s="279"/>
      <c r="E43" s="279"/>
      <c r="F43" s="4"/>
      <c r="G43" s="4">
        <f t="shared" si="0"/>
        <v>0</v>
      </c>
    </row>
    <row r="44" spans="1:7" ht="15.75" x14ac:dyDescent="0.25">
      <c r="A44" s="277"/>
      <c r="B44" s="281" t="s">
        <v>376</v>
      </c>
      <c r="C44" s="279">
        <v>2.16</v>
      </c>
      <c r="D44" s="279"/>
      <c r="E44" s="279"/>
      <c r="F44" s="4"/>
      <c r="G44" s="4">
        <f t="shared" si="0"/>
        <v>0</v>
      </c>
    </row>
    <row r="45" spans="1:7" ht="15.75" x14ac:dyDescent="0.25">
      <c r="A45" s="277"/>
      <c r="B45" s="281" t="s">
        <v>367</v>
      </c>
      <c r="C45" s="279">
        <v>2.95</v>
      </c>
      <c r="D45" s="279"/>
      <c r="E45" s="279"/>
      <c r="F45" s="4"/>
      <c r="G45" s="4">
        <f t="shared" si="0"/>
        <v>0</v>
      </c>
    </row>
    <row r="46" spans="1:7" ht="15.75" x14ac:dyDescent="0.25">
      <c r="A46" s="277"/>
      <c r="B46" s="281" t="s">
        <v>368</v>
      </c>
      <c r="C46" s="279">
        <v>2.46</v>
      </c>
      <c r="D46" s="279"/>
      <c r="E46" s="279"/>
      <c r="F46" s="4"/>
      <c r="G46" s="4">
        <f t="shared" si="0"/>
        <v>0</v>
      </c>
    </row>
    <row r="47" spans="1:7" ht="31.5" x14ac:dyDescent="0.25">
      <c r="A47" s="277"/>
      <c r="B47" s="281" t="s">
        <v>369</v>
      </c>
      <c r="C47" s="279">
        <v>3.73</v>
      </c>
      <c r="D47" s="279"/>
      <c r="E47" s="279"/>
      <c r="F47" s="4"/>
      <c r="G47" s="4">
        <f t="shared" si="0"/>
        <v>0</v>
      </c>
    </row>
    <row r="48" spans="1:7" ht="47.25" x14ac:dyDescent="0.25">
      <c r="A48" s="277"/>
      <c r="B48" s="281" t="s">
        <v>370</v>
      </c>
      <c r="C48" s="279">
        <v>2.99</v>
      </c>
      <c r="D48" s="279"/>
      <c r="E48" s="279"/>
      <c r="F48" s="4"/>
      <c r="G48" s="4">
        <f t="shared" si="0"/>
        <v>0</v>
      </c>
    </row>
    <row r="49" spans="1:7" ht="31.5" x14ac:dyDescent="0.25">
      <c r="A49" s="277"/>
      <c r="B49" s="281" t="s">
        <v>493</v>
      </c>
      <c r="C49" s="279">
        <v>4.9800000000000004</v>
      </c>
      <c r="D49" s="279"/>
      <c r="E49" s="279"/>
      <c r="F49" s="4"/>
      <c r="G49" s="4">
        <f t="shared" si="0"/>
        <v>0</v>
      </c>
    </row>
    <row r="50" spans="1:7" ht="31.5" x14ac:dyDescent="0.25">
      <c r="A50" s="277"/>
      <c r="B50" s="281" t="s">
        <v>494</v>
      </c>
      <c r="C50" s="279">
        <v>3.48</v>
      </c>
      <c r="D50" s="279"/>
      <c r="E50" s="279"/>
      <c r="F50" s="4"/>
      <c r="G50" s="4">
        <f t="shared" si="0"/>
        <v>0</v>
      </c>
    </row>
    <row r="51" spans="1:7" ht="47.25" x14ac:dyDescent="0.25">
      <c r="A51" s="277"/>
      <c r="B51" s="281" t="s">
        <v>371</v>
      </c>
      <c r="C51" s="279">
        <v>3.28</v>
      </c>
      <c r="D51" s="279"/>
      <c r="E51" s="279"/>
      <c r="F51" s="4"/>
      <c r="G51" s="4">
        <f t="shared" si="0"/>
        <v>0</v>
      </c>
    </row>
    <row r="52" spans="1:7" ht="47.25" x14ac:dyDescent="0.25">
      <c r="A52" s="277"/>
      <c r="B52" s="281" t="s">
        <v>372</v>
      </c>
      <c r="C52" s="279">
        <v>2.04</v>
      </c>
      <c r="D52" s="279"/>
      <c r="E52" s="279"/>
      <c r="F52" s="4"/>
      <c r="G52" s="4">
        <f t="shared" si="0"/>
        <v>0</v>
      </c>
    </row>
    <row r="53" spans="1:7" ht="47.25" x14ac:dyDescent="0.25">
      <c r="A53" s="277"/>
      <c r="B53" s="281" t="s">
        <v>373</v>
      </c>
      <c r="C53" s="279">
        <v>4.92</v>
      </c>
      <c r="D53" s="279"/>
      <c r="E53" s="279"/>
      <c r="F53" s="4"/>
      <c r="G53" s="4">
        <f t="shared" si="0"/>
        <v>0</v>
      </c>
    </row>
    <row r="54" spans="1:7" ht="47.25" x14ac:dyDescent="0.25">
      <c r="A54" s="277"/>
      <c r="B54" s="281" t="s">
        <v>374</v>
      </c>
      <c r="C54" s="279">
        <v>3.06</v>
      </c>
      <c r="D54" s="279"/>
      <c r="E54" s="279"/>
      <c r="F54" s="4"/>
      <c r="G54" s="4">
        <f t="shared" si="0"/>
        <v>0</v>
      </c>
    </row>
    <row r="55" spans="1:7" ht="15.75" x14ac:dyDescent="0.25">
      <c r="A55" s="4">
        <v>5</v>
      </c>
      <c r="B55" s="280" t="s">
        <v>289</v>
      </c>
      <c r="C55" s="279"/>
      <c r="D55" s="279"/>
      <c r="E55" s="279"/>
      <c r="F55" s="4"/>
      <c r="G55" s="4">
        <f t="shared" si="0"/>
        <v>0</v>
      </c>
    </row>
    <row r="56" spans="1:7" ht="31.5" customHeight="1" x14ac:dyDescent="0.25">
      <c r="A56" s="277"/>
      <c r="B56" s="278" t="s">
        <v>377</v>
      </c>
      <c r="C56" s="279">
        <v>1.07</v>
      </c>
      <c r="D56" s="278">
        <f>MAX(C56:C62)</f>
        <v>4.58</v>
      </c>
      <c r="E56" s="278">
        <f>MIN(C56:C62)</f>
        <v>1.07</v>
      </c>
      <c r="F56" s="4"/>
      <c r="G56" s="4">
        <f t="shared" si="0"/>
        <v>0</v>
      </c>
    </row>
    <row r="57" spans="1:7" ht="31.5" customHeight="1" x14ac:dyDescent="0.25">
      <c r="A57" s="277"/>
      <c r="B57" s="278" t="s">
        <v>378</v>
      </c>
      <c r="C57" s="279">
        <v>1.3</v>
      </c>
      <c r="D57" s="279"/>
      <c r="E57" s="279"/>
      <c r="F57" s="4"/>
      <c r="G57" s="4">
        <f t="shared" si="0"/>
        <v>0</v>
      </c>
    </row>
    <row r="58" spans="1:7" ht="31.5" customHeight="1" x14ac:dyDescent="0.25">
      <c r="A58" s="277"/>
      <c r="B58" s="278" t="s">
        <v>379</v>
      </c>
      <c r="C58" s="279">
        <v>2.35</v>
      </c>
      <c r="D58" s="279"/>
      <c r="E58" s="279"/>
      <c r="F58" s="4"/>
      <c r="G58" s="4">
        <f t="shared" si="0"/>
        <v>0</v>
      </c>
    </row>
    <row r="59" spans="1:7" ht="31.5" customHeight="1" x14ac:dyDescent="0.25">
      <c r="A59" s="277"/>
      <c r="B59" s="278" t="s">
        <v>380</v>
      </c>
      <c r="C59" s="279">
        <v>2.72</v>
      </c>
      <c r="D59" s="279"/>
      <c r="E59" s="279"/>
      <c r="F59" s="4"/>
      <c r="G59" s="4">
        <f t="shared" si="0"/>
        <v>0</v>
      </c>
    </row>
    <row r="60" spans="1:7" ht="31.5" customHeight="1" x14ac:dyDescent="0.25">
      <c r="A60" s="277"/>
      <c r="B60" s="278" t="s">
        <v>381</v>
      </c>
      <c r="C60" s="279">
        <v>2.86</v>
      </c>
      <c r="D60" s="279"/>
      <c r="E60" s="279"/>
      <c r="F60" s="4"/>
      <c r="G60" s="4">
        <f t="shared" si="0"/>
        <v>0</v>
      </c>
    </row>
    <row r="61" spans="1:7" ht="31.5" customHeight="1" x14ac:dyDescent="0.25">
      <c r="A61" s="277"/>
      <c r="B61" s="278" t="s">
        <v>382</v>
      </c>
      <c r="C61" s="279">
        <v>4.3499999999999996</v>
      </c>
      <c r="D61" s="279"/>
      <c r="E61" s="279"/>
      <c r="F61" s="4"/>
      <c r="G61" s="4">
        <f t="shared" si="0"/>
        <v>0</v>
      </c>
    </row>
    <row r="62" spans="1:7" ht="31.5" customHeight="1" x14ac:dyDescent="0.25">
      <c r="A62" s="277"/>
      <c r="B62" s="278" t="s">
        <v>383</v>
      </c>
      <c r="C62" s="279">
        <v>4.58</v>
      </c>
      <c r="D62" s="279"/>
      <c r="E62" s="279"/>
      <c r="F62" s="4"/>
      <c r="G62" s="4">
        <f t="shared" si="0"/>
        <v>0</v>
      </c>
    </row>
    <row r="63" spans="1:7" ht="15.75" x14ac:dyDescent="0.25">
      <c r="A63" s="4">
        <v>6</v>
      </c>
      <c r="B63" s="280" t="s">
        <v>292</v>
      </c>
      <c r="C63" s="279"/>
      <c r="D63" s="279"/>
      <c r="E63" s="279"/>
      <c r="F63" s="4"/>
      <c r="G63" s="4">
        <f t="shared" si="0"/>
        <v>0</v>
      </c>
    </row>
    <row r="64" spans="1:7" ht="15.75" customHeight="1" x14ac:dyDescent="0.25">
      <c r="A64" s="277"/>
      <c r="B64" s="278" t="s">
        <v>384</v>
      </c>
      <c r="C64" s="279">
        <v>2.5499999999999998</v>
      </c>
      <c r="D64" s="278">
        <f>MAX(C64:C76)</f>
        <v>4.13</v>
      </c>
      <c r="E64" s="278">
        <f>MIN(C64:C76)</f>
        <v>1.92</v>
      </c>
      <c r="F64" s="4"/>
      <c r="G64" s="4">
        <f t="shared" si="0"/>
        <v>0</v>
      </c>
    </row>
    <row r="65" spans="1:7" ht="15.75" customHeight="1" x14ac:dyDescent="0.25">
      <c r="A65" s="277"/>
      <c r="B65" s="278" t="s">
        <v>385</v>
      </c>
      <c r="C65" s="279">
        <v>2.65</v>
      </c>
      <c r="D65" s="279"/>
      <c r="E65" s="279"/>
      <c r="F65" s="4">
        <v>100</v>
      </c>
      <c r="G65" s="4">
        <f t="shared" si="0"/>
        <v>2.65</v>
      </c>
    </row>
    <row r="66" spans="1:7" ht="15.75" customHeight="1" x14ac:dyDescent="0.25">
      <c r="A66" s="277"/>
      <c r="B66" s="278" t="s">
        <v>386</v>
      </c>
      <c r="C66" s="279">
        <v>2.64</v>
      </c>
      <c r="D66" s="279"/>
      <c r="E66" s="279"/>
      <c r="F66" s="4"/>
      <c r="G66" s="4">
        <f t="shared" si="0"/>
        <v>0</v>
      </c>
    </row>
    <row r="67" spans="1:7" ht="15.75" customHeight="1" x14ac:dyDescent="0.25">
      <c r="A67" s="277"/>
      <c r="B67" s="278" t="s">
        <v>387</v>
      </c>
      <c r="C67" s="279">
        <v>3</v>
      </c>
      <c r="D67" s="279"/>
      <c r="E67" s="279"/>
      <c r="F67" s="4"/>
      <c r="G67" s="4">
        <f t="shared" si="0"/>
        <v>0</v>
      </c>
    </row>
    <row r="68" spans="1:7" ht="15.75" customHeight="1" x14ac:dyDescent="0.25">
      <c r="A68" s="277"/>
      <c r="B68" s="278" t="s">
        <v>388</v>
      </c>
      <c r="C68" s="279">
        <v>1.92</v>
      </c>
      <c r="D68" s="279"/>
      <c r="E68" s="279"/>
      <c r="F68" s="4"/>
      <c r="G68" s="4">
        <f t="shared" si="0"/>
        <v>0</v>
      </c>
    </row>
    <row r="69" spans="1:7" ht="15.75" customHeight="1" x14ac:dyDescent="0.25">
      <c r="A69" s="277"/>
      <c r="B69" s="278" t="s">
        <v>389</v>
      </c>
      <c r="C69" s="279">
        <v>1.98</v>
      </c>
      <c r="D69" s="279"/>
      <c r="E69" s="279"/>
      <c r="F69" s="4"/>
      <c r="G69" s="4">
        <f t="shared" si="0"/>
        <v>0</v>
      </c>
    </row>
    <row r="70" spans="1:7" ht="15.75" customHeight="1" x14ac:dyDescent="0.25">
      <c r="A70" s="277"/>
      <c r="B70" s="278" t="s">
        <v>390</v>
      </c>
      <c r="C70" s="279">
        <v>2.0099999999999998</v>
      </c>
      <c r="D70" s="279"/>
      <c r="E70" s="279"/>
      <c r="F70" s="4"/>
      <c r="G70" s="4">
        <f t="shared" si="0"/>
        <v>0</v>
      </c>
    </row>
    <row r="71" spans="1:7" ht="15.75" customHeight="1" x14ac:dyDescent="0.25">
      <c r="A71" s="277"/>
      <c r="B71" s="278" t="s">
        <v>391</v>
      </c>
      <c r="C71" s="279">
        <v>2.36</v>
      </c>
      <c r="D71" s="279"/>
      <c r="E71" s="279"/>
      <c r="F71" s="4"/>
      <c r="G71" s="4">
        <f t="shared" si="0"/>
        <v>0</v>
      </c>
    </row>
    <row r="72" spans="1:7" ht="15.75" customHeight="1" x14ac:dyDescent="0.25">
      <c r="A72" s="277"/>
      <c r="B72" s="278" t="s">
        <v>392</v>
      </c>
      <c r="C72" s="279">
        <v>3.04</v>
      </c>
      <c r="D72" s="279"/>
      <c r="E72" s="279"/>
      <c r="F72" s="4"/>
      <c r="G72" s="4">
        <f t="shared" si="0"/>
        <v>0</v>
      </c>
    </row>
    <row r="73" spans="1:7" ht="15.75" customHeight="1" x14ac:dyDescent="0.25">
      <c r="A73" s="277"/>
      <c r="B73" s="278" t="s">
        <v>393</v>
      </c>
      <c r="C73" s="279">
        <v>3.08</v>
      </c>
      <c r="D73" s="279"/>
      <c r="E73" s="279"/>
      <c r="F73" s="4"/>
      <c r="G73" s="4">
        <f t="shared" si="0"/>
        <v>0</v>
      </c>
    </row>
    <row r="74" spans="1:7" ht="15.75" customHeight="1" x14ac:dyDescent="0.25">
      <c r="A74" s="277"/>
      <c r="B74" s="278" t="s">
        <v>394</v>
      </c>
      <c r="C74" s="279">
        <v>3.08</v>
      </c>
      <c r="D74" s="279"/>
      <c r="E74" s="279"/>
      <c r="F74" s="4"/>
      <c r="G74" s="4">
        <f t="shared" si="0"/>
        <v>0</v>
      </c>
    </row>
    <row r="75" spans="1:7" ht="15.75" customHeight="1" x14ac:dyDescent="0.25">
      <c r="A75" s="277"/>
      <c r="B75" s="278" t="s">
        <v>395</v>
      </c>
      <c r="C75" s="279">
        <v>3.24</v>
      </c>
      <c r="D75" s="279"/>
      <c r="E75" s="279"/>
      <c r="F75" s="4"/>
      <c r="G75" s="4">
        <f t="shared" si="0"/>
        <v>0</v>
      </c>
    </row>
    <row r="76" spans="1:7" ht="15.75" customHeight="1" x14ac:dyDescent="0.25">
      <c r="A76" s="277"/>
      <c r="B76" s="278" t="s">
        <v>396</v>
      </c>
      <c r="C76" s="279">
        <v>4.13</v>
      </c>
      <c r="D76" s="279"/>
      <c r="E76" s="279"/>
      <c r="F76" s="4"/>
      <c r="G76" s="4">
        <f t="shared" si="0"/>
        <v>0</v>
      </c>
    </row>
    <row r="77" spans="1:7" ht="15.75" x14ac:dyDescent="0.25">
      <c r="A77" s="4">
        <v>7</v>
      </c>
      <c r="B77" s="280" t="s">
        <v>294</v>
      </c>
      <c r="C77" s="279"/>
      <c r="D77" s="279"/>
      <c r="E77" s="279"/>
      <c r="F77" s="4"/>
      <c r="G77" s="4">
        <f t="shared" si="0"/>
        <v>0</v>
      </c>
    </row>
    <row r="78" spans="1:7" ht="15.75" x14ac:dyDescent="0.25">
      <c r="A78" s="277"/>
      <c r="B78" s="278" t="s">
        <v>401</v>
      </c>
      <c r="C78" s="279">
        <v>0.68</v>
      </c>
      <c r="D78" s="278">
        <f>MAX(C78:C95)</f>
        <v>10.42</v>
      </c>
      <c r="E78" s="278">
        <f>MIN(C78:C95)</f>
        <v>0.68</v>
      </c>
      <c r="F78" s="327">
        <v>100</v>
      </c>
      <c r="G78" s="4">
        <f t="shared" si="0"/>
        <v>0.68</v>
      </c>
    </row>
    <row r="79" spans="1:7" ht="33.75" customHeight="1" x14ac:dyDescent="0.25">
      <c r="A79" s="277"/>
      <c r="B79" s="278" t="s">
        <v>397</v>
      </c>
      <c r="C79" s="279">
        <v>1.43</v>
      </c>
      <c r="D79" s="279"/>
      <c r="E79" s="279"/>
      <c r="F79" s="4"/>
      <c r="G79" s="4">
        <f t="shared" si="0"/>
        <v>0</v>
      </c>
    </row>
    <row r="80" spans="1:7" ht="36" customHeight="1" x14ac:dyDescent="0.25">
      <c r="A80" s="277"/>
      <c r="B80" s="278" t="s">
        <v>398</v>
      </c>
      <c r="C80" s="279">
        <v>2.0299999999999998</v>
      </c>
      <c r="D80" s="279"/>
      <c r="E80" s="279"/>
      <c r="F80" s="4"/>
      <c r="G80" s="4">
        <f t="shared" si="0"/>
        <v>0</v>
      </c>
    </row>
    <row r="81" spans="1:7" ht="36" customHeight="1" x14ac:dyDescent="0.25">
      <c r="A81" s="277"/>
      <c r="B81" s="278" t="s">
        <v>399</v>
      </c>
      <c r="C81" s="279">
        <v>2.38</v>
      </c>
      <c r="D81" s="279"/>
      <c r="E81" s="279"/>
      <c r="F81" s="4"/>
      <c r="G81" s="4">
        <f t="shared" si="0"/>
        <v>0</v>
      </c>
    </row>
    <row r="82" spans="1:7" ht="36" customHeight="1" x14ac:dyDescent="0.25">
      <c r="A82" s="277"/>
      <c r="B82" s="278" t="s">
        <v>400</v>
      </c>
      <c r="C82" s="279">
        <v>3.37</v>
      </c>
      <c r="D82" s="279"/>
      <c r="E82" s="279"/>
      <c r="F82" s="4"/>
      <c r="G82" s="4">
        <f t="shared" si="0"/>
        <v>0</v>
      </c>
    </row>
    <row r="83" spans="1:7" ht="36" customHeight="1" x14ac:dyDescent="0.25">
      <c r="A83" s="277"/>
      <c r="B83" s="278" t="s">
        <v>483</v>
      </c>
      <c r="C83" s="279">
        <v>4.21</v>
      </c>
      <c r="D83" s="279"/>
      <c r="E83" s="279"/>
      <c r="F83" s="4"/>
      <c r="G83" s="4">
        <f t="shared" si="0"/>
        <v>0</v>
      </c>
    </row>
    <row r="84" spans="1:7" ht="36" customHeight="1" x14ac:dyDescent="0.25">
      <c r="A84" s="277"/>
      <c r="B84" s="278" t="s">
        <v>484</v>
      </c>
      <c r="C84" s="279">
        <v>3.54</v>
      </c>
      <c r="D84" s="279"/>
      <c r="E84" s="279"/>
      <c r="F84" s="4"/>
      <c r="G84" s="4">
        <f t="shared" si="0"/>
        <v>0</v>
      </c>
    </row>
    <row r="85" spans="1:7" ht="36" customHeight="1" x14ac:dyDescent="0.25">
      <c r="A85" s="277"/>
      <c r="B85" s="278" t="s">
        <v>485</v>
      </c>
      <c r="C85" s="279">
        <v>4.4400000000000004</v>
      </c>
      <c r="D85" s="279"/>
      <c r="E85" s="279"/>
      <c r="F85" s="4"/>
      <c r="G85" s="4">
        <f t="shared" si="0"/>
        <v>0</v>
      </c>
    </row>
    <row r="86" spans="1:7" ht="36" customHeight="1" x14ac:dyDescent="0.25">
      <c r="A86" s="277"/>
      <c r="B86" s="278" t="s">
        <v>486</v>
      </c>
      <c r="C86" s="279">
        <v>5.33</v>
      </c>
      <c r="D86" s="279"/>
      <c r="E86" s="279"/>
      <c r="F86" s="4"/>
      <c r="G86" s="4">
        <f t="shared" si="0"/>
        <v>0</v>
      </c>
    </row>
    <row r="87" spans="1:7" ht="36" customHeight="1" x14ac:dyDescent="0.25">
      <c r="A87" s="277"/>
      <c r="B87" s="278" t="s">
        <v>487</v>
      </c>
      <c r="C87" s="279">
        <v>6.2</v>
      </c>
      <c r="D87" s="279"/>
      <c r="E87" s="279"/>
      <c r="F87" s="4"/>
      <c r="G87" s="4">
        <f t="shared" si="0"/>
        <v>0</v>
      </c>
    </row>
    <row r="88" spans="1:7" ht="36" customHeight="1" x14ac:dyDescent="0.25">
      <c r="A88" s="277"/>
      <c r="B88" s="278" t="s">
        <v>488</v>
      </c>
      <c r="C88" s="279">
        <v>8.77</v>
      </c>
      <c r="D88" s="279"/>
      <c r="E88" s="279"/>
      <c r="F88" s="4"/>
      <c r="G88" s="4">
        <f t="shared" si="0"/>
        <v>0</v>
      </c>
    </row>
    <row r="89" spans="1:7" ht="36" customHeight="1" x14ac:dyDescent="0.25">
      <c r="A89" s="277"/>
      <c r="B89" s="278" t="s">
        <v>489</v>
      </c>
      <c r="C89" s="279">
        <v>4.5199999999999996</v>
      </c>
      <c r="D89" s="279"/>
      <c r="E89" s="279"/>
      <c r="F89" s="4"/>
      <c r="G89" s="4">
        <f t="shared" si="0"/>
        <v>0</v>
      </c>
    </row>
    <row r="90" spans="1:7" ht="36" customHeight="1" x14ac:dyDescent="0.25">
      <c r="A90" s="277"/>
      <c r="B90" s="278" t="s">
        <v>490</v>
      </c>
      <c r="C90" s="279">
        <v>10.42</v>
      </c>
      <c r="D90" s="279"/>
      <c r="E90" s="279"/>
      <c r="F90" s="4"/>
      <c r="G90" s="4">
        <f t="shared" si="0"/>
        <v>0</v>
      </c>
    </row>
    <row r="91" spans="1:7" ht="36" customHeight="1" x14ac:dyDescent="0.25">
      <c r="A91" s="277"/>
      <c r="B91" s="278" t="s">
        <v>491</v>
      </c>
      <c r="C91" s="279">
        <v>7.07</v>
      </c>
      <c r="D91" s="279"/>
      <c r="E91" s="279"/>
      <c r="F91" s="4"/>
      <c r="G91" s="4">
        <f t="shared" si="0"/>
        <v>0</v>
      </c>
    </row>
    <row r="92" spans="1:7" ht="36" customHeight="1" x14ac:dyDescent="0.25">
      <c r="A92" s="277"/>
      <c r="B92" s="278" t="s">
        <v>492</v>
      </c>
      <c r="C92" s="279">
        <v>5.66</v>
      </c>
      <c r="D92" s="279"/>
      <c r="E92" s="279"/>
      <c r="F92" s="4"/>
      <c r="G92" s="4">
        <f t="shared" si="0"/>
        <v>0</v>
      </c>
    </row>
    <row r="93" spans="1:7" ht="36" customHeight="1" x14ac:dyDescent="0.25">
      <c r="A93" s="277"/>
      <c r="B93" s="278" t="s">
        <v>402</v>
      </c>
      <c r="C93" s="279">
        <v>3.84</v>
      </c>
      <c r="D93" s="279"/>
      <c r="E93" s="279"/>
      <c r="F93" s="4"/>
      <c r="G93" s="4">
        <f t="shared" si="0"/>
        <v>0</v>
      </c>
    </row>
    <row r="94" spans="1:7" ht="36" customHeight="1" x14ac:dyDescent="0.25">
      <c r="A94" s="277"/>
      <c r="B94" s="278" t="s">
        <v>403</v>
      </c>
      <c r="C94" s="279">
        <v>6.58</v>
      </c>
      <c r="D94" s="279"/>
      <c r="E94" s="279"/>
      <c r="F94" s="4"/>
      <c r="G94" s="4">
        <f t="shared" si="0"/>
        <v>0</v>
      </c>
    </row>
    <row r="95" spans="1:7" ht="19.5" customHeight="1" x14ac:dyDescent="0.25">
      <c r="A95" s="277"/>
      <c r="B95" s="278" t="s">
        <v>404</v>
      </c>
      <c r="C95" s="279">
        <v>5.12</v>
      </c>
      <c r="D95" s="279"/>
      <c r="E95" s="279"/>
      <c r="F95" s="4"/>
      <c r="G95" s="4">
        <f t="shared" si="0"/>
        <v>0</v>
      </c>
    </row>
    <row r="96" spans="1:7" ht="15.75" x14ac:dyDescent="0.25">
      <c r="A96" s="4">
        <v>8</v>
      </c>
      <c r="B96" s="280" t="s">
        <v>405</v>
      </c>
      <c r="C96" s="279"/>
      <c r="D96" s="279"/>
      <c r="E96" s="279"/>
      <c r="F96" s="4"/>
      <c r="G96" s="4">
        <f t="shared" si="0"/>
        <v>0</v>
      </c>
    </row>
    <row r="97" spans="1:7" ht="15.75" x14ac:dyDescent="0.25">
      <c r="A97" s="4"/>
      <c r="B97" s="280" t="s">
        <v>406</v>
      </c>
      <c r="C97" s="279"/>
      <c r="D97" s="279"/>
      <c r="E97" s="279"/>
      <c r="F97" s="4"/>
      <c r="G97" s="4">
        <f t="shared" si="0"/>
        <v>0</v>
      </c>
    </row>
    <row r="98" spans="1:7" ht="15.75" x14ac:dyDescent="0.25">
      <c r="A98" s="277"/>
      <c r="B98" s="278" t="s">
        <v>417</v>
      </c>
      <c r="C98" s="279">
        <v>1.05</v>
      </c>
      <c r="D98" s="278">
        <f>MAX(C98:C115)</f>
        <v>9.9700000000000006</v>
      </c>
      <c r="E98" s="278">
        <f>MIN(C98:C115)</f>
        <v>0.46</v>
      </c>
      <c r="F98" s="279"/>
      <c r="G98" s="4">
        <f t="shared" si="0"/>
        <v>0</v>
      </c>
    </row>
    <row r="99" spans="1:7" ht="15.75" x14ac:dyDescent="0.25">
      <c r="A99" s="277"/>
      <c r="B99" s="278" t="s">
        <v>418</v>
      </c>
      <c r="C99" s="279">
        <v>1.41</v>
      </c>
      <c r="D99" s="279"/>
      <c r="E99" s="279"/>
      <c r="F99" s="327">
        <v>100</v>
      </c>
      <c r="G99" s="4">
        <f t="shared" si="0"/>
        <v>1.41</v>
      </c>
    </row>
    <row r="100" spans="1:7" ht="15.75" x14ac:dyDescent="0.25">
      <c r="A100" s="277"/>
      <c r="B100" s="278" t="s">
        <v>419</v>
      </c>
      <c r="C100" s="279">
        <v>0.46</v>
      </c>
      <c r="D100" s="279"/>
      <c r="E100" s="279"/>
      <c r="F100" s="4"/>
      <c r="G100" s="4">
        <f t="shared" si="0"/>
        <v>0</v>
      </c>
    </row>
    <row r="101" spans="1:7" ht="15.75" x14ac:dyDescent="0.25">
      <c r="A101" s="277"/>
      <c r="B101" s="278" t="s">
        <v>420</v>
      </c>
      <c r="C101" s="279">
        <v>0.6</v>
      </c>
      <c r="D101" s="279"/>
      <c r="E101" s="279"/>
      <c r="F101" s="4"/>
      <c r="G101" s="4">
        <f t="shared" si="0"/>
        <v>0</v>
      </c>
    </row>
    <row r="102" spans="1:7" ht="15.75" x14ac:dyDescent="0.25">
      <c r="A102" s="277"/>
      <c r="B102" s="278" t="s">
        <v>421</v>
      </c>
      <c r="C102" s="279">
        <v>0.75</v>
      </c>
      <c r="D102" s="279"/>
      <c r="E102" s="279"/>
      <c r="F102" s="4"/>
      <c r="G102" s="4">
        <f t="shared" si="0"/>
        <v>0</v>
      </c>
    </row>
    <row r="103" spans="1:7" ht="31.5" x14ac:dyDescent="0.25">
      <c r="A103" s="277"/>
      <c r="B103" s="278" t="s">
        <v>422</v>
      </c>
      <c r="C103" s="279">
        <v>3.62</v>
      </c>
      <c r="D103" s="279"/>
      <c r="E103" s="279"/>
      <c r="F103" s="4"/>
      <c r="G103" s="4">
        <f t="shared" si="0"/>
        <v>0</v>
      </c>
    </row>
    <row r="104" spans="1:7" ht="15.75" x14ac:dyDescent="0.25">
      <c r="A104" s="277"/>
      <c r="B104" s="278" t="s">
        <v>423</v>
      </c>
      <c r="C104" s="279">
        <v>6.86</v>
      </c>
      <c r="D104" s="279"/>
      <c r="E104" s="279"/>
      <c r="F104" s="4"/>
      <c r="G104" s="4">
        <f t="shared" si="0"/>
        <v>0</v>
      </c>
    </row>
    <row r="105" spans="1:7" ht="31.5" x14ac:dyDescent="0.25">
      <c r="A105" s="277"/>
      <c r="B105" s="278" t="s">
        <v>407</v>
      </c>
      <c r="C105" s="279">
        <v>5.63</v>
      </c>
      <c r="D105" s="279"/>
      <c r="E105" s="279"/>
      <c r="F105" s="4"/>
      <c r="G105" s="4">
        <f t="shared" si="0"/>
        <v>0</v>
      </c>
    </row>
    <row r="106" spans="1:7" ht="31.5" x14ac:dyDescent="0.25">
      <c r="A106" s="277"/>
      <c r="B106" s="278" t="s">
        <v>408</v>
      </c>
      <c r="C106" s="279">
        <v>3.55</v>
      </c>
      <c r="D106" s="279"/>
      <c r="E106" s="279"/>
      <c r="F106" s="4"/>
      <c r="G106" s="4">
        <f t="shared" si="0"/>
        <v>0</v>
      </c>
    </row>
    <row r="107" spans="1:7" ht="31.5" x14ac:dyDescent="0.25">
      <c r="A107" s="277"/>
      <c r="B107" s="278" t="s">
        <v>409</v>
      </c>
      <c r="C107" s="279">
        <v>2.62</v>
      </c>
      <c r="D107" s="279"/>
      <c r="E107" s="279"/>
      <c r="F107" s="327"/>
      <c r="G107" s="4">
        <f t="shared" si="0"/>
        <v>0</v>
      </c>
    </row>
    <row r="108" spans="1:7" ht="31.5" x14ac:dyDescent="0.25">
      <c r="A108" s="277"/>
      <c r="B108" s="278" t="s">
        <v>410</v>
      </c>
      <c r="C108" s="279">
        <v>2.58</v>
      </c>
      <c r="D108" s="279"/>
      <c r="E108" s="279"/>
      <c r="F108" s="4"/>
      <c r="G108" s="4">
        <f t="shared" si="0"/>
        <v>0</v>
      </c>
    </row>
    <row r="109" spans="1:7" ht="31.5" x14ac:dyDescent="0.25">
      <c r="A109" s="277"/>
      <c r="B109" s="278" t="s">
        <v>411</v>
      </c>
      <c r="C109" s="279">
        <v>0.83</v>
      </c>
      <c r="D109" s="279"/>
      <c r="E109" s="279"/>
      <c r="F109" s="4"/>
      <c r="G109" s="4">
        <f t="shared" si="0"/>
        <v>0</v>
      </c>
    </row>
    <row r="110" spans="1:7" ht="31.5" x14ac:dyDescent="0.25">
      <c r="A110" s="277"/>
      <c r="B110" s="278" t="s">
        <v>412</v>
      </c>
      <c r="C110" s="279">
        <v>1.1100000000000001</v>
      </c>
      <c r="D110" s="279"/>
      <c r="E110" s="279"/>
      <c r="F110" s="4"/>
      <c r="G110" s="4">
        <f t="shared" si="0"/>
        <v>0</v>
      </c>
    </row>
    <row r="111" spans="1:7" ht="15.75" x14ac:dyDescent="0.25">
      <c r="A111" s="277"/>
      <c r="B111" s="278" t="s">
        <v>413</v>
      </c>
      <c r="C111" s="279">
        <v>6.29</v>
      </c>
      <c r="D111" s="279"/>
      <c r="E111" s="279"/>
      <c r="F111" s="4"/>
      <c r="G111" s="4">
        <f t="shared" si="0"/>
        <v>0</v>
      </c>
    </row>
    <row r="112" spans="1:7" ht="15.75" x14ac:dyDescent="0.25">
      <c r="A112" s="277"/>
      <c r="B112" s="278" t="s">
        <v>414</v>
      </c>
      <c r="C112" s="279">
        <v>8.67</v>
      </c>
      <c r="D112" s="279"/>
      <c r="E112" s="279"/>
      <c r="F112" s="4"/>
      <c r="G112" s="4">
        <f t="shared" si="0"/>
        <v>0</v>
      </c>
    </row>
    <row r="113" spans="1:7" ht="15.75" x14ac:dyDescent="0.25">
      <c r="A113" s="277"/>
      <c r="B113" s="278" t="s">
        <v>415</v>
      </c>
      <c r="C113" s="279">
        <v>9.9700000000000006</v>
      </c>
      <c r="D113" s="279"/>
      <c r="E113" s="279"/>
      <c r="F113" s="4"/>
      <c r="G113" s="4">
        <f t="shared" si="0"/>
        <v>0</v>
      </c>
    </row>
    <row r="114" spans="1:7" ht="31.5" x14ac:dyDescent="0.25">
      <c r="A114" s="277"/>
      <c r="B114" s="278" t="s">
        <v>416</v>
      </c>
      <c r="C114" s="279">
        <v>8.67</v>
      </c>
      <c r="D114" s="279"/>
      <c r="E114" s="279"/>
      <c r="F114" s="4"/>
      <c r="G114" s="4">
        <f t="shared" si="0"/>
        <v>0</v>
      </c>
    </row>
    <row r="115" spans="1:7" ht="15.75" x14ac:dyDescent="0.25">
      <c r="A115" s="277"/>
      <c r="B115" s="278" t="s">
        <v>424</v>
      </c>
      <c r="C115" s="279">
        <v>9.33</v>
      </c>
      <c r="D115" s="279"/>
      <c r="E115" s="279"/>
      <c r="F115" s="4"/>
      <c r="G115" s="4">
        <f t="shared" si="0"/>
        <v>0</v>
      </c>
    </row>
    <row r="116" spans="1:7" ht="15.75" x14ac:dyDescent="0.25">
      <c r="A116" s="282"/>
      <c r="B116" s="280" t="s">
        <v>425</v>
      </c>
      <c r="C116" s="279"/>
      <c r="D116" s="279"/>
      <c r="E116" s="279"/>
      <c r="F116" s="4"/>
      <c r="G116" s="4">
        <f t="shared" si="0"/>
        <v>0</v>
      </c>
    </row>
    <row r="117" spans="1:7" ht="15.75" x14ac:dyDescent="0.25">
      <c r="A117" s="277"/>
      <c r="B117" s="278" t="s">
        <v>426</v>
      </c>
      <c r="C117" s="279">
        <v>0.64</v>
      </c>
      <c r="D117" s="278">
        <f>MAX(C117:C144)</f>
        <v>6.12</v>
      </c>
      <c r="E117" s="278">
        <f>MIN(C117:C144)</f>
        <v>0.28999999999999998</v>
      </c>
      <c r="F117" s="4"/>
      <c r="G117" s="4">
        <f t="shared" si="0"/>
        <v>0</v>
      </c>
    </row>
    <row r="118" spans="1:7" ht="15.75" x14ac:dyDescent="0.25">
      <c r="A118" s="277"/>
      <c r="B118" s="278" t="s">
        <v>648</v>
      </c>
      <c r="C118" s="279">
        <v>0.87</v>
      </c>
      <c r="D118" s="279"/>
      <c r="E118" s="279"/>
      <c r="F118" s="4">
        <v>100</v>
      </c>
      <c r="G118" s="4">
        <f t="shared" si="0"/>
        <v>0.87</v>
      </c>
    </row>
    <row r="119" spans="1:7" ht="15.75" x14ac:dyDescent="0.25">
      <c r="A119" s="277"/>
      <c r="B119" s="278" t="s">
        <v>428</v>
      </c>
      <c r="C119" s="279">
        <v>0.28999999999999998</v>
      </c>
      <c r="D119" s="279"/>
      <c r="E119" s="279"/>
      <c r="F119" s="4"/>
      <c r="G119" s="4">
        <f t="shared" si="0"/>
        <v>0</v>
      </c>
    </row>
    <row r="120" spans="1:7" ht="15.75" x14ac:dyDescent="0.25">
      <c r="A120" s="277"/>
      <c r="B120" s="278" t="s">
        <v>429</v>
      </c>
      <c r="C120" s="279">
        <v>0.37</v>
      </c>
      <c r="D120" s="279"/>
      <c r="E120" s="279"/>
      <c r="F120" s="4"/>
      <c r="G120" s="4">
        <f t="shared" si="0"/>
        <v>0</v>
      </c>
    </row>
    <row r="121" spans="1:7" ht="15.75" x14ac:dyDescent="0.25">
      <c r="A121" s="277"/>
      <c r="B121" s="278" t="s">
        <v>430</v>
      </c>
      <c r="C121" s="279">
        <v>3.99</v>
      </c>
      <c r="D121" s="279"/>
      <c r="E121" s="279"/>
      <c r="F121" s="4"/>
      <c r="G121" s="4">
        <f t="shared" si="0"/>
        <v>0</v>
      </c>
    </row>
    <row r="122" spans="1:7" ht="31.5" x14ac:dyDescent="0.25">
      <c r="A122" s="277"/>
      <c r="B122" s="278" t="s">
        <v>433</v>
      </c>
      <c r="C122" s="279">
        <v>3.62</v>
      </c>
      <c r="D122" s="279"/>
      <c r="E122" s="279"/>
      <c r="F122" s="4"/>
      <c r="G122" s="4">
        <f t="shared" si="0"/>
        <v>0</v>
      </c>
    </row>
    <row r="123" spans="1:7" ht="31.5" x14ac:dyDescent="0.25">
      <c r="A123" s="277"/>
      <c r="B123" s="278" t="s">
        <v>431</v>
      </c>
      <c r="C123" s="279">
        <v>4.4800000000000004</v>
      </c>
      <c r="D123" s="279"/>
      <c r="E123" s="279"/>
      <c r="F123" s="4"/>
      <c r="G123" s="4">
        <f t="shared" si="0"/>
        <v>0</v>
      </c>
    </row>
    <row r="124" spans="1:7" ht="31.5" x14ac:dyDescent="0.25">
      <c r="A124" s="277"/>
      <c r="B124" s="278" t="s">
        <v>432</v>
      </c>
      <c r="C124" s="279">
        <v>4.12</v>
      </c>
      <c r="D124" s="279"/>
      <c r="E124" s="279"/>
      <c r="F124" s="4"/>
      <c r="G124" s="4">
        <f t="shared" si="0"/>
        <v>0</v>
      </c>
    </row>
    <row r="125" spans="1:7" ht="31.5" x14ac:dyDescent="0.25">
      <c r="A125" s="277"/>
      <c r="B125" s="278" t="s">
        <v>434</v>
      </c>
      <c r="C125" s="279">
        <v>4.12</v>
      </c>
      <c r="D125" s="279"/>
      <c r="E125" s="279"/>
      <c r="F125" s="4"/>
      <c r="G125" s="4">
        <f t="shared" si="0"/>
        <v>0</v>
      </c>
    </row>
    <row r="126" spans="1:7" ht="15.75" x14ac:dyDescent="0.25">
      <c r="A126" s="277"/>
      <c r="B126" s="278" t="s">
        <v>435</v>
      </c>
      <c r="C126" s="279">
        <v>0.46</v>
      </c>
      <c r="D126" s="279"/>
      <c r="E126" s="279"/>
      <c r="F126" s="4"/>
      <c r="G126" s="4">
        <f t="shared" si="0"/>
        <v>0</v>
      </c>
    </row>
    <row r="127" spans="1:7" ht="15.75" x14ac:dyDescent="0.25">
      <c r="A127" s="277"/>
      <c r="B127" s="278" t="s">
        <v>436</v>
      </c>
      <c r="C127" s="279">
        <v>0.64</v>
      </c>
      <c r="D127" s="279"/>
      <c r="E127" s="279"/>
      <c r="F127" s="4"/>
      <c r="G127" s="4">
        <f t="shared" si="0"/>
        <v>0</v>
      </c>
    </row>
    <row r="128" spans="1:7" ht="15.75" x14ac:dyDescent="0.25">
      <c r="A128" s="277"/>
      <c r="B128" s="278" t="s">
        <v>437</v>
      </c>
      <c r="C128" s="279">
        <v>0.87</v>
      </c>
      <c r="D128" s="279"/>
      <c r="E128" s="279"/>
      <c r="F128" s="4"/>
      <c r="G128" s="4">
        <f t="shared" si="0"/>
        <v>0</v>
      </c>
    </row>
    <row r="129" spans="1:7" ht="31.5" x14ac:dyDescent="0.25">
      <c r="A129" s="277"/>
      <c r="B129" s="278" t="s">
        <v>438</v>
      </c>
      <c r="C129" s="279">
        <v>2.2200000000000002</v>
      </c>
      <c r="D129" s="279"/>
      <c r="E129" s="279"/>
      <c r="F129" s="4"/>
      <c r="G129" s="4">
        <f t="shared" si="0"/>
        <v>0</v>
      </c>
    </row>
    <row r="130" spans="1:7" ht="15.75" x14ac:dyDescent="0.25">
      <c r="A130" s="277"/>
      <c r="B130" s="278" t="s">
        <v>439</v>
      </c>
      <c r="C130" s="279">
        <v>4.22</v>
      </c>
      <c r="D130" s="279"/>
      <c r="E130" s="279"/>
      <c r="F130" s="4"/>
      <c r="G130" s="4">
        <f t="shared" si="0"/>
        <v>0</v>
      </c>
    </row>
    <row r="131" spans="1:7" ht="31.5" x14ac:dyDescent="0.25">
      <c r="A131" s="277"/>
      <c r="B131" s="278" t="s">
        <v>440</v>
      </c>
      <c r="C131" s="279">
        <v>3.46</v>
      </c>
      <c r="D131" s="279"/>
      <c r="E131" s="279"/>
      <c r="F131" s="4"/>
      <c r="G131" s="4">
        <f t="shared" si="0"/>
        <v>0</v>
      </c>
    </row>
    <row r="132" spans="1:7" ht="15.75" x14ac:dyDescent="0.25">
      <c r="A132" s="277"/>
      <c r="B132" s="278" t="s">
        <v>441</v>
      </c>
      <c r="C132" s="279">
        <v>2.1800000000000002</v>
      </c>
      <c r="D132" s="279"/>
      <c r="E132" s="279"/>
      <c r="F132" s="4"/>
      <c r="G132" s="4">
        <f t="shared" si="0"/>
        <v>0</v>
      </c>
    </row>
    <row r="133" spans="1:7" ht="31.5" x14ac:dyDescent="0.25">
      <c r="A133" s="277"/>
      <c r="B133" s="278" t="s">
        <v>442</v>
      </c>
      <c r="C133" s="279">
        <v>1.61</v>
      </c>
      <c r="D133" s="279"/>
      <c r="E133" s="279"/>
      <c r="F133" s="4"/>
      <c r="G133" s="4">
        <f t="shared" si="0"/>
        <v>0</v>
      </c>
    </row>
    <row r="134" spans="1:7" ht="31.5" x14ac:dyDescent="0.25">
      <c r="A134" s="277"/>
      <c r="B134" s="278" t="s">
        <v>443</v>
      </c>
      <c r="C134" s="279">
        <v>1.59</v>
      </c>
      <c r="D134" s="279"/>
      <c r="E134" s="279"/>
      <c r="F134" s="4"/>
      <c r="G134" s="4">
        <f t="shared" si="0"/>
        <v>0</v>
      </c>
    </row>
    <row r="135" spans="1:7" ht="31.5" x14ac:dyDescent="0.25">
      <c r="A135" s="277"/>
      <c r="B135" s="278" t="s">
        <v>444</v>
      </c>
      <c r="C135" s="279">
        <v>0.51</v>
      </c>
      <c r="D135" s="279"/>
      <c r="E135" s="279"/>
      <c r="F135" s="4"/>
      <c r="G135" s="4">
        <f t="shared" si="0"/>
        <v>0</v>
      </c>
    </row>
    <row r="136" spans="1:7" ht="31.5" x14ac:dyDescent="0.25">
      <c r="A136" s="277"/>
      <c r="B136" s="278" t="s">
        <v>445</v>
      </c>
      <c r="C136" s="279">
        <v>0.68</v>
      </c>
      <c r="D136" s="279"/>
      <c r="E136" s="279"/>
      <c r="F136" s="4"/>
      <c r="G136" s="4">
        <f t="shared" si="0"/>
        <v>0</v>
      </c>
    </row>
    <row r="137" spans="1:7" ht="15.75" x14ac:dyDescent="0.25">
      <c r="A137" s="277"/>
      <c r="B137" s="278" t="s">
        <v>446</v>
      </c>
      <c r="C137" s="279">
        <v>3.86</v>
      </c>
      <c r="D137" s="279"/>
      <c r="E137" s="279"/>
      <c r="F137" s="4"/>
      <c r="G137" s="4">
        <f t="shared" si="0"/>
        <v>0</v>
      </c>
    </row>
    <row r="138" spans="1:7" ht="15.75" x14ac:dyDescent="0.25">
      <c r="A138" s="277"/>
      <c r="B138" s="278" t="s">
        <v>448</v>
      </c>
      <c r="C138" s="279">
        <v>5.33</v>
      </c>
      <c r="D138" s="279"/>
      <c r="E138" s="279"/>
      <c r="F138" s="4"/>
      <c r="G138" s="4">
        <f t="shared" si="0"/>
        <v>0</v>
      </c>
    </row>
    <row r="139" spans="1:7" ht="15.75" x14ac:dyDescent="0.25">
      <c r="A139" s="277"/>
      <c r="B139" s="278" t="s">
        <v>447</v>
      </c>
      <c r="C139" s="279">
        <v>6.12</v>
      </c>
      <c r="D139" s="279"/>
      <c r="E139" s="279"/>
      <c r="F139" s="4"/>
      <c r="G139" s="4">
        <f t="shared" si="0"/>
        <v>0</v>
      </c>
    </row>
    <row r="140" spans="1:7" ht="15.75" x14ac:dyDescent="0.25">
      <c r="A140" s="277"/>
      <c r="B140" s="278" t="s">
        <v>449</v>
      </c>
      <c r="C140" s="279">
        <v>5.73</v>
      </c>
      <c r="D140" s="279"/>
      <c r="E140" s="279"/>
      <c r="F140" s="4"/>
      <c r="G140" s="4">
        <f t="shared" si="0"/>
        <v>0</v>
      </c>
    </row>
    <row r="141" spans="1:7" ht="15.75" x14ac:dyDescent="0.25">
      <c r="A141" s="277"/>
      <c r="B141" s="278" t="s">
        <v>450</v>
      </c>
      <c r="C141" s="279">
        <v>5.33</v>
      </c>
      <c r="D141" s="279"/>
      <c r="E141" s="279"/>
      <c r="F141" s="4"/>
      <c r="G141" s="4">
        <f t="shared" si="0"/>
        <v>0</v>
      </c>
    </row>
    <row r="142" spans="1:7" ht="15.75" x14ac:dyDescent="0.25">
      <c r="A142" s="277"/>
      <c r="B142" s="278" t="s">
        <v>451</v>
      </c>
      <c r="C142" s="279">
        <v>1.08</v>
      </c>
      <c r="D142" s="279"/>
      <c r="E142" s="279"/>
      <c r="F142" s="4"/>
      <c r="G142" s="4">
        <f t="shared" si="0"/>
        <v>0</v>
      </c>
    </row>
    <row r="143" spans="1:7" ht="15.75" x14ac:dyDescent="0.25">
      <c r="A143" s="277"/>
      <c r="B143" s="278" t="s">
        <v>452</v>
      </c>
      <c r="C143" s="279">
        <v>1.08</v>
      </c>
      <c r="D143" s="279"/>
      <c r="E143" s="279"/>
      <c r="F143" s="4"/>
      <c r="G143" s="4">
        <f t="shared" si="0"/>
        <v>0</v>
      </c>
    </row>
    <row r="144" spans="1:7" ht="15.75" x14ac:dyDescent="0.25">
      <c r="A144" s="277"/>
      <c r="B144" s="278" t="s">
        <v>453</v>
      </c>
      <c r="C144" s="279">
        <v>1.61</v>
      </c>
      <c r="D144" s="279"/>
      <c r="E144" s="279"/>
      <c r="F144" s="4"/>
      <c r="G144" s="4">
        <f t="shared" si="0"/>
        <v>0</v>
      </c>
    </row>
    <row r="145" spans="1:7" ht="15.75" x14ac:dyDescent="0.25">
      <c r="A145" s="4">
        <v>9</v>
      </c>
      <c r="B145" s="280" t="s">
        <v>313</v>
      </c>
      <c r="C145" s="279"/>
      <c r="D145" s="279"/>
      <c r="E145" s="279"/>
      <c r="F145" s="4"/>
      <c r="G145" s="4">
        <f t="shared" si="0"/>
        <v>0</v>
      </c>
    </row>
    <row r="146" spans="1:7" ht="35.25" customHeight="1" x14ac:dyDescent="0.25">
      <c r="A146" s="277"/>
      <c r="B146" s="278" t="s">
        <v>454</v>
      </c>
      <c r="C146" s="279">
        <v>0.38</v>
      </c>
      <c r="D146" s="278">
        <f>MAX(C146:C165)</f>
        <v>4.58</v>
      </c>
      <c r="E146" s="278">
        <f>MIN(C146:C165)</f>
        <v>0.23</v>
      </c>
      <c r="F146" s="4"/>
      <c r="G146" s="4">
        <f t="shared" si="0"/>
        <v>0</v>
      </c>
    </row>
    <row r="147" spans="1:7" ht="35.25" customHeight="1" x14ac:dyDescent="0.25">
      <c r="A147" s="277"/>
      <c r="B147" s="278" t="s">
        <v>455</v>
      </c>
      <c r="C147" s="279">
        <v>0.69</v>
      </c>
      <c r="D147" s="279"/>
      <c r="E147" s="279"/>
      <c r="F147" s="4"/>
      <c r="G147" s="4">
        <f t="shared" si="0"/>
        <v>0</v>
      </c>
    </row>
    <row r="148" spans="1:7" ht="35.25" customHeight="1" x14ac:dyDescent="0.25">
      <c r="A148" s="277"/>
      <c r="B148" s="278" t="s">
        <v>456</v>
      </c>
      <c r="C148" s="279">
        <v>0.24</v>
      </c>
      <c r="D148" s="279"/>
      <c r="E148" s="279"/>
      <c r="F148" s="4"/>
      <c r="G148" s="4">
        <f t="shared" si="0"/>
        <v>0</v>
      </c>
    </row>
    <row r="149" spans="1:7" ht="35.25" customHeight="1" x14ac:dyDescent="0.25">
      <c r="A149" s="277"/>
      <c r="B149" s="278" t="s">
        <v>457</v>
      </c>
      <c r="C149" s="279">
        <v>0.55000000000000004</v>
      </c>
      <c r="D149" s="279"/>
      <c r="E149" s="279"/>
      <c r="F149" s="4"/>
      <c r="G149" s="4">
        <f t="shared" si="0"/>
        <v>0</v>
      </c>
    </row>
    <row r="150" spans="1:7" ht="35.25" customHeight="1" x14ac:dyDescent="0.25">
      <c r="A150" s="277"/>
      <c r="B150" s="278" t="s">
        <v>458</v>
      </c>
      <c r="C150" s="279">
        <v>0.53</v>
      </c>
      <c r="D150" s="279"/>
      <c r="E150" s="279"/>
      <c r="F150" s="4"/>
      <c r="G150" s="4">
        <f t="shared" si="0"/>
        <v>0</v>
      </c>
    </row>
    <row r="151" spans="1:7" ht="35.25" customHeight="1" x14ac:dyDescent="0.25">
      <c r="A151" s="277"/>
      <c r="B151" s="278" t="s">
        <v>459</v>
      </c>
      <c r="C151" s="279">
        <v>0.67</v>
      </c>
      <c r="D151" s="279"/>
      <c r="E151" s="279"/>
      <c r="F151" s="4"/>
      <c r="G151" s="4">
        <f t="shared" si="0"/>
        <v>0</v>
      </c>
    </row>
    <row r="152" spans="1:7" ht="35.25" customHeight="1" x14ac:dyDescent="0.25">
      <c r="A152" s="277"/>
      <c r="B152" s="278" t="s">
        <v>460</v>
      </c>
      <c r="C152" s="279">
        <v>1.55</v>
      </c>
      <c r="D152" s="279"/>
      <c r="E152" s="279"/>
      <c r="F152" s="4"/>
      <c r="G152" s="4">
        <f t="shared" si="0"/>
        <v>0</v>
      </c>
    </row>
    <row r="153" spans="1:7" ht="35.25" customHeight="1" x14ac:dyDescent="0.25">
      <c r="A153" s="277"/>
      <c r="B153" s="278" t="s">
        <v>461</v>
      </c>
      <c r="C153" s="279">
        <v>0.96</v>
      </c>
      <c r="D153" s="279"/>
      <c r="E153" s="279"/>
      <c r="F153" s="4"/>
      <c r="G153" s="4">
        <f t="shared" si="0"/>
        <v>0</v>
      </c>
    </row>
    <row r="154" spans="1:7" ht="35.25" customHeight="1" x14ac:dyDescent="0.25">
      <c r="A154" s="277"/>
      <c r="B154" s="278" t="s">
        <v>462</v>
      </c>
      <c r="C154" s="279">
        <v>1.34</v>
      </c>
      <c r="D154" s="279"/>
      <c r="E154" s="279"/>
      <c r="F154" s="4"/>
      <c r="G154" s="4">
        <f t="shared" si="0"/>
        <v>0</v>
      </c>
    </row>
    <row r="155" spans="1:7" ht="35.25" customHeight="1" x14ac:dyDescent="0.25">
      <c r="A155" s="277"/>
      <c r="B155" s="278" t="s">
        <v>463</v>
      </c>
      <c r="C155" s="279">
        <v>1.4</v>
      </c>
      <c r="D155" s="279"/>
      <c r="E155" s="279"/>
      <c r="F155" s="4"/>
      <c r="G155" s="4">
        <f t="shared" si="0"/>
        <v>0</v>
      </c>
    </row>
    <row r="156" spans="1:7" ht="35.25" customHeight="1" x14ac:dyDescent="0.25">
      <c r="A156" s="277"/>
      <c r="B156" s="278" t="s">
        <v>464</v>
      </c>
      <c r="C156" s="279">
        <v>1.44</v>
      </c>
      <c r="D156" s="279"/>
      <c r="E156" s="279"/>
      <c r="F156" s="4"/>
      <c r="G156" s="4">
        <f t="shared" si="0"/>
        <v>0</v>
      </c>
    </row>
    <row r="157" spans="1:7" ht="35.25" customHeight="1" x14ac:dyDescent="0.25">
      <c r="A157" s="277"/>
      <c r="B157" s="278" t="s">
        <v>465</v>
      </c>
      <c r="C157" s="279">
        <v>4.58</v>
      </c>
      <c r="D157" s="279"/>
      <c r="E157" s="279"/>
      <c r="F157" s="4"/>
      <c r="G157" s="4">
        <f t="shared" si="0"/>
        <v>0</v>
      </c>
    </row>
    <row r="158" spans="1:7" ht="35.25" customHeight="1" x14ac:dyDescent="0.25">
      <c r="A158" s="277"/>
      <c r="B158" s="278" t="s">
        <v>466</v>
      </c>
      <c r="C158" s="279">
        <v>1.54</v>
      </c>
      <c r="D158" s="279"/>
      <c r="E158" s="279"/>
      <c r="F158" s="4"/>
      <c r="G158" s="4">
        <f t="shared" si="0"/>
        <v>0</v>
      </c>
    </row>
    <row r="159" spans="1:7" ht="35.25" customHeight="1" x14ac:dyDescent="0.25">
      <c r="A159" s="277"/>
      <c r="B159" s="278" t="s">
        <v>467</v>
      </c>
      <c r="C159" s="279">
        <v>1.25</v>
      </c>
      <c r="D159" s="279"/>
      <c r="E159" s="279"/>
      <c r="F159" s="279">
        <v>100</v>
      </c>
      <c r="G159" s="4">
        <f t="shared" si="0"/>
        <v>1.25</v>
      </c>
    </row>
    <row r="160" spans="1:7" ht="35.25" customHeight="1" x14ac:dyDescent="0.25">
      <c r="A160" s="277"/>
      <c r="B160" s="278" t="s">
        <v>468</v>
      </c>
      <c r="C160" s="279">
        <v>0.4</v>
      </c>
      <c r="D160" s="279"/>
      <c r="E160" s="279"/>
      <c r="F160" s="4"/>
      <c r="G160" s="4">
        <f t="shared" si="0"/>
        <v>0</v>
      </c>
    </row>
    <row r="161" spans="1:7" ht="35.25" customHeight="1" x14ac:dyDescent="0.25">
      <c r="A161" s="277"/>
      <c r="B161" s="278" t="s">
        <v>469</v>
      </c>
      <c r="C161" s="279">
        <v>1.39</v>
      </c>
      <c r="D161" s="279"/>
      <c r="E161" s="279"/>
      <c r="F161" s="4"/>
      <c r="G161" s="4">
        <f t="shared" si="0"/>
        <v>0</v>
      </c>
    </row>
    <row r="162" spans="1:7" ht="35.25" customHeight="1" x14ac:dyDescent="0.25">
      <c r="A162" s="277"/>
      <c r="B162" s="278" t="s">
        <v>470</v>
      </c>
      <c r="C162" s="279">
        <v>0.54</v>
      </c>
      <c r="D162" s="279"/>
      <c r="E162" s="279"/>
      <c r="F162" s="4"/>
      <c r="G162" s="4">
        <f t="shared" si="0"/>
        <v>0</v>
      </c>
    </row>
    <row r="163" spans="1:7" ht="35.25" customHeight="1" x14ac:dyDescent="0.25">
      <c r="A163" s="277"/>
      <c r="B163" s="278" t="s">
        <v>471</v>
      </c>
      <c r="C163" s="279">
        <v>0.61</v>
      </c>
      <c r="D163" s="279"/>
      <c r="E163" s="279"/>
      <c r="F163" s="4"/>
      <c r="G163" s="4">
        <f t="shared" si="0"/>
        <v>0</v>
      </c>
    </row>
    <row r="164" spans="1:7" ht="35.25" customHeight="1" x14ac:dyDescent="0.25">
      <c r="A164" s="277"/>
      <c r="B164" s="278" t="s">
        <v>472</v>
      </c>
      <c r="C164" s="279">
        <v>0.75</v>
      </c>
      <c r="D164" s="279"/>
      <c r="E164" s="279"/>
      <c r="F164" s="4"/>
      <c r="G164" s="4">
        <f t="shared" si="0"/>
        <v>0</v>
      </c>
    </row>
    <row r="165" spans="1:7" ht="35.25" customHeight="1" x14ac:dyDescent="0.25">
      <c r="A165" s="277"/>
      <c r="B165" s="278" t="s">
        <v>473</v>
      </c>
      <c r="C165" s="279">
        <v>0.23</v>
      </c>
      <c r="D165" s="279"/>
      <c r="E165" s="279"/>
      <c r="F165" s="4"/>
      <c r="G165" s="4">
        <f t="shared" si="0"/>
        <v>0</v>
      </c>
    </row>
    <row r="166" spans="1:7" ht="15.75" x14ac:dyDescent="0.25">
      <c r="A166" s="4">
        <v>10</v>
      </c>
      <c r="B166" s="280" t="s">
        <v>319</v>
      </c>
      <c r="C166" s="279"/>
      <c r="D166" s="279"/>
      <c r="E166" s="279"/>
      <c r="F166" s="4"/>
      <c r="G166" s="4">
        <f t="shared" si="0"/>
        <v>0</v>
      </c>
    </row>
    <row r="167" spans="1:7" ht="15.75" x14ac:dyDescent="0.25">
      <c r="A167" s="277"/>
      <c r="B167" s="278" t="s">
        <v>474</v>
      </c>
      <c r="C167" s="279">
        <v>1.3</v>
      </c>
      <c r="D167" s="278">
        <f>MAX(C167:C170)</f>
        <v>7.2</v>
      </c>
      <c r="E167" s="278">
        <f>MIN(C167:C170)</f>
        <v>1.3</v>
      </c>
      <c r="F167" s="4"/>
      <c r="G167" s="4">
        <f t="shared" si="0"/>
        <v>0</v>
      </c>
    </row>
    <row r="168" spans="1:7" ht="15.75" x14ac:dyDescent="0.25">
      <c r="A168" s="277"/>
      <c r="B168" s="278" t="s">
        <v>475</v>
      </c>
      <c r="C168" s="279">
        <v>1.93</v>
      </c>
      <c r="D168" s="279"/>
      <c r="E168" s="279"/>
      <c r="F168" s="4"/>
      <c r="G168" s="4">
        <f t="shared" si="0"/>
        <v>0</v>
      </c>
    </row>
    <row r="169" spans="1:7" ht="15.75" x14ac:dyDescent="0.25">
      <c r="A169" s="277"/>
      <c r="B169" s="278" t="s">
        <v>476</v>
      </c>
      <c r="C169" s="279">
        <v>4.83</v>
      </c>
      <c r="D169" s="279"/>
      <c r="E169" s="279"/>
      <c r="F169" s="4">
        <v>100</v>
      </c>
      <c r="G169" s="4">
        <f t="shared" si="0"/>
        <v>4.83</v>
      </c>
    </row>
    <row r="170" spans="1:7" ht="15.75" x14ac:dyDescent="0.25">
      <c r="A170" s="277"/>
      <c r="B170" s="278" t="s">
        <v>477</v>
      </c>
      <c r="C170" s="279">
        <v>7.2</v>
      </c>
      <c r="D170" s="279"/>
      <c r="E170" s="279"/>
      <c r="F170" s="4"/>
      <c r="G170" s="4">
        <f t="shared" si="0"/>
        <v>0</v>
      </c>
    </row>
    <row r="171" spans="1:7" ht="15.75" x14ac:dyDescent="0.25">
      <c r="A171" s="277">
        <v>11</v>
      </c>
      <c r="B171" s="280" t="s">
        <v>478</v>
      </c>
      <c r="C171" s="279"/>
      <c r="D171" s="279"/>
      <c r="E171" s="279"/>
      <c r="F171" s="4"/>
      <c r="G171" s="4">
        <f t="shared" si="0"/>
        <v>0</v>
      </c>
    </row>
    <row r="172" spans="1:7" ht="15.75" x14ac:dyDescent="0.25">
      <c r="A172" s="277"/>
      <c r="B172" s="278" t="s">
        <v>479</v>
      </c>
      <c r="C172" s="279">
        <v>1.1399999999999999</v>
      </c>
      <c r="D172" s="278">
        <f>MAX(C172:C175)</f>
        <v>4.78</v>
      </c>
      <c r="E172" s="278">
        <f>MIN(C172:C175)</f>
        <v>1.1399999999999999</v>
      </c>
      <c r="F172" s="4"/>
      <c r="G172" s="4">
        <f t="shared" si="0"/>
        <v>0</v>
      </c>
    </row>
    <row r="173" spans="1:7" ht="15.75" x14ac:dyDescent="0.25">
      <c r="A173" s="277"/>
      <c r="B173" s="278" t="s">
        <v>480</v>
      </c>
      <c r="C173" s="279">
        <v>2.52</v>
      </c>
      <c r="D173" s="279"/>
      <c r="E173" s="279"/>
      <c r="F173" s="4"/>
      <c r="G173" s="4">
        <f t="shared" si="0"/>
        <v>0</v>
      </c>
    </row>
    <row r="174" spans="1:7" ht="15.75" x14ac:dyDescent="0.25">
      <c r="A174" s="277"/>
      <c r="B174" s="278" t="s">
        <v>481</v>
      </c>
      <c r="C174" s="279">
        <v>3.47</v>
      </c>
      <c r="D174" s="279"/>
      <c r="E174" s="279"/>
      <c r="F174" s="4">
        <v>100</v>
      </c>
      <c r="G174" s="4">
        <f t="shared" si="0"/>
        <v>3.47</v>
      </c>
    </row>
    <row r="175" spans="1:7" ht="15.75" x14ac:dyDescent="0.25">
      <c r="A175" s="277"/>
      <c r="B175" s="278" t="s">
        <v>482</v>
      </c>
      <c r="C175" s="279">
        <v>4.78</v>
      </c>
      <c r="D175" s="279"/>
      <c r="E175" s="279"/>
      <c r="F175" s="4"/>
      <c r="G175" s="4">
        <f t="shared" si="0"/>
        <v>0</v>
      </c>
    </row>
    <row r="176" spans="1:7" ht="15.75" x14ac:dyDescent="0.25">
      <c r="A176" s="277"/>
      <c r="B176" s="278"/>
      <c r="C176" s="279"/>
      <c r="D176" s="279"/>
      <c r="E176" s="279"/>
      <c r="F176" s="4"/>
      <c r="G176" s="4"/>
    </row>
    <row r="177" spans="1:8" ht="15.75" x14ac:dyDescent="0.25">
      <c r="A177" s="4"/>
      <c r="B177" s="286" t="s">
        <v>325</v>
      </c>
      <c r="C177" s="287">
        <f>SUM(C4:C175)</f>
        <v>484.04000000000008</v>
      </c>
      <c r="D177" s="287">
        <f>SUM(D4:D175)</f>
        <v>99.76</v>
      </c>
      <c r="E177" s="287">
        <f>SUM(E4:E175)</f>
        <v>15.610000000000001</v>
      </c>
      <c r="F177" s="287"/>
      <c r="G177" s="287">
        <f>ROUND(SUM(G4:G176),2)</f>
        <v>15.16</v>
      </c>
    </row>
    <row r="178" spans="1:8" ht="47.25" x14ac:dyDescent="0.25">
      <c r="A178" s="4"/>
      <c r="B178" s="286" t="s">
        <v>327</v>
      </c>
      <c r="C178" s="288"/>
      <c r="D178" s="289">
        <f>IF(D177&gt;0,(211.28*D177+4478.16),0)</f>
        <v>25555.452800000003</v>
      </c>
      <c r="E178" s="289">
        <f>IF(E177&gt;0,(211.28*E177+4478.16),0)</f>
        <v>7776.2407999999996</v>
      </c>
      <c r="F178" s="288"/>
      <c r="G178" s="289">
        <f>IF(G177&gt;0,(211.28*G177+4478.16),0)</f>
        <v>7681.1648000000005</v>
      </c>
    </row>
    <row r="179" spans="1:8" ht="15.75" x14ac:dyDescent="0.25">
      <c r="A179" s="4"/>
      <c r="B179" s="286" t="s">
        <v>326</v>
      </c>
      <c r="C179" s="288"/>
      <c r="D179" s="288"/>
      <c r="E179" s="288"/>
      <c r="F179" s="288"/>
      <c r="G179" s="288"/>
    </row>
    <row r="180" spans="1:8" ht="47.25" x14ac:dyDescent="0.25">
      <c r="A180" s="4"/>
      <c r="B180" s="286" t="s">
        <v>327</v>
      </c>
      <c r="C180" s="288"/>
      <c r="D180" s="288"/>
      <c r="E180" s="288"/>
      <c r="F180" s="288"/>
      <c r="G180" s="289">
        <f>(1-F179%)*G178</f>
        <v>7681.1648000000005</v>
      </c>
      <c r="H180" s="340"/>
    </row>
    <row r="181" spans="1:8" ht="15.75" x14ac:dyDescent="0.25">
      <c r="A181" s="4"/>
      <c r="B181" s="286" t="s">
        <v>328</v>
      </c>
      <c r="C181" s="288"/>
      <c r="D181" s="288"/>
      <c r="E181" s="288"/>
      <c r="F181" s="288"/>
      <c r="G181" s="288">
        <f>Area!D16</f>
        <v>0</v>
      </c>
    </row>
    <row r="182" spans="1:8" x14ac:dyDescent="0.25">
      <c r="A182" s="4"/>
      <c r="B182" s="288" t="s">
        <v>329</v>
      </c>
      <c r="C182" s="288"/>
      <c r="D182" s="288"/>
      <c r="E182" s="288"/>
      <c r="F182" s="288"/>
      <c r="G182" s="289">
        <f>G180*G181</f>
        <v>0</v>
      </c>
    </row>
  </sheetData>
  <mergeCells count="1">
    <mergeCell ref="B2:G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1"/>
  <sheetViews>
    <sheetView topLeftCell="X1" workbookViewId="0">
      <selection activeCell="G169" sqref="G169"/>
    </sheetView>
  </sheetViews>
  <sheetFormatPr defaultRowHeight="15" x14ac:dyDescent="0.25"/>
  <cols>
    <col min="2" max="2" width="27" customWidth="1"/>
    <col min="4" max="5" width="10.5703125" style="306" hidden="1" customWidth="1"/>
    <col min="7" max="7" width="13.28515625" bestFit="1" customWidth="1"/>
    <col min="9" max="10" width="10.5703125" style="306" bestFit="1" customWidth="1"/>
    <col min="14" max="15" width="10.5703125" style="306" bestFit="1" customWidth="1"/>
    <col min="19" max="20" width="10.5703125" style="306" bestFit="1" customWidth="1"/>
    <col min="24" max="25" width="10.5703125" style="306" bestFit="1" customWidth="1"/>
    <col min="29" max="30" width="10.5703125" style="306" bestFit="1" customWidth="1"/>
    <col min="34" max="35" width="10.5703125" style="306" bestFit="1" customWidth="1"/>
    <col min="39" max="40" width="10.5703125" style="306" bestFit="1" customWidth="1"/>
  </cols>
  <sheetData>
    <row r="1" spans="1:42" ht="41.25" customHeight="1" x14ac:dyDescent="0.25"/>
    <row r="2" spans="1:42" x14ac:dyDescent="0.25">
      <c r="A2" s="4" t="s">
        <v>264</v>
      </c>
      <c r="B2" s="293" t="s">
        <v>265</v>
      </c>
      <c r="C2" s="294"/>
      <c r="D2" s="307"/>
      <c r="E2" s="307"/>
      <c r="F2" s="294"/>
      <c r="G2" s="295"/>
      <c r="H2" s="294"/>
      <c r="I2" s="307"/>
      <c r="J2" s="307"/>
      <c r="K2" s="294"/>
      <c r="L2" s="295"/>
      <c r="M2" s="294"/>
      <c r="N2" s="307"/>
      <c r="O2" s="307"/>
      <c r="P2" s="294"/>
      <c r="Q2" s="295"/>
      <c r="R2" s="294"/>
      <c r="S2" s="307"/>
      <c r="T2" s="307"/>
      <c r="U2" s="294"/>
      <c r="V2" s="295"/>
      <c r="W2" s="294"/>
      <c r="X2" s="307"/>
      <c r="Y2" s="307"/>
      <c r="Z2" s="294"/>
      <c r="AA2" s="295"/>
      <c r="AB2" s="294"/>
      <c r="AC2" s="307"/>
      <c r="AD2" s="307"/>
      <c r="AE2" s="294"/>
      <c r="AF2" s="295"/>
      <c r="AG2" s="294"/>
      <c r="AH2" s="307"/>
      <c r="AI2" s="307"/>
      <c r="AJ2" s="294"/>
      <c r="AK2" s="295"/>
      <c r="AL2" s="294"/>
      <c r="AM2" s="307"/>
      <c r="AN2" s="307"/>
      <c r="AO2" s="294"/>
      <c r="AP2" s="295"/>
    </row>
    <row r="3" spans="1:42" ht="15.75" x14ac:dyDescent="0.25">
      <c r="A3" s="4">
        <v>1</v>
      </c>
      <c r="B3" s="276" t="s">
        <v>267</v>
      </c>
      <c r="C3" s="293" t="s">
        <v>266</v>
      </c>
      <c r="D3" s="307"/>
      <c r="E3" s="307"/>
      <c r="F3" s="294"/>
      <c r="G3" s="295"/>
      <c r="H3" s="293" t="s">
        <v>266</v>
      </c>
      <c r="I3" s="307"/>
      <c r="J3" s="307"/>
      <c r="K3" s="294"/>
      <c r="L3" s="295"/>
      <c r="M3" s="293" t="s">
        <v>266</v>
      </c>
      <c r="N3" s="307"/>
      <c r="O3" s="307"/>
      <c r="P3" s="294"/>
      <c r="Q3" s="295"/>
      <c r="R3" s="293" t="s">
        <v>266</v>
      </c>
      <c r="S3" s="307"/>
      <c r="T3" s="307"/>
      <c r="U3" s="294"/>
      <c r="V3" s="295"/>
      <c r="W3" s="293" t="s">
        <v>266</v>
      </c>
      <c r="X3" s="307"/>
      <c r="Y3" s="307"/>
      <c r="Z3" s="294"/>
      <c r="AA3" s="295"/>
      <c r="AB3" s="293" t="s">
        <v>266</v>
      </c>
      <c r="AC3" s="307"/>
      <c r="AD3" s="307"/>
      <c r="AE3" s="294"/>
      <c r="AF3" s="295"/>
      <c r="AG3" s="293" t="s">
        <v>266</v>
      </c>
      <c r="AH3" s="307"/>
      <c r="AI3" s="307"/>
      <c r="AJ3" s="294"/>
      <c r="AK3" s="295"/>
      <c r="AL3" s="293" t="s">
        <v>266</v>
      </c>
      <c r="AM3" s="307"/>
      <c r="AN3" s="307"/>
      <c r="AO3" s="294"/>
      <c r="AP3" s="295"/>
    </row>
    <row r="4" spans="1:42" ht="15.75" x14ac:dyDescent="0.25">
      <c r="A4" s="4"/>
      <c r="B4" s="276"/>
      <c r="C4" s="382" t="s">
        <v>495</v>
      </c>
      <c r="D4" s="383"/>
      <c r="E4" s="383"/>
      <c r="F4" s="383"/>
      <c r="G4" s="384"/>
      <c r="H4" s="382" t="s">
        <v>496</v>
      </c>
      <c r="I4" s="383"/>
      <c r="J4" s="383"/>
      <c r="K4" s="383"/>
      <c r="L4" s="384"/>
      <c r="M4" s="382" t="s">
        <v>497</v>
      </c>
      <c r="N4" s="383"/>
      <c r="O4" s="383"/>
      <c r="P4" s="383"/>
      <c r="Q4" s="384"/>
      <c r="R4" s="382" t="s">
        <v>498</v>
      </c>
      <c r="S4" s="383"/>
      <c r="T4" s="383"/>
      <c r="U4" s="383"/>
      <c r="V4" s="384"/>
      <c r="W4" s="382" t="s">
        <v>499</v>
      </c>
      <c r="X4" s="383"/>
      <c r="Y4" s="383"/>
      <c r="Z4" s="383"/>
      <c r="AA4" s="384"/>
      <c r="AB4" s="382" t="s">
        <v>500</v>
      </c>
      <c r="AC4" s="383"/>
      <c r="AD4" s="383"/>
      <c r="AE4" s="383"/>
      <c r="AF4" s="384"/>
      <c r="AG4" s="382" t="s">
        <v>501</v>
      </c>
      <c r="AH4" s="383"/>
      <c r="AI4" s="383"/>
      <c r="AJ4" s="383"/>
      <c r="AK4" s="384"/>
      <c r="AL4" s="382" t="s">
        <v>502</v>
      </c>
      <c r="AM4" s="383"/>
      <c r="AN4" s="383"/>
      <c r="AO4" s="383"/>
      <c r="AP4" s="384"/>
    </row>
    <row r="5" spans="1:42" ht="15.75" x14ac:dyDescent="0.25">
      <c r="A5" s="4"/>
      <c r="B5" s="276"/>
      <c r="C5" s="290"/>
      <c r="D5" s="308" t="s">
        <v>615</v>
      </c>
      <c r="E5" s="308" t="s">
        <v>616</v>
      </c>
      <c r="F5" s="291"/>
      <c r="G5" s="292"/>
      <c r="H5" s="290"/>
      <c r="I5" s="308" t="s">
        <v>615</v>
      </c>
      <c r="J5" s="308" t="s">
        <v>616</v>
      </c>
      <c r="K5" s="291"/>
      <c r="L5" s="292"/>
      <c r="M5" s="290"/>
      <c r="N5" s="308" t="s">
        <v>615</v>
      </c>
      <c r="O5" s="308" t="s">
        <v>616</v>
      </c>
      <c r="P5" s="291"/>
      <c r="Q5" s="292"/>
      <c r="R5" s="290"/>
      <c r="S5" s="308" t="s">
        <v>615</v>
      </c>
      <c r="T5" s="308" t="s">
        <v>616</v>
      </c>
      <c r="U5" s="291"/>
      <c r="V5" s="292"/>
      <c r="W5" s="290"/>
      <c r="X5" s="308" t="s">
        <v>615</v>
      </c>
      <c r="Y5" s="308" t="s">
        <v>616</v>
      </c>
      <c r="Z5" s="291"/>
      <c r="AA5" s="292"/>
      <c r="AB5" s="290"/>
      <c r="AC5" s="308" t="s">
        <v>615</v>
      </c>
      <c r="AD5" s="308" t="s">
        <v>616</v>
      </c>
      <c r="AE5" s="291"/>
      <c r="AF5" s="292"/>
      <c r="AG5" s="290"/>
      <c r="AH5" s="308" t="s">
        <v>615</v>
      </c>
      <c r="AI5" s="308" t="s">
        <v>616</v>
      </c>
      <c r="AJ5" s="291"/>
      <c r="AK5" s="292"/>
      <c r="AL5" s="290"/>
      <c r="AM5" s="308" t="s">
        <v>615</v>
      </c>
      <c r="AN5" s="308" t="s">
        <v>616</v>
      </c>
      <c r="AO5" s="291"/>
      <c r="AP5" s="292"/>
    </row>
    <row r="6" spans="1:42" ht="32.25" customHeight="1" x14ac:dyDescent="0.25">
      <c r="A6" s="277"/>
      <c r="B6" s="278" t="s">
        <v>503</v>
      </c>
      <c r="C6" s="278">
        <v>4.99</v>
      </c>
      <c r="D6" s="309">
        <f>MAX(C6)</f>
        <v>4.99</v>
      </c>
      <c r="E6" s="310">
        <f>MIN(C6)</f>
        <v>4.99</v>
      </c>
      <c r="F6" s="4">
        <v>100</v>
      </c>
      <c r="G6" s="4">
        <f>$C6*F6/100</f>
        <v>4.99</v>
      </c>
      <c r="H6" s="278">
        <v>4.53</v>
      </c>
      <c r="I6" s="309">
        <f>MAX(H6)</f>
        <v>4.53</v>
      </c>
      <c r="J6" s="310">
        <f>MIN(H6)</f>
        <v>4.53</v>
      </c>
      <c r="K6" s="4"/>
      <c r="L6" s="4">
        <f>$H6*K6/100</f>
        <v>0</v>
      </c>
      <c r="M6" s="278">
        <v>5.78</v>
      </c>
      <c r="N6" s="309">
        <f>MAX(M6)</f>
        <v>5.78</v>
      </c>
      <c r="O6" s="310">
        <f>MIN(M6)</f>
        <v>5.78</v>
      </c>
      <c r="P6" s="4"/>
      <c r="Q6" s="4">
        <f>$M6*P6/100</f>
        <v>0</v>
      </c>
      <c r="R6" s="278">
        <v>3.29</v>
      </c>
      <c r="S6" s="309">
        <f>MAX(R6)</f>
        <v>3.29</v>
      </c>
      <c r="T6" s="310">
        <f>MIN(R6)</f>
        <v>3.29</v>
      </c>
      <c r="U6" s="4"/>
      <c r="V6" s="4">
        <f>$R6*U6/100</f>
        <v>0</v>
      </c>
      <c r="W6" s="278">
        <v>4.6100000000000003</v>
      </c>
      <c r="X6" s="309">
        <f>MAX(W6)</f>
        <v>4.6100000000000003</v>
      </c>
      <c r="Y6" s="310">
        <f>MIN(W6)</f>
        <v>4.6100000000000003</v>
      </c>
      <c r="Z6" s="4"/>
      <c r="AA6" s="4">
        <f>$W6*Z6/100</f>
        <v>0</v>
      </c>
      <c r="AB6" s="278">
        <v>3.72</v>
      </c>
      <c r="AC6" s="309">
        <f>MAX(AB6)</f>
        <v>3.72</v>
      </c>
      <c r="AD6" s="310">
        <f>MIN(AB6)</f>
        <v>3.72</v>
      </c>
      <c r="AE6" s="4"/>
      <c r="AF6" s="4">
        <f>$AB6*AE6/100</f>
        <v>0</v>
      </c>
      <c r="AG6" s="278">
        <v>4.9000000000000004</v>
      </c>
      <c r="AH6" s="309">
        <f>MAX(AG6)</f>
        <v>4.9000000000000004</v>
      </c>
      <c r="AI6" s="310">
        <f>MIN(AG6)</f>
        <v>4.9000000000000004</v>
      </c>
      <c r="AJ6" s="4"/>
      <c r="AK6" s="4">
        <f>$AG6*AJ6/100</f>
        <v>0</v>
      </c>
      <c r="AL6" s="278">
        <v>4.03</v>
      </c>
      <c r="AM6" s="309">
        <f>MAX(AL6)</f>
        <v>4.03</v>
      </c>
      <c r="AN6" s="310">
        <f>MIN(AL6)</f>
        <v>4.03</v>
      </c>
      <c r="AO6" s="4"/>
      <c r="AP6" s="4">
        <f>$AL6*AO6/100</f>
        <v>0</v>
      </c>
    </row>
    <row r="7" spans="1:42" ht="15.75" x14ac:dyDescent="0.25">
      <c r="A7" s="4">
        <v>2</v>
      </c>
      <c r="B7" s="280" t="s">
        <v>272</v>
      </c>
      <c r="C7" s="279"/>
      <c r="D7" s="310"/>
      <c r="E7" s="310"/>
      <c r="F7" s="4"/>
      <c r="G7" s="4">
        <f t="shared" ref="G7:G163" si="0">$C7*F7/100</f>
        <v>0</v>
      </c>
      <c r="H7" s="279"/>
      <c r="I7" s="310"/>
      <c r="J7" s="310"/>
      <c r="K7" s="4"/>
      <c r="L7" s="4">
        <f t="shared" ref="L7:L66" si="1">$H7*K7/100</f>
        <v>0</v>
      </c>
      <c r="M7" s="279"/>
      <c r="N7" s="310"/>
      <c r="O7" s="310"/>
      <c r="P7" s="4"/>
      <c r="Q7" s="4">
        <f t="shared" ref="Q7:Q66" si="2">$M7*P7/100</f>
        <v>0</v>
      </c>
      <c r="R7" s="279"/>
      <c r="S7" s="310"/>
      <c r="T7" s="310"/>
      <c r="U7" s="4"/>
      <c r="V7" s="4">
        <f t="shared" ref="V7:V66" si="3">$R7*U7/100</f>
        <v>0</v>
      </c>
      <c r="W7" s="279"/>
      <c r="X7" s="310"/>
      <c r="Y7" s="310"/>
      <c r="Z7" s="4"/>
      <c r="AA7" s="4">
        <f t="shared" ref="AA7:AA66" si="4">$W7*Z7/100</f>
        <v>0</v>
      </c>
      <c r="AB7" s="279"/>
      <c r="AC7" s="310"/>
      <c r="AD7" s="310"/>
      <c r="AE7" s="4"/>
      <c r="AF7" s="4">
        <f t="shared" ref="AF7:AF66" si="5">$AB7*AE7/100</f>
        <v>0</v>
      </c>
      <c r="AG7" s="279"/>
      <c r="AH7" s="310"/>
      <c r="AI7" s="310"/>
      <c r="AJ7" s="4"/>
      <c r="AK7" s="4">
        <f t="shared" ref="AK7:AK66" si="6">$AG7*AJ7/100</f>
        <v>0</v>
      </c>
      <c r="AL7" s="279"/>
      <c r="AM7" s="310"/>
      <c r="AN7" s="310"/>
      <c r="AO7" s="4"/>
      <c r="AP7" s="4">
        <f t="shared" ref="AP7:AP66" si="7">$AL7*AO7/100</f>
        <v>0</v>
      </c>
    </row>
    <row r="8" spans="1:42" ht="46.5" customHeight="1" x14ac:dyDescent="0.25">
      <c r="A8" s="277"/>
      <c r="B8" s="278" t="s">
        <v>505</v>
      </c>
      <c r="C8" s="279">
        <v>4.9400000000000004</v>
      </c>
      <c r="D8" s="309">
        <f>MAX(C8)</f>
        <v>4.9400000000000004</v>
      </c>
      <c r="E8" s="310">
        <f>MIN(C8)</f>
        <v>4.9400000000000004</v>
      </c>
      <c r="F8" s="4">
        <v>100</v>
      </c>
      <c r="G8" s="4">
        <f t="shared" si="0"/>
        <v>4.9400000000000004</v>
      </c>
      <c r="H8" s="279">
        <v>6.96</v>
      </c>
      <c r="I8" s="309">
        <f>MAX(H8)</f>
        <v>6.96</v>
      </c>
      <c r="J8" s="310">
        <f>MIN(H8)</f>
        <v>6.96</v>
      </c>
      <c r="K8" s="4"/>
      <c r="L8" s="4">
        <f t="shared" si="1"/>
        <v>0</v>
      </c>
      <c r="M8" s="279">
        <v>5.54</v>
      </c>
      <c r="N8" s="309">
        <f>MAX(M8)</f>
        <v>5.54</v>
      </c>
      <c r="O8" s="310">
        <f>MIN(M8)</f>
        <v>5.54</v>
      </c>
      <c r="P8" s="4"/>
      <c r="Q8" s="4">
        <f t="shared" si="2"/>
        <v>0</v>
      </c>
      <c r="R8" s="279">
        <v>5.75</v>
      </c>
      <c r="S8" s="309">
        <f>MAX(R8)</f>
        <v>5.75</v>
      </c>
      <c r="T8" s="310">
        <f>MIN(R8)</f>
        <v>5.75</v>
      </c>
      <c r="U8" s="4"/>
      <c r="V8" s="4">
        <f t="shared" si="3"/>
        <v>0</v>
      </c>
      <c r="W8" s="279">
        <v>4.01</v>
      </c>
      <c r="X8" s="309">
        <f>MAX(W8)</f>
        <v>4.01</v>
      </c>
      <c r="Y8" s="310">
        <f>MIN(W8)</f>
        <v>4.01</v>
      </c>
      <c r="Z8" s="4"/>
      <c r="AA8" s="4">
        <f t="shared" si="4"/>
        <v>0</v>
      </c>
      <c r="AB8" s="279">
        <v>6.85</v>
      </c>
      <c r="AC8" s="309">
        <f>MAX(AB8)</f>
        <v>6.85</v>
      </c>
      <c r="AD8" s="310">
        <f>MIN(AB8)</f>
        <v>6.85</v>
      </c>
      <c r="AE8" s="4"/>
      <c r="AF8" s="4">
        <f t="shared" si="5"/>
        <v>0</v>
      </c>
      <c r="AG8" s="279">
        <v>7.16</v>
      </c>
      <c r="AH8" s="309">
        <f>MAX(AG8)</f>
        <v>7.16</v>
      </c>
      <c r="AI8" s="310">
        <f>MIN(AG8)</f>
        <v>7.16</v>
      </c>
      <c r="AJ8" s="4"/>
      <c r="AK8" s="4">
        <f t="shared" si="6"/>
        <v>0</v>
      </c>
      <c r="AL8" s="279">
        <v>8.6</v>
      </c>
      <c r="AM8" s="309">
        <f>MAX(AL8)</f>
        <v>8.6</v>
      </c>
      <c r="AN8" s="310">
        <f>MIN(AL8)</f>
        <v>8.6</v>
      </c>
      <c r="AO8" s="4"/>
      <c r="AP8" s="4">
        <f t="shared" si="7"/>
        <v>0</v>
      </c>
    </row>
    <row r="9" spans="1:42" ht="15.75" x14ac:dyDescent="0.25">
      <c r="A9" s="4">
        <v>3</v>
      </c>
      <c r="B9" s="280" t="s">
        <v>338</v>
      </c>
      <c r="C9" s="279"/>
      <c r="D9" s="310"/>
      <c r="E9" s="310"/>
      <c r="F9" s="4"/>
      <c r="G9" s="4">
        <f t="shared" si="0"/>
        <v>0</v>
      </c>
      <c r="H9" s="279"/>
      <c r="I9" s="310"/>
      <c r="J9" s="310"/>
      <c r="K9" s="4"/>
      <c r="L9" s="4">
        <f t="shared" si="1"/>
        <v>0</v>
      </c>
      <c r="M9" s="279"/>
      <c r="N9" s="310"/>
      <c r="O9" s="310"/>
      <c r="P9" s="4"/>
      <c r="Q9" s="4">
        <f t="shared" si="2"/>
        <v>0</v>
      </c>
      <c r="R9" s="279"/>
      <c r="S9" s="310"/>
      <c r="T9" s="310"/>
      <c r="U9" s="4"/>
      <c r="V9" s="4">
        <f t="shared" si="3"/>
        <v>0</v>
      </c>
      <c r="W9" s="279"/>
      <c r="X9" s="310"/>
      <c r="Y9" s="310"/>
      <c r="Z9" s="4"/>
      <c r="AA9" s="4">
        <f t="shared" si="4"/>
        <v>0</v>
      </c>
      <c r="AB9" s="279"/>
      <c r="AC9" s="310"/>
      <c r="AD9" s="310"/>
      <c r="AE9" s="4"/>
      <c r="AF9" s="4">
        <f t="shared" si="5"/>
        <v>0</v>
      </c>
      <c r="AG9" s="279"/>
      <c r="AH9" s="310"/>
      <c r="AI9" s="310"/>
      <c r="AJ9" s="4"/>
      <c r="AK9" s="4">
        <f t="shared" si="6"/>
        <v>0</v>
      </c>
      <c r="AL9" s="279"/>
      <c r="AM9" s="310"/>
      <c r="AN9" s="310"/>
      <c r="AO9" s="4"/>
      <c r="AP9" s="4">
        <f t="shared" si="7"/>
        <v>0</v>
      </c>
    </row>
    <row r="10" spans="1:42" ht="15.75" x14ac:dyDescent="0.25">
      <c r="A10" s="4"/>
      <c r="B10" s="280" t="s">
        <v>339</v>
      </c>
      <c r="C10" s="279"/>
      <c r="D10" s="310"/>
      <c r="E10" s="310"/>
      <c r="F10" s="4"/>
      <c r="G10" s="4">
        <f t="shared" si="0"/>
        <v>0</v>
      </c>
      <c r="H10" s="279"/>
      <c r="I10" s="310"/>
      <c r="J10" s="310"/>
      <c r="K10" s="4"/>
      <c r="L10" s="4">
        <f t="shared" si="1"/>
        <v>0</v>
      </c>
      <c r="M10" s="279"/>
      <c r="N10" s="310"/>
      <c r="O10" s="310"/>
      <c r="P10" s="4"/>
      <c r="Q10" s="4">
        <f t="shared" si="2"/>
        <v>0</v>
      </c>
      <c r="R10" s="279"/>
      <c r="S10" s="310"/>
      <c r="T10" s="310"/>
      <c r="U10" s="4"/>
      <c r="V10" s="4">
        <f t="shared" si="3"/>
        <v>0</v>
      </c>
      <c r="W10" s="279"/>
      <c r="X10" s="310"/>
      <c r="Y10" s="310"/>
      <c r="Z10" s="4"/>
      <c r="AA10" s="4">
        <f t="shared" si="4"/>
        <v>0</v>
      </c>
      <c r="AB10" s="279"/>
      <c r="AC10" s="310"/>
      <c r="AD10" s="310"/>
      <c r="AE10" s="4"/>
      <c r="AF10" s="4">
        <f t="shared" si="5"/>
        <v>0</v>
      </c>
      <c r="AG10" s="279"/>
      <c r="AH10" s="310"/>
      <c r="AI10" s="310"/>
      <c r="AJ10" s="4"/>
      <c r="AK10" s="4">
        <f t="shared" si="6"/>
        <v>0</v>
      </c>
      <c r="AL10" s="279"/>
      <c r="AM10" s="310"/>
      <c r="AN10" s="310"/>
      <c r="AO10" s="4"/>
      <c r="AP10" s="4">
        <f t="shared" si="7"/>
        <v>0</v>
      </c>
    </row>
    <row r="11" spans="1:42" ht="31.5" customHeight="1" x14ac:dyDescent="0.25">
      <c r="A11" s="277"/>
      <c r="B11" s="278" t="s">
        <v>506</v>
      </c>
      <c r="C11" s="279">
        <v>0.53</v>
      </c>
      <c r="D11" s="309">
        <f>MAX(C11:C17)</f>
        <v>5.26</v>
      </c>
      <c r="E11" s="310">
        <f>MIN(C11:C17)</f>
        <v>0.42</v>
      </c>
      <c r="F11" s="4">
        <v>100</v>
      </c>
      <c r="G11" s="4">
        <f t="shared" si="0"/>
        <v>0.53</v>
      </c>
      <c r="H11" s="279">
        <v>0.43</v>
      </c>
      <c r="I11" s="309">
        <f>MAX(H11:H17)</f>
        <v>4.3099999999999996</v>
      </c>
      <c r="J11" s="310">
        <f>MIN(H11:H17)</f>
        <v>0.34</v>
      </c>
      <c r="K11" s="4"/>
      <c r="L11" s="4">
        <f t="shared" si="1"/>
        <v>0</v>
      </c>
      <c r="M11" s="279">
        <v>0.28999999999999998</v>
      </c>
      <c r="N11" s="309">
        <f>MAX(M11:M17)</f>
        <v>2.95</v>
      </c>
      <c r="O11" s="310">
        <f>MIN(M11:M17)</f>
        <v>0.23</v>
      </c>
      <c r="P11" s="4"/>
      <c r="Q11" s="4">
        <f t="shared" si="2"/>
        <v>0</v>
      </c>
      <c r="R11" s="279">
        <v>2.69</v>
      </c>
      <c r="S11" s="309">
        <f>MAX(R11:R17)</f>
        <v>26.92</v>
      </c>
      <c r="T11" s="310">
        <f>MIN(R11:R17)</f>
        <v>2.14</v>
      </c>
      <c r="U11" s="4"/>
      <c r="V11" s="4">
        <f t="shared" si="3"/>
        <v>0</v>
      </c>
      <c r="W11" s="279">
        <v>0.38</v>
      </c>
      <c r="X11" s="309">
        <f>MAX(W11:W17)</f>
        <v>3.78</v>
      </c>
      <c r="Y11" s="310">
        <f>MIN(W11:W17)</f>
        <v>0.3</v>
      </c>
      <c r="Z11" s="4"/>
      <c r="AA11" s="4">
        <f t="shared" si="4"/>
        <v>0</v>
      </c>
      <c r="AB11" s="279">
        <v>0.06</v>
      </c>
      <c r="AC11" s="309">
        <f>MAX(AB11:AB17)</f>
        <v>0.61</v>
      </c>
      <c r="AD11" s="310">
        <f>MIN(AB11:AB17)</f>
        <v>0.05</v>
      </c>
      <c r="AE11" s="4"/>
      <c r="AF11" s="4">
        <f t="shared" si="5"/>
        <v>0</v>
      </c>
      <c r="AG11" s="279">
        <v>0.37</v>
      </c>
      <c r="AH11" s="309">
        <f>MAX(AG11:AG17)</f>
        <v>3.72</v>
      </c>
      <c r="AI11" s="310">
        <f>MIN(AG11:AG17)</f>
        <v>0.3</v>
      </c>
      <c r="AJ11" s="4"/>
      <c r="AK11" s="4">
        <f t="shared" si="6"/>
        <v>0</v>
      </c>
      <c r="AL11" s="279">
        <v>0.24</v>
      </c>
      <c r="AM11" s="309">
        <f>MAX(AL11:AL17)</f>
        <v>2.39</v>
      </c>
      <c r="AN11" s="310">
        <f>MIN(AL11:AL17)</f>
        <v>0.19</v>
      </c>
      <c r="AO11" s="4"/>
      <c r="AP11" s="4">
        <f t="shared" si="7"/>
        <v>0</v>
      </c>
    </row>
    <row r="12" spans="1:42" ht="31.5" customHeight="1" x14ac:dyDescent="0.25">
      <c r="A12" s="277"/>
      <c r="B12" s="278" t="s">
        <v>507</v>
      </c>
      <c r="C12" s="279">
        <v>1.68</v>
      </c>
      <c r="D12" s="310"/>
      <c r="E12" s="310"/>
      <c r="F12" s="4"/>
      <c r="G12" s="4">
        <f t="shared" si="0"/>
        <v>0</v>
      </c>
      <c r="H12" s="279">
        <v>1.37</v>
      </c>
      <c r="I12" s="310"/>
      <c r="J12" s="310"/>
      <c r="K12" s="4"/>
      <c r="L12" s="4">
        <f t="shared" si="1"/>
        <v>0</v>
      </c>
      <c r="M12" s="279">
        <v>0.94</v>
      </c>
      <c r="N12" s="310"/>
      <c r="O12" s="310"/>
      <c r="P12" s="4"/>
      <c r="Q12" s="4">
        <f t="shared" si="2"/>
        <v>0</v>
      </c>
      <c r="R12" s="279">
        <v>8.57</v>
      </c>
      <c r="S12" s="310"/>
      <c r="T12" s="310"/>
      <c r="U12" s="4"/>
      <c r="V12" s="4">
        <f t="shared" si="3"/>
        <v>0</v>
      </c>
      <c r="W12" s="279">
        <v>1.2</v>
      </c>
      <c r="X12" s="310"/>
      <c r="Y12" s="310"/>
      <c r="Z12" s="4"/>
      <c r="AA12" s="4">
        <f t="shared" si="4"/>
        <v>0</v>
      </c>
      <c r="AB12" s="279">
        <v>0.2</v>
      </c>
      <c r="AC12" s="310"/>
      <c r="AD12" s="310"/>
      <c r="AE12" s="4"/>
      <c r="AF12" s="4">
        <f t="shared" si="5"/>
        <v>0</v>
      </c>
      <c r="AG12" s="279">
        <v>1.19</v>
      </c>
      <c r="AH12" s="310"/>
      <c r="AI12" s="310"/>
      <c r="AJ12" s="4"/>
      <c r="AK12" s="4">
        <f t="shared" si="6"/>
        <v>0</v>
      </c>
      <c r="AL12" s="279">
        <v>0.76</v>
      </c>
      <c r="AM12" s="310"/>
      <c r="AN12" s="310"/>
      <c r="AO12" s="4"/>
      <c r="AP12" s="4">
        <f t="shared" si="7"/>
        <v>0</v>
      </c>
    </row>
    <row r="13" spans="1:42" ht="31.5" customHeight="1" x14ac:dyDescent="0.25">
      <c r="A13" s="277"/>
      <c r="B13" s="278" t="s">
        <v>508</v>
      </c>
      <c r="C13" s="279">
        <v>0.92</v>
      </c>
      <c r="D13" s="310"/>
      <c r="E13" s="310"/>
      <c r="F13" s="4"/>
      <c r="G13" s="4">
        <f t="shared" si="0"/>
        <v>0</v>
      </c>
      <c r="H13" s="279">
        <v>0.75</v>
      </c>
      <c r="I13" s="310"/>
      <c r="J13" s="310"/>
      <c r="K13" s="4"/>
      <c r="L13" s="4">
        <f t="shared" si="1"/>
        <v>0</v>
      </c>
      <c r="M13" s="279">
        <v>0.52</v>
      </c>
      <c r="N13" s="310"/>
      <c r="O13" s="310"/>
      <c r="P13" s="4"/>
      <c r="Q13" s="4">
        <f t="shared" si="2"/>
        <v>0</v>
      </c>
      <c r="R13" s="279">
        <v>4.71</v>
      </c>
      <c r="S13" s="310"/>
      <c r="T13" s="310"/>
      <c r="U13" s="4"/>
      <c r="V13" s="4">
        <f t="shared" si="3"/>
        <v>0</v>
      </c>
      <c r="W13" s="279">
        <v>0.66</v>
      </c>
      <c r="X13" s="310"/>
      <c r="Y13" s="310"/>
      <c r="Z13" s="4"/>
      <c r="AA13" s="4">
        <f t="shared" si="4"/>
        <v>0</v>
      </c>
      <c r="AB13" s="279">
        <v>0.11</v>
      </c>
      <c r="AC13" s="310"/>
      <c r="AD13" s="310"/>
      <c r="AE13" s="4"/>
      <c r="AF13" s="4">
        <f t="shared" si="5"/>
        <v>0</v>
      </c>
      <c r="AG13" s="279">
        <v>0.65</v>
      </c>
      <c r="AH13" s="310"/>
      <c r="AI13" s="310"/>
      <c r="AJ13" s="4"/>
      <c r="AK13" s="4">
        <f t="shared" si="6"/>
        <v>0</v>
      </c>
      <c r="AL13" s="279">
        <v>0.42</v>
      </c>
      <c r="AM13" s="310"/>
      <c r="AN13" s="310"/>
      <c r="AO13" s="4"/>
      <c r="AP13" s="4">
        <f t="shared" si="7"/>
        <v>0</v>
      </c>
    </row>
    <row r="14" spans="1:42" ht="31.5" customHeight="1" x14ac:dyDescent="0.25">
      <c r="A14" s="277"/>
      <c r="B14" s="278" t="s">
        <v>509</v>
      </c>
      <c r="C14" s="279">
        <v>0.78</v>
      </c>
      <c r="D14" s="310"/>
      <c r="E14" s="310"/>
      <c r="F14" s="4"/>
      <c r="G14" s="4">
        <f t="shared" si="0"/>
        <v>0</v>
      </c>
      <c r="H14" s="279">
        <v>0.64</v>
      </c>
      <c r="I14" s="310"/>
      <c r="J14" s="310"/>
      <c r="K14" s="4"/>
      <c r="L14" s="4">
        <f t="shared" si="1"/>
        <v>0</v>
      </c>
      <c r="M14" s="279">
        <v>0.44</v>
      </c>
      <c r="N14" s="310"/>
      <c r="O14" s="310"/>
      <c r="P14" s="4"/>
      <c r="Q14" s="4">
        <f t="shared" si="2"/>
        <v>0</v>
      </c>
      <c r="R14" s="279">
        <v>4</v>
      </c>
      <c r="S14" s="310"/>
      <c r="T14" s="310"/>
      <c r="U14" s="4"/>
      <c r="V14" s="4">
        <f t="shared" si="3"/>
        <v>0</v>
      </c>
      <c r="W14" s="279">
        <v>0.56000000000000005</v>
      </c>
      <c r="X14" s="310"/>
      <c r="Y14" s="310"/>
      <c r="Z14" s="4"/>
      <c r="AA14" s="4">
        <f t="shared" si="4"/>
        <v>0</v>
      </c>
      <c r="AB14" s="279">
        <v>0.09</v>
      </c>
      <c r="AC14" s="310"/>
      <c r="AD14" s="310"/>
      <c r="AE14" s="4"/>
      <c r="AF14" s="4">
        <f t="shared" si="5"/>
        <v>0</v>
      </c>
      <c r="AG14" s="279">
        <v>0.55000000000000004</v>
      </c>
      <c r="AH14" s="310"/>
      <c r="AI14" s="310"/>
      <c r="AJ14" s="4"/>
      <c r="AK14" s="4">
        <f t="shared" si="6"/>
        <v>0</v>
      </c>
      <c r="AL14" s="279">
        <v>0.36</v>
      </c>
      <c r="AM14" s="310"/>
      <c r="AN14" s="310"/>
      <c r="AO14" s="4"/>
      <c r="AP14" s="4">
        <f t="shared" si="7"/>
        <v>0</v>
      </c>
    </row>
    <row r="15" spans="1:42" ht="31.5" customHeight="1" x14ac:dyDescent="0.25">
      <c r="A15" s="277"/>
      <c r="B15" s="278" t="s">
        <v>510</v>
      </c>
      <c r="C15" s="279">
        <v>5.26</v>
      </c>
      <c r="D15" s="310"/>
      <c r="E15" s="310"/>
      <c r="F15" s="4"/>
      <c r="G15" s="4">
        <f t="shared" si="0"/>
        <v>0</v>
      </c>
      <c r="H15" s="279">
        <v>4.3099999999999996</v>
      </c>
      <c r="I15" s="310"/>
      <c r="J15" s="310"/>
      <c r="K15" s="4"/>
      <c r="L15" s="4">
        <f t="shared" si="1"/>
        <v>0</v>
      </c>
      <c r="M15" s="279">
        <v>2.95</v>
      </c>
      <c r="N15" s="310"/>
      <c r="O15" s="310"/>
      <c r="P15" s="4"/>
      <c r="Q15" s="4">
        <f t="shared" si="2"/>
        <v>0</v>
      </c>
      <c r="R15" s="279">
        <v>26.92</v>
      </c>
      <c r="S15" s="310"/>
      <c r="T15" s="310"/>
      <c r="U15" s="4"/>
      <c r="V15" s="4">
        <f t="shared" si="3"/>
        <v>0</v>
      </c>
      <c r="W15" s="279">
        <v>3.78</v>
      </c>
      <c r="X15" s="310"/>
      <c r="Y15" s="310"/>
      <c r="Z15" s="4"/>
      <c r="AA15" s="4">
        <f t="shared" si="4"/>
        <v>0</v>
      </c>
      <c r="AB15" s="279">
        <v>0.61</v>
      </c>
      <c r="AC15" s="310"/>
      <c r="AD15" s="310"/>
      <c r="AE15" s="4"/>
      <c r="AF15" s="4">
        <f t="shared" si="5"/>
        <v>0</v>
      </c>
      <c r="AG15" s="279">
        <v>3.72</v>
      </c>
      <c r="AH15" s="310"/>
      <c r="AI15" s="310"/>
      <c r="AJ15" s="4"/>
      <c r="AK15" s="4">
        <f t="shared" si="6"/>
        <v>0</v>
      </c>
      <c r="AL15" s="279">
        <v>2.39</v>
      </c>
      <c r="AM15" s="310"/>
      <c r="AN15" s="310"/>
      <c r="AO15" s="4"/>
      <c r="AP15" s="4">
        <f t="shared" si="7"/>
        <v>0</v>
      </c>
    </row>
    <row r="16" spans="1:42" ht="31.5" customHeight="1" x14ac:dyDescent="0.25">
      <c r="A16" s="277"/>
      <c r="B16" s="278" t="s">
        <v>511</v>
      </c>
      <c r="C16" s="279">
        <v>0.42</v>
      </c>
      <c r="D16" s="310"/>
      <c r="E16" s="310"/>
      <c r="F16" s="4"/>
      <c r="G16" s="4">
        <f t="shared" si="0"/>
        <v>0</v>
      </c>
      <c r="H16" s="279">
        <v>0.34</v>
      </c>
      <c r="I16" s="310"/>
      <c r="J16" s="310"/>
      <c r="K16" s="4"/>
      <c r="L16" s="4">
        <f t="shared" si="1"/>
        <v>0</v>
      </c>
      <c r="M16" s="279">
        <v>0.23</v>
      </c>
      <c r="N16" s="310"/>
      <c r="O16" s="310"/>
      <c r="P16" s="4"/>
      <c r="Q16" s="4">
        <f t="shared" si="2"/>
        <v>0</v>
      </c>
      <c r="R16" s="279">
        <v>2.14</v>
      </c>
      <c r="S16" s="310"/>
      <c r="T16" s="310"/>
      <c r="U16" s="4"/>
      <c r="V16" s="4">
        <f t="shared" si="3"/>
        <v>0</v>
      </c>
      <c r="W16" s="279">
        <v>0.3</v>
      </c>
      <c r="X16" s="310"/>
      <c r="Y16" s="310"/>
      <c r="Z16" s="4"/>
      <c r="AA16" s="4">
        <f t="shared" si="4"/>
        <v>0</v>
      </c>
      <c r="AB16" s="279">
        <v>0.05</v>
      </c>
      <c r="AC16" s="310"/>
      <c r="AD16" s="310"/>
      <c r="AE16" s="4"/>
      <c r="AF16" s="4">
        <f t="shared" si="5"/>
        <v>0</v>
      </c>
      <c r="AG16" s="279">
        <v>0.3</v>
      </c>
      <c r="AH16" s="310"/>
      <c r="AI16" s="310"/>
      <c r="AJ16" s="4"/>
      <c r="AK16" s="4">
        <f t="shared" si="6"/>
        <v>0</v>
      </c>
      <c r="AL16" s="279">
        <v>0.19</v>
      </c>
      <c r="AM16" s="310"/>
      <c r="AN16" s="310"/>
      <c r="AO16" s="4"/>
      <c r="AP16" s="4">
        <f t="shared" si="7"/>
        <v>0</v>
      </c>
    </row>
    <row r="17" spans="1:42" ht="31.5" customHeight="1" x14ac:dyDescent="0.25">
      <c r="A17" s="277"/>
      <c r="B17" s="278" t="s">
        <v>512</v>
      </c>
      <c r="C17" s="279">
        <v>0.85</v>
      </c>
      <c r="D17" s="310"/>
      <c r="E17" s="310"/>
      <c r="F17" s="4"/>
      <c r="G17" s="4">
        <f t="shared" si="0"/>
        <v>0</v>
      </c>
      <c r="H17" s="279">
        <v>0.7</v>
      </c>
      <c r="I17" s="310"/>
      <c r="J17" s="310"/>
      <c r="K17" s="4"/>
      <c r="L17" s="4">
        <f t="shared" si="1"/>
        <v>0</v>
      </c>
      <c r="M17" s="279">
        <v>0.48</v>
      </c>
      <c r="N17" s="310"/>
      <c r="O17" s="310"/>
      <c r="P17" s="4"/>
      <c r="Q17" s="4">
        <f t="shared" si="2"/>
        <v>0</v>
      </c>
      <c r="R17" s="279">
        <v>4.3600000000000003</v>
      </c>
      <c r="S17" s="310"/>
      <c r="T17" s="310"/>
      <c r="U17" s="4"/>
      <c r="V17" s="4">
        <f t="shared" si="3"/>
        <v>0</v>
      </c>
      <c r="W17" s="279">
        <v>0.61</v>
      </c>
      <c r="X17" s="310"/>
      <c r="Y17" s="310"/>
      <c r="Z17" s="4"/>
      <c r="AA17" s="4">
        <f t="shared" si="4"/>
        <v>0</v>
      </c>
      <c r="AB17" s="279">
        <v>0.1</v>
      </c>
      <c r="AC17" s="310"/>
      <c r="AD17" s="310"/>
      <c r="AE17" s="4"/>
      <c r="AF17" s="4">
        <f t="shared" si="5"/>
        <v>0</v>
      </c>
      <c r="AG17" s="279">
        <v>0.6</v>
      </c>
      <c r="AH17" s="310"/>
      <c r="AI17" s="310"/>
      <c r="AJ17" s="4"/>
      <c r="AK17" s="4">
        <f t="shared" si="6"/>
        <v>0</v>
      </c>
      <c r="AL17" s="279">
        <v>0.39</v>
      </c>
      <c r="AM17" s="310"/>
      <c r="AN17" s="310"/>
      <c r="AO17" s="4"/>
      <c r="AP17" s="4">
        <f t="shared" si="7"/>
        <v>0</v>
      </c>
    </row>
    <row r="18" spans="1:42" ht="15.75" x14ac:dyDescent="0.25">
      <c r="A18" s="4"/>
      <c r="B18" s="280" t="s">
        <v>352</v>
      </c>
      <c r="C18" s="279"/>
      <c r="D18" s="310"/>
      <c r="E18" s="310"/>
      <c r="F18" s="4"/>
      <c r="G18" s="4">
        <f t="shared" si="0"/>
        <v>0</v>
      </c>
      <c r="H18" s="279"/>
      <c r="I18" s="310"/>
      <c r="J18" s="310"/>
      <c r="K18" s="4"/>
      <c r="L18" s="4">
        <f t="shared" si="1"/>
        <v>0</v>
      </c>
      <c r="M18" s="279"/>
      <c r="N18" s="310"/>
      <c r="O18" s="310"/>
      <c r="P18" s="4"/>
      <c r="Q18" s="4">
        <f t="shared" si="2"/>
        <v>0</v>
      </c>
      <c r="R18" s="279"/>
      <c r="S18" s="310"/>
      <c r="T18" s="310"/>
      <c r="U18" s="4"/>
      <c r="V18" s="4">
        <f t="shared" si="3"/>
        <v>0</v>
      </c>
      <c r="W18" s="279"/>
      <c r="X18" s="310"/>
      <c r="Y18" s="310"/>
      <c r="Z18" s="4"/>
      <c r="AA18" s="4">
        <f t="shared" si="4"/>
        <v>0</v>
      </c>
      <c r="AB18" s="279"/>
      <c r="AC18" s="310"/>
      <c r="AD18" s="310"/>
      <c r="AE18" s="4"/>
      <c r="AF18" s="4">
        <f t="shared" si="5"/>
        <v>0</v>
      </c>
      <c r="AG18" s="279"/>
      <c r="AH18" s="310"/>
      <c r="AI18" s="310"/>
      <c r="AJ18" s="4"/>
      <c r="AK18" s="4">
        <f t="shared" si="6"/>
        <v>0</v>
      </c>
      <c r="AL18" s="279"/>
      <c r="AM18" s="310"/>
      <c r="AN18" s="310"/>
      <c r="AO18" s="4"/>
      <c r="AP18" s="4">
        <f t="shared" si="7"/>
        <v>0</v>
      </c>
    </row>
    <row r="19" spans="1:42" ht="15.75" x14ac:dyDescent="0.25">
      <c r="A19" s="277"/>
      <c r="B19" s="278" t="s">
        <v>513</v>
      </c>
      <c r="C19" s="279">
        <v>1.03</v>
      </c>
      <c r="D19" s="309">
        <f>MAX(C19:C25)</f>
        <v>14.24</v>
      </c>
      <c r="E19" s="310">
        <f>MIN(C19:C25)</f>
        <v>1.03</v>
      </c>
      <c r="F19" s="4">
        <v>100</v>
      </c>
      <c r="G19" s="4">
        <f t="shared" si="0"/>
        <v>1.03</v>
      </c>
      <c r="H19" s="279">
        <v>0.57999999999999996</v>
      </c>
      <c r="I19" s="309">
        <f>MAX(H19:H25)</f>
        <v>8</v>
      </c>
      <c r="J19" s="310">
        <f>MIN(H19:H25)</f>
        <v>0.57999999999999996</v>
      </c>
      <c r="K19" s="4"/>
      <c r="L19" s="4">
        <f t="shared" si="1"/>
        <v>0</v>
      </c>
      <c r="M19" s="279">
        <v>0.28999999999999998</v>
      </c>
      <c r="N19" s="309">
        <f>MAX(M19:M25)</f>
        <v>4.05</v>
      </c>
      <c r="O19" s="310">
        <f>MIN(M19:M25)</f>
        <v>0.28999999999999998</v>
      </c>
      <c r="P19" s="4"/>
      <c r="Q19" s="4">
        <f t="shared" si="2"/>
        <v>0</v>
      </c>
      <c r="R19" s="279">
        <v>1.02</v>
      </c>
      <c r="S19" s="309">
        <f>MAX(R19:R25)</f>
        <v>14.06</v>
      </c>
      <c r="T19" s="310">
        <f>MIN(R19:R25)</f>
        <v>1.02</v>
      </c>
      <c r="U19" s="4"/>
      <c r="V19" s="4">
        <f t="shared" si="3"/>
        <v>0</v>
      </c>
      <c r="W19" s="279">
        <v>0.26</v>
      </c>
      <c r="X19" s="309">
        <f>MAX(W19:W25)</f>
        <v>3.54</v>
      </c>
      <c r="Y19" s="310">
        <f>MIN(W19:W25)</f>
        <v>0.26</v>
      </c>
      <c r="Z19" s="4"/>
      <c r="AA19" s="4">
        <f t="shared" si="4"/>
        <v>0</v>
      </c>
      <c r="AB19" s="279">
        <v>0.17</v>
      </c>
      <c r="AC19" s="309">
        <f>MAX(AB19:AB25)</f>
        <v>2.34</v>
      </c>
      <c r="AD19" s="310">
        <f>MIN(AB19:AB25)</f>
        <v>0.17</v>
      </c>
      <c r="AE19" s="4"/>
      <c r="AF19" s="4">
        <f t="shared" si="5"/>
        <v>0</v>
      </c>
      <c r="AG19" s="279">
        <v>0.21</v>
      </c>
      <c r="AH19" s="309">
        <f>MAX(AG19:AG25)</f>
        <v>2.82</v>
      </c>
      <c r="AI19" s="310">
        <f>MIN(AG19:AG25)</f>
        <v>0.21</v>
      </c>
      <c r="AJ19" s="4"/>
      <c r="AK19" s="4">
        <f t="shared" si="6"/>
        <v>0</v>
      </c>
      <c r="AL19" s="279">
        <v>0.91</v>
      </c>
      <c r="AM19" s="309">
        <f>MAX(AL19:AL25)</f>
        <v>12.57</v>
      </c>
      <c r="AN19" s="310">
        <f>MIN(AL19:AL25)</f>
        <v>0.91</v>
      </c>
      <c r="AO19" s="4"/>
      <c r="AP19" s="4">
        <f t="shared" si="7"/>
        <v>0</v>
      </c>
    </row>
    <row r="20" spans="1:42" ht="15.75" x14ac:dyDescent="0.25">
      <c r="A20" s="277"/>
      <c r="B20" s="278" t="s">
        <v>514</v>
      </c>
      <c r="C20" s="279">
        <v>6.67</v>
      </c>
      <c r="D20" s="310"/>
      <c r="E20" s="310"/>
      <c r="F20" s="4"/>
      <c r="G20" s="4">
        <f t="shared" si="0"/>
        <v>0</v>
      </c>
      <c r="H20" s="279">
        <v>3.75</v>
      </c>
      <c r="I20" s="310"/>
      <c r="J20" s="310"/>
      <c r="K20" s="4"/>
      <c r="L20" s="4">
        <f t="shared" si="1"/>
        <v>0</v>
      </c>
      <c r="M20" s="279">
        <v>1.9</v>
      </c>
      <c r="N20" s="310"/>
      <c r="O20" s="310"/>
      <c r="P20" s="4"/>
      <c r="Q20" s="4">
        <f t="shared" si="2"/>
        <v>0</v>
      </c>
      <c r="R20" s="279">
        <v>6.59</v>
      </c>
      <c r="S20" s="310"/>
      <c r="T20" s="310"/>
      <c r="U20" s="4"/>
      <c r="V20" s="4">
        <f t="shared" si="3"/>
        <v>0</v>
      </c>
      <c r="W20" s="279">
        <v>1.66</v>
      </c>
      <c r="X20" s="310"/>
      <c r="Y20" s="310"/>
      <c r="Z20" s="4"/>
      <c r="AA20" s="4">
        <f t="shared" si="4"/>
        <v>0</v>
      </c>
      <c r="AB20" s="279">
        <v>1.1000000000000001</v>
      </c>
      <c r="AC20" s="310"/>
      <c r="AD20" s="310"/>
      <c r="AE20" s="4"/>
      <c r="AF20" s="4">
        <f t="shared" si="5"/>
        <v>0</v>
      </c>
      <c r="AG20" s="279">
        <v>1.32</v>
      </c>
      <c r="AH20" s="310"/>
      <c r="AI20" s="310"/>
      <c r="AJ20" s="4"/>
      <c r="AK20" s="4">
        <f t="shared" si="6"/>
        <v>0</v>
      </c>
      <c r="AL20" s="279">
        <v>5.89</v>
      </c>
      <c r="AM20" s="310"/>
      <c r="AN20" s="310"/>
      <c r="AO20" s="4"/>
      <c r="AP20" s="4">
        <f t="shared" si="7"/>
        <v>0</v>
      </c>
    </row>
    <row r="21" spans="1:42" ht="15.75" x14ac:dyDescent="0.25">
      <c r="A21" s="277"/>
      <c r="B21" s="278" t="s">
        <v>515</v>
      </c>
      <c r="C21" s="279">
        <v>1.8</v>
      </c>
      <c r="D21" s="310"/>
      <c r="E21" s="310"/>
      <c r="F21" s="4"/>
      <c r="G21" s="4">
        <f t="shared" si="0"/>
        <v>0</v>
      </c>
      <c r="H21" s="279">
        <v>1.01</v>
      </c>
      <c r="I21" s="310"/>
      <c r="J21" s="310"/>
      <c r="K21" s="4"/>
      <c r="L21" s="4">
        <f t="shared" si="1"/>
        <v>0</v>
      </c>
      <c r="M21" s="279">
        <v>0.51</v>
      </c>
      <c r="N21" s="310"/>
      <c r="O21" s="310"/>
      <c r="P21" s="4"/>
      <c r="Q21" s="4">
        <f t="shared" si="2"/>
        <v>0</v>
      </c>
      <c r="R21" s="279">
        <v>1.77</v>
      </c>
      <c r="S21" s="310"/>
      <c r="T21" s="310"/>
      <c r="U21" s="4"/>
      <c r="V21" s="4">
        <f t="shared" si="3"/>
        <v>0</v>
      </c>
      <c r="W21" s="279">
        <v>0.45</v>
      </c>
      <c r="X21" s="310"/>
      <c r="Y21" s="310"/>
      <c r="Z21" s="4"/>
      <c r="AA21" s="4">
        <f t="shared" si="4"/>
        <v>0</v>
      </c>
      <c r="AB21" s="279">
        <v>0.3</v>
      </c>
      <c r="AC21" s="310"/>
      <c r="AD21" s="310"/>
      <c r="AE21" s="4"/>
      <c r="AF21" s="4">
        <f t="shared" si="5"/>
        <v>0</v>
      </c>
      <c r="AG21" s="279">
        <v>0.36</v>
      </c>
      <c r="AH21" s="310"/>
      <c r="AI21" s="310"/>
      <c r="AJ21" s="4"/>
      <c r="AK21" s="4">
        <f t="shared" si="6"/>
        <v>0</v>
      </c>
      <c r="AL21" s="279">
        <v>1.59</v>
      </c>
      <c r="AM21" s="310"/>
      <c r="AN21" s="310"/>
      <c r="AO21" s="4"/>
      <c r="AP21" s="4">
        <f t="shared" si="7"/>
        <v>0</v>
      </c>
    </row>
    <row r="22" spans="1:42" ht="15.75" x14ac:dyDescent="0.25">
      <c r="A22" s="277"/>
      <c r="B22" s="278" t="s">
        <v>516</v>
      </c>
      <c r="C22" s="279">
        <v>2.2400000000000002</v>
      </c>
      <c r="D22" s="310"/>
      <c r="E22" s="310"/>
      <c r="F22" s="4"/>
      <c r="G22" s="4">
        <f t="shared" si="0"/>
        <v>0</v>
      </c>
      <c r="H22" s="279">
        <v>1.26</v>
      </c>
      <c r="I22" s="310"/>
      <c r="J22" s="310"/>
      <c r="K22" s="4"/>
      <c r="L22" s="4">
        <f t="shared" si="1"/>
        <v>0</v>
      </c>
      <c r="M22" s="279">
        <v>0.64</v>
      </c>
      <c r="N22" s="310"/>
      <c r="O22" s="310"/>
      <c r="P22" s="4"/>
      <c r="Q22" s="4">
        <f t="shared" si="2"/>
        <v>0</v>
      </c>
      <c r="R22" s="279">
        <v>2.2200000000000002</v>
      </c>
      <c r="S22" s="310"/>
      <c r="T22" s="310"/>
      <c r="U22" s="4"/>
      <c r="V22" s="4">
        <f t="shared" si="3"/>
        <v>0</v>
      </c>
      <c r="W22" s="279">
        <v>0.56000000000000005</v>
      </c>
      <c r="X22" s="310"/>
      <c r="Y22" s="310"/>
      <c r="Z22" s="4"/>
      <c r="AA22" s="4">
        <f t="shared" si="4"/>
        <v>0</v>
      </c>
      <c r="AB22" s="279">
        <v>0.37</v>
      </c>
      <c r="AC22" s="310"/>
      <c r="AD22" s="310"/>
      <c r="AE22" s="4"/>
      <c r="AF22" s="4">
        <f t="shared" si="5"/>
        <v>0</v>
      </c>
      <c r="AG22" s="279">
        <v>0.45</v>
      </c>
      <c r="AH22" s="310"/>
      <c r="AI22" s="310"/>
      <c r="AJ22" s="4"/>
      <c r="AK22" s="4">
        <f t="shared" si="6"/>
        <v>0</v>
      </c>
      <c r="AL22" s="279">
        <v>1.98</v>
      </c>
      <c r="AM22" s="310"/>
      <c r="AN22" s="310"/>
      <c r="AO22" s="4"/>
      <c r="AP22" s="4">
        <f t="shared" si="7"/>
        <v>0</v>
      </c>
    </row>
    <row r="23" spans="1:42" ht="15.75" x14ac:dyDescent="0.25">
      <c r="A23" s="277"/>
      <c r="B23" s="278" t="s">
        <v>517</v>
      </c>
      <c r="C23" s="279">
        <v>10.25</v>
      </c>
      <c r="D23" s="310"/>
      <c r="E23" s="310"/>
      <c r="F23" s="4"/>
      <c r="G23" s="4">
        <f t="shared" si="0"/>
        <v>0</v>
      </c>
      <c r="H23" s="279">
        <v>5.76</v>
      </c>
      <c r="I23" s="310"/>
      <c r="J23" s="310"/>
      <c r="K23" s="4"/>
      <c r="L23" s="4">
        <f t="shared" si="1"/>
        <v>0</v>
      </c>
      <c r="M23" s="279">
        <v>2.92</v>
      </c>
      <c r="N23" s="310"/>
      <c r="O23" s="310"/>
      <c r="P23" s="4"/>
      <c r="Q23" s="4">
        <f t="shared" si="2"/>
        <v>0</v>
      </c>
      <c r="R23" s="279">
        <v>10.130000000000001</v>
      </c>
      <c r="S23" s="310"/>
      <c r="T23" s="310"/>
      <c r="U23" s="4"/>
      <c r="V23" s="4">
        <f t="shared" si="3"/>
        <v>0</v>
      </c>
      <c r="W23" s="279">
        <v>2.5499999999999998</v>
      </c>
      <c r="X23" s="310"/>
      <c r="Y23" s="310"/>
      <c r="Z23" s="4"/>
      <c r="AA23" s="4">
        <f t="shared" si="4"/>
        <v>0</v>
      </c>
      <c r="AB23" s="279">
        <v>1.69</v>
      </c>
      <c r="AC23" s="310"/>
      <c r="AD23" s="310"/>
      <c r="AE23" s="4"/>
      <c r="AF23" s="4">
        <f t="shared" si="5"/>
        <v>0</v>
      </c>
      <c r="AG23" s="279">
        <v>2.0299999999999998</v>
      </c>
      <c r="AH23" s="310"/>
      <c r="AI23" s="310"/>
      <c r="AJ23" s="4"/>
      <c r="AK23" s="4">
        <f t="shared" si="6"/>
        <v>0</v>
      </c>
      <c r="AL23" s="279">
        <v>9.0500000000000007</v>
      </c>
      <c r="AM23" s="310"/>
      <c r="AN23" s="310"/>
      <c r="AO23" s="4"/>
      <c r="AP23" s="4">
        <f t="shared" si="7"/>
        <v>0</v>
      </c>
    </row>
    <row r="24" spans="1:42" ht="31.5" x14ac:dyDescent="0.25">
      <c r="A24" s="277"/>
      <c r="B24" s="278" t="s">
        <v>519</v>
      </c>
      <c r="C24" s="279">
        <v>1.66</v>
      </c>
      <c r="D24" s="310"/>
      <c r="E24" s="310"/>
      <c r="F24" s="4"/>
      <c r="G24" s="4">
        <f t="shared" si="0"/>
        <v>0</v>
      </c>
      <c r="H24" s="279">
        <v>0.93</v>
      </c>
      <c r="I24" s="310"/>
      <c r="J24" s="310"/>
      <c r="K24" s="4"/>
      <c r="L24" s="4">
        <f t="shared" si="1"/>
        <v>0</v>
      </c>
      <c r="M24" s="279">
        <v>0.47</v>
      </c>
      <c r="N24" s="310"/>
      <c r="O24" s="310"/>
      <c r="P24" s="4"/>
      <c r="Q24" s="4">
        <f t="shared" si="2"/>
        <v>0</v>
      </c>
      <c r="R24" s="279">
        <v>1.64</v>
      </c>
      <c r="S24" s="310"/>
      <c r="T24" s="310"/>
      <c r="U24" s="4"/>
      <c r="V24" s="4">
        <f t="shared" si="3"/>
        <v>0</v>
      </c>
      <c r="W24" s="279">
        <v>0.41</v>
      </c>
      <c r="X24" s="310"/>
      <c r="Y24" s="310"/>
      <c r="Z24" s="4"/>
      <c r="AA24" s="4">
        <f t="shared" si="4"/>
        <v>0</v>
      </c>
      <c r="AB24" s="279">
        <v>0.27</v>
      </c>
      <c r="AC24" s="310"/>
      <c r="AD24" s="310"/>
      <c r="AE24" s="4"/>
      <c r="AF24" s="4">
        <f t="shared" si="5"/>
        <v>0</v>
      </c>
      <c r="AG24" s="279">
        <v>0.33</v>
      </c>
      <c r="AH24" s="310"/>
      <c r="AI24" s="310"/>
      <c r="AJ24" s="4"/>
      <c r="AK24" s="4">
        <f t="shared" si="6"/>
        <v>0</v>
      </c>
      <c r="AL24" s="279">
        <v>1.47</v>
      </c>
      <c r="AM24" s="310"/>
      <c r="AN24" s="310"/>
      <c r="AO24" s="4"/>
      <c r="AP24" s="4">
        <f t="shared" si="7"/>
        <v>0</v>
      </c>
    </row>
    <row r="25" spans="1:42" ht="63" x14ac:dyDescent="0.25">
      <c r="A25" s="277"/>
      <c r="B25" s="278" t="s">
        <v>518</v>
      </c>
      <c r="C25" s="279">
        <v>14.24</v>
      </c>
      <c r="D25" s="310"/>
      <c r="E25" s="310"/>
      <c r="F25" s="4"/>
      <c r="G25" s="4">
        <f t="shared" si="0"/>
        <v>0</v>
      </c>
      <c r="H25" s="279">
        <v>8</v>
      </c>
      <c r="I25" s="310"/>
      <c r="J25" s="310"/>
      <c r="K25" s="4"/>
      <c r="L25" s="4">
        <f t="shared" si="1"/>
        <v>0</v>
      </c>
      <c r="M25" s="279">
        <v>4.05</v>
      </c>
      <c r="N25" s="310"/>
      <c r="O25" s="310"/>
      <c r="P25" s="4"/>
      <c r="Q25" s="4">
        <f t="shared" si="2"/>
        <v>0</v>
      </c>
      <c r="R25" s="279">
        <v>14.06</v>
      </c>
      <c r="S25" s="310"/>
      <c r="T25" s="310"/>
      <c r="U25" s="4"/>
      <c r="V25" s="4">
        <f t="shared" si="3"/>
        <v>0</v>
      </c>
      <c r="W25" s="279">
        <v>3.54</v>
      </c>
      <c r="X25" s="310"/>
      <c r="Y25" s="310"/>
      <c r="Z25" s="4"/>
      <c r="AA25" s="4">
        <f t="shared" si="4"/>
        <v>0</v>
      </c>
      <c r="AB25" s="279">
        <v>2.34</v>
      </c>
      <c r="AC25" s="310"/>
      <c r="AD25" s="310"/>
      <c r="AE25" s="4"/>
      <c r="AF25" s="4">
        <f t="shared" si="5"/>
        <v>0</v>
      </c>
      <c r="AG25" s="279">
        <v>2.82</v>
      </c>
      <c r="AH25" s="310"/>
      <c r="AI25" s="310"/>
      <c r="AJ25" s="4"/>
      <c r="AK25" s="4">
        <f t="shared" si="6"/>
        <v>0</v>
      </c>
      <c r="AL25" s="279">
        <v>12.57</v>
      </c>
      <c r="AM25" s="310"/>
      <c r="AN25" s="310"/>
      <c r="AO25" s="4"/>
      <c r="AP25" s="4">
        <f t="shared" si="7"/>
        <v>0</v>
      </c>
    </row>
    <row r="26" spans="1:42" ht="15.75" x14ac:dyDescent="0.25">
      <c r="A26" s="4">
        <v>4</v>
      </c>
      <c r="B26" s="280" t="s">
        <v>285</v>
      </c>
      <c r="C26" s="279"/>
      <c r="D26" s="310"/>
      <c r="E26" s="310"/>
      <c r="F26" s="4"/>
      <c r="G26" s="4">
        <f t="shared" si="0"/>
        <v>0</v>
      </c>
      <c r="H26" s="279"/>
      <c r="I26" s="310"/>
      <c r="J26" s="310"/>
      <c r="K26" s="4"/>
      <c r="L26" s="4">
        <f t="shared" si="1"/>
        <v>0</v>
      </c>
      <c r="M26" s="279"/>
      <c r="N26" s="310"/>
      <c r="O26" s="310"/>
      <c r="P26" s="4"/>
      <c r="Q26" s="4">
        <f t="shared" si="2"/>
        <v>0</v>
      </c>
      <c r="R26" s="279"/>
      <c r="S26" s="310"/>
      <c r="T26" s="310"/>
      <c r="U26" s="4"/>
      <c r="V26" s="4">
        <f t="shared" si="3"/>
        <v>0</v>
      </c>
      <c r="W26" s="279"/>
      <c r="X26" s="310"/>
      <c r="Y26" s="310"/>
      <c r="Z26" s="4"/>
      <c r="AA26" s="4">
        <f t="shared" si="4"/>
        <v>0</v>
      </c>
      <c r="AB26" s="279"/>
      <c r="AC26" s="310"/>
      <c r="AD26" s="310"/>
      <c r="AE26" s="4"/>
      <c r="AF26" s="4">
        <f t="shared" si="5"/>
        <v>0</v>
      </c>
      <c r="AG26" s="279"/>
      <c r="AH26" s="310"/>
      <c r="AI26" s="310"/>
      <c r="AJ26" s="4"/>
      <c r="AK26" s="4">
        <f t="shared" si="6"/>
        <v>0</v>
      </c>
      <c r="AL26" s="279"/>
      <c r="AM26" s="310"/>
      <c r="AN26" s="310"/>
      <c r="AO26" s="4"/>
      <c r="AP26" s="4">
        <f t="shared" si="7"/>
        <v>0</v>
      </c>
    </row>
    <row r="27" spans="1:42" ht="15.75" x14ac:dyDescent="0.25">
      <c r="A27" s="277"/>
      <c r="B27" s="278" t="s">
        <v>364</v>
      </c>
      <c r="C27" s="279">
        <v>1.8</v>
      </c>
      <c r="D27" s="309">
        <f>MAX(C27:C41)</f>
        <v>6.5</v>
      </c>
      <c r="E27" s="310">
        <f>MIN(C27:C41)</f>
        <v>1.32</v>
      </c>
      <c r="F27" s="4"/>
      <c r="G27" s="4">
        <f t="shared" si="0"/>
        <v>0</v>
      </c>
      <c r="H27" s="279">
        <v>0.7</v>
      </c>
      <c r="I27" s="309">
        <f>MAX(H27:H41)</f>
        <v>4.13</v>
      </c>
      <c r="J27" s="310">
        <f>MIN(H27:H41)</f>
        <v>0.56000000000000005</v>
      </c>
      <c r="K27" s="4"/>
      <c r="L27" s="4">
        <f t="shared" si="1"/>
        <v>0</v>
      </c>
      <c r="M27" s="279">
        <v>0.4</v>
      </c>
      <c r="N27" s="309">
        <f>MAX(M27:M41)</f>
        <v>4.59</v>
      </c>
      <c r="O27" s="310">
        <f>MIN(M27:M41)</f>
        <v>0.3</v>
      </c>
      <c r="P27" s="4"/>
      <c r="Q27" s="4">
        <f t="shared" si="2"/>
        <v>0</v>
      </c>
      <c r="R27" s="279">
        <v>0.39</v>
      </c>
      <c r="S27" s="309">
        <f>MAX(R27:R41)</f>
        <v>5.63</v>
      </c>
      <c r="T27" s="310">
        <f>MIN(R27:R41)</f>
        <v>0.27</v>
      </c>
      <c r="U27" s="4"/>
      <c r="V27" s="4">
        <f t="shared" si="3"/>
        <v>0</v>
      </c>
      <c r="W27" s="279">
        <v>0.24</v>
      </c>
      <c r="X27" s="309">
        <f>MAX(W27:W41)</f>
        <v>4.38</v>
      </c>
      <c r="Y27" s="310">
        <f>MIN(W27:W41)</f>
        <v>0.17</v>
      </c>
      <c r="Z27" s="4"/>
      <c r="AA27" s="4">
        <f t="shared" si="4"/>
        <v>0</v>
      </c>
      <c r="AB27" s="279">
        <v>0.23</v>
      </c>
      <c r="AC27" s="309">
        <f>MAX(AB27:AB41)</f>
        <v>24.05</v>
      </c>
      <c r="AD27" s="310">
        <f>MIN(AB27:AB41)</f>
        <v>0.14000000000000001</v>
      </c>
      <c r="AE27" s="4"/>
      <c r="AF27" s="4">
        <f t="shared" si="5"/>
        <v>0</v>
      </c>
      <c r="AG27" s="279">
        <v>0.16</v>
      </c>
      <c r="AH27" s="309">
        <f>MAX(AG27:AG41)</f>
        <v>9.57</v>
      </c>
      <c r="AI27" s="310">
        <f>MIN(AG27:AG41)</f>
        <v>0.14000000000000001</v>
      </c>
      <c r="AJ27" s="4"/>
      <c r="AK27" s="4">
        <f t="shared" si="6"/>
        <v>0</v>
      </c>
      <c r="AL27" s="279">
        <v>0.08</v>
      </c>
      <c r="AM27" s="309">
        <f>MAX(AL27:AL41)</f>
        <v>8.57</v>
      </c>
      <c r="AN27" s="310">
        <f>MIN(AL27:AL41)</f>
        <v>0.06</v>
      </c>
      <c r="AO27" s="4"/>
      <c r="AP27" s="4">
        <f t="shared" si="7"/>
        <v>0</v>
      </c>
    </row>
    <row r="28" spans="1:42" ht="15.75" x14ac:dyDescent="0.25">
      <c r="A28" s="277"/>
      <c r="B28" s="281" t="s">
        <v>365</v>
      </c>
      <c r="C28" s="279">
        <v>1.81</v>
      </c>
      <c r="D28" s="310"/>
      <c r="E28" s="310"/>
      <c r="F28" s="4"/>
      <c r="G28" s="4">
        <f t="shared" si="0"/>
        <v>0</v>
      </c>
      <c r="H28" s="279">
        <v>0.7</v>
      </c>
      <c r="I28" s="310"/>
      <c r="J28" s="310"/>
      <c r="K28" s="4"/>
      <c r="L28" s="4">
        <f t="shared" si="1"/>
        <v>0</v>
      </c>
      <c r="M28" s="279">
        <v>0.4</v>
      </c>
      <c r="N28" s="310"/>
      <c r="O28" s="310"/>
      <c r="P28" s="4"/>
      <c r="Q28" s="4">
        <f t="shared" si="2"/>
        <v>0</v>
      </c>
      <c r="R28" s="279">
        <v>0.39</v>
      </c>
      <c r="S28" s="310"/>
      <c r="T28" s="310"/>
      <c r="U28" s="4"/>
      <c r="V28" s="4">
        <f t="shared" si="3"/>
        <v>0</v>
      </c>
      <c r="W28" s="279">
        <v>0.24</v>
      </c>
      <c r="X28" s="310"/>
      <c r="Y28" s="310"/>
      <c r="Z28" s="4"/>
      <c r="AA28" s="4">
        <f t="shared" si="4"/>
        <v>0</v>
      </c>
      <c r="AB28" s="279">
        <v>0.23</v>
      </c>
      <c r="AC28" s="310"/>
      <c r="AD28" s="310"/>
      <c r="AE28" s="4"/>
      <c r="AF28" s="4">
        <f t="shared" si="5"/>
        <v>0</v>
      </c>
      <c r="AG28" s="279">
        <v>0.16</v>
      </c>
      <c r="AH28" s="310"/>
      <c r="AI28" s="310"/>
      <c r="AJ28" s="4"/>
      <c r="AK28" s="4">
        <f t="shared" si="6"/>
        <v>0</v>
      </c>
      <c r="AL28" s="279">
        <v>0.08</v>
      </c>
      <c r="AM28" s="310"/>
      <c r="AN28" s="310"/>
      <c r="AO28" s="4"/>
      <c r="AP28" s="4">
        <f t="shared" si="7"/>
        <v>0</v>
      </c>
    </row>
    <row r="29" spans="1:42" ht="15.75" x14ac:dyDescent="0.25">
      <c r="A29" s="277"/>
      <c r="B29" s="281" t="s">
        <v>366</v>
      </c>
      <c r="C29" s="279">
        <v>2.04</v>
      </c>
      <c r="D29" s="310"/>
      <c r="E29" s="310"/>
      <c r="F29" s="4"/>
      <c r="G29" s="4">
        <f t="shared" si="0"/>
        <v>0</v>
      </c>
      <c r="H29" s="279">
        <v>0.76</v>
      </c>
      <c r="I29" s="310"/>
      <c r="J29" s="310"/>
      <c r="K29" s="4"/>
      <c r="L29" s="4">
        <f t="shared" si="1"/>
        <v>0</v>
      </c>
      <c r="M29" s="279">
        <v>0.45</v>
      </c>
      <c r="N29" s="310"/>
      <c r="O29" s="310"/>
      <c r="P29" s="4"/>
      <c r="Q29" s="4">
        <f t="shared" si="2"/>
        <v>0</v>
      </c>
      <c r="R29" s="279">
        <v>0.45</v>
      </c>
      <c r="S29" s="310"/>
      <c r="T29" s="310"/>
      <c r="U29" s="4"/>
      <c r="V29" s="4">
        <f t="shared" si="3"/>
        <v>0</v>
      </c>
      <c r="W29" s="279">
        <v>0.27</v>
      </c>
      <c r="X29" s="310"/>
      <c r="Y29" s="310"/>
      <c r="Z29" s="4"/>
      <c r="AA29" s="4">
        <f t="shared" si="4"/>
        <v>0</v>
      </c>
      <c r="AB29" s="279">
        <v>0.27</v>
      </c>
      <c r="AC29" s="310"/>
      <c r="AD29" s="310"/>
      <c r="AE29" s="4"/>
      <c r="AF29" s="4">
        <f t="shared" si="5"/>
        <v>0</v>
      </c>
      <c r="AG29" s="279">
        <v>0.17</v>
      </c>
      <c r="AH29" s="310"/>
      <c r="AI29" s="310"/>
      <c r="AJ29" s="4"/>
      <c r="AK29" s="4">
        <f t="shared" si="6"/>
        <v>0</v>
      </c>
      <c r="AL29" s="279">
        <v>0.1</v>
      </c>
      <c r="AM29" s="310"/>
      <c r="AN29" s="310"/>
      <c r="AO29" s="4"/>
      <c r="AP29" s="4">
        <f t="shared" si="7"/>
        <v>0</v>
      </c>
    </row>
    <row r="30" spans="1:42" ht="15.75" x14ac:dyDescent="0.25">
      <c r="A30" s="277"/>
      <c r="B30" s="281" t="s">
        <v>375</v>
      </c>
      <c r="C30" s="279">
        <v>2.64</v>
      </c>
      <c r="D30" s="310"/>
      <c r="E30" s="310"/>
      <c r="F30" s="4"/>
      <c r="G30" s="4">
        <f t="shared" si="0"/>
        <v>0</v>
      </c>
      <c r="H30" s="279">
        <v>0.67</v>
      </c>
      <c r="I30" s="310"/>
      <c r="J30" s="310"/>
      <c r="K30" s="4"/>
      <c r="L30" s="4">
        <f t="shared" si="1"/>
        <v>0</v>
      </c>
      <c r="M30" s="279">
        <v>0.38</v>
      </c>
      <c r="N30" s="310"/>
      <c r="O30" s="310"/>
      <c r="P30" s="4"/>
      <c r="Q30" s="4">
        <f t="shared" si="2"/>
        <v>0</v>
      </c>
      <c r="R30" s="279">
        <v>0.37</v>
      </c>
      <c r="S30" s="310"/>
      <c r="T30" s="310"/>
      <c r="U30" s="4"/>
      <c r="V30" s="4">
        <f t="shared" si="3"/>
        <v>0</v>
      </c>
      <c r="W30" s="279">
        <v>0.23</v>
      </c>
      <c r="X30" s="310"/>
      <c r="Y30" s="310"/>
      <c r="Z30" s="4"/>
      <c r="AA30" s="4">
        <f t="shared" si="4"/>
        <v>0</v>
      </c>
      <c r="AB30" s="279">
        <v>0.21</v>
      </c>
      <c r="AC30" s="310"/>
      <c r="AD30" s="310"/>
      <c r="AE30" s="4"/>
      <c r="AF30" s="4">
        <f t="shared" si="5"/>
        <v>0</v>
      </c>
      <c r="AG30" s="279">
        <v>0.16</v>
      </c>
      <c r="AH30" s="310"/>
      <c r="AI30" s="310"/>
      <c r="AJ30" s="4"/>
      <c r="AK30" s="4">
        <f t="shared" si="6"/>
        <v>0</v>
      </c>
      <c r="AL30" s="279">
        <v>0.08</v>
      </c>
      <c r="AM30" s="310"/>
      <c r="AN30" s="310"/>
      <c r="AO30" s="4"/>
      <c r="AP30" s="4">
        <f t="shared" si="7"/>
        <v>0</v>
      </c>
    </row>
    <row r="31" spans="1:42" ht="15.75" x14ac:dyDescent="0.25">
      <c r="A31" s="277"/>
      <c r="B31" s="281" t="s">
        <v>376</v>
      </c>
      <c r="C31" s="279">
        <v>1.72</v>
      </c>
      <c r="D31" s="310"/>
      <c r="E31" s="310"/>
      <c r="F31" s="4"/>
      <c r="G31" s="4">
        <f t="shared" si="0"/>
        <v>0</v>
      </c>
      <c r="H31" s="279">
        <v>0.67</v>
      </c>
      <c r="I31" s="310"/>
      <c r="J31" s="310"/>
      <c r="K31" s="4"/>
      <c r="L31" s="4">
        <f t="shared" si="1"/>
        <v>0</v>
      </c>
      <c r="M31" s="279">
        <v>0.38</v>
      </c>
      <c r="N31" s="310"/>
      <c r="O31" s="310"/>
      <c r="P31" s="4"/>
      <c r="Q31" s="4">
        <f t="shared" si="2"/>
        <v>0</v>
      </c>
      <c r="R31" s="279">
        <v>0.37</v>
      </c>
      <c r="S31" s="310"/>
      <c r="T31" s="310"/>
      <c r="U31" s="4"/>
      <c r="V31" s="4">
        <f t="shared" si="3"/>
        <v>0</v>
      </c>
      <c r="W31" s="279">
        <v>0.23</v>
      </c>
      <c r="X31" s="310"/>
      <c r="Y31" s="310"/>
      <c r="Z31" s="4"/>
      <c r="AA31" s="4">
        <f t="shared" si="4"/>
        <v>0</v>
      </c>
      <c r="AB31" s="279">
        <v>0.21</v>
      </c>
      <c r="AC31" s="310"/>
      <c r="AD31" s="310"/>
      <c r="AE31" s="4"/>
      <c r="AF31" s="4">
        <f t="shared" si="5"/>
        <v>0</v>
      </c>
      <c r="AG31" s="279">
        <v>0.16</v>
      </c>
      <c r="AH31" s="310"/>
      <c r="AI31" s="310"/>
      <c r="AJ31" s="4"/>
      <c r="AK31" s="4">
        <f t="shared" si="6"/>
        <v>0</v>
      </c>
      <c r="AL31" s="279">
        <v>0.08</v>
      </c>
      <c r="AM31" s="310"/>
      <c r="AN31" s="310"/>
      <c r="AO31" s="4"/>
      <c r="AP31" s="4">
        <f t="shared" si="7"/>
        <v>0</v>
      </c>
    </row>
    <row r="32" spans="1:42" ht="15.75" x14ac:dyDescent="0.25">
      <c r="A32" s="277"/>
      <c r="B32" s="281" t="s">
        <v>367</v>
      </c>
      <c r="C32" s="279">
        <v>2.76</v>
      </c>
      <c r="D32" s="310"/>
      <c r="E32" s="310"/>
      <c r="F32" s="4"/>
      <c r="G32" s="4">
        <f t="shared" si="0"/>
        <v>0</v>
      </c>
      <c r="H32" s="279">
        <v>0.67</v>
      </c>
      <c r="I32" s="310"/>
      <c r="J32" s="310"/>
      <c r="K32" s="4"/>
      <c r="L32" s="4">
        <f t="shared" si="1"/>
        <v>0</v>
      </c>
      <c r="M32" s="279">
        <v>0.38</v>
      </c>
      <c r="N32" s="310"/>
      <c r="O32" s="310"/>
      <c r="P32" s="4"/>
      <c r="Q32" s="4">
        <f t="shared" si="2"/>
        <v>0</v>
      </c>
      <c r="R32" s="279">
        <v>0.37</v>
      </c>
      <c r="S32" s="310"/>
      <c r="T32" s="310"/>
      <c r="U32" s="4"/>
      <c r="V32" s="4">
        <f t="shared" si="3"/>
        <v>0</v>
      </c>
      <c r="W32" s="279">
        <v>0.23</v>
      </c>
      <c r="X32" s="310"/>
      <c r="Y32" s="310"/>
      <c r="Z32" s="4"/>
      <c r="AA32" s="4">
        <f t="shared" si="4"/>
        <v>0</v>
      </c>
      <c r="AB32" s="279">
        <v>0.21</v>
      </c>
      <c r="AC32" s="310"/>
      <c r="AD32" s="310"/>
      <c r="AE32" s="4"/>
      <c r="AF32" s="4">
        <f t="shared" si="5"/>
        <v>0</v>
      </c>
      <c r="AG32" s="279">
        <v>0.16</v>
      </c>
      <c r="AH32" s="310"/>
      <c r="AI32" s="310"/>
      <c r="AJ32" s="4"/>
      <c r="AK32" s="4">
        <f t="shared" si="6"/>
        <v>0</v>
      </c>
      <c r="AL32" s="279">
        <v>0.08</v>
      </c>
      <c r="AM32" s="310"/>
      <c r="AN32" s="310"/>
      <c r="AO32" s="4"/>
      <c r="AP32" s="4">
        <f t="shared" si="7"/>
        <v>0</v>
      </c>
    </row>
    <row r="33" spans="1:42" ht="15.75" x14ac:dyDescent="0.25">
      <c r="A33" s="277"/>
      <c r="B33" s="281" t="s">
        <v>368</v>
      </c>
      <c r="C33" s="279">
        <v>1.32</v>
      </c>
      <c r="D33" s="310"/>
      <c r="E33" s="310"/>
      <c r="F33" s="4"/>
      <c r="G33" s="4">
        <f t="shared" si="0"/>
        <v>0</v>
      </c>
      <c r="H33" s="279">
        <v>0.56000000000000005</v>
      </c>
      <c r="I33" s="310"/>
      <c r="J33" s="310"/>
      <c r="K33" s="4"/>
      <c r="L33" s="4">
        <f t="shared" si="1"/>
        <v>0</v>
      </c>
      <c r="M33" s="279">
        <v>0.3</v>
      </c>
      <c r="N33" s="310"/>
      <c r="O33" s="310"/>
      <c r="P33" s="4"/>
      <c r="Q33" s="4">
        <f t="shared" si="2"/>
        <v>0</v>
      </c>
      <c r="R33" s="279">
        <v>0.27</v>
      </c>
      <c r="S33" s="310"/>
      <c r="T33" s="310"/>
      <c r="U33" s="4"/>
      <c r="V33" s="4">
        <f t="shared" si="3"/>
        <v>0</v>
      </c>
      <c r="W33" s="279">
        <v>0.18</v>
      </c>
      <c r="X33" s="310"/>
      <c r="Y33" s="310"/>
      <c r="Z33" s="4"/>
      <c r="AA33" s="4">
        <f t="shared" si="4"/>
        <v>0</v>
      </c>
      <c r="AB33" s="279">
        <v>0.14000000000000001</v>
      </c>
      <c r="AC33" s="310"/>
      <c r="AD33" s="310"/>
      <c r="AE33" s="4"/>
      <c r="AF33" s="4">
        <f t="shared" si="5"/>
        <v>0</v>
      </c>
      <c r="AG33" s="279">
        <v>0.14000000000000001</v>
      </c>
      <c r="AH33" s="310"/>
      <c r="AI33" s="310"/>
      <c r="AJ33" s="4"/>
      <c r="AK33" s="4">
        <f t="shared" si="6"/>
        <v>0</v>
      </c>
      <c r="AL33" s="279">
        <v>0.06</v>
      </c>
      <c r="AM33" s="310"/>
      <c r="AN33" s="310"/>
      <c r="AO33" s="4"/>
      <c r="AP33" s="4">
        <f t="shared" si="7"/>
        <v>0</v>
      </c>
    </row>
    <row r="34" spans="1:42" ht="31.5" x14ac:dyDescent="0.25">
      <c r="A34" s="277"/>
      <c r="B34" s="281" t="s">
        <v>369</v>
      </c>
      <c r="C34" s="279">
        <v>4.97</v>
      </c>
      <c r="D34" s="310"/>
      <c r="E34" s="310"/>
      <c r="F34" s="4"/>
      <c r="G34" s="4">
        <f t="shared" si="0"/>
        <v>0</v>
      </c>
      <c r="H34" s="279">
        <v>2.93</v>
      </c>
      <c r="I34" s="310"/>
      <c r="J34" s="310"/>
      <c r="K34" s="4"/>
      <c r="L34" s="4">
        <f t="shared" si="1"/>
        <v>0</v>
      </c>
      <c r="M34" s="279">
        <v>1.04</v>
      </c>
      <c r="N34" s="310"/>
      <c r="O34" s="310"/>
      <c r="P34" s="4"/>
      <c r="Q34" s="4">
        <f t="shared" si="2"/>
        <v>0</v>
      </c>
      <c r="R34" s="279">
        <v>0.94</v>
      </c>
      <c r="S34" s="310"/>
      <c r="T34" s="310"/>
      <c r="U34" s="4"/>
      <c r="V34" s="4">
        <f t="shared" si="3"/>
        <v>0</v>
      </c>
      <c r="W34" s="279">
        <v>0.77</v>
      </c>
      <c r="X34" s="310"/>
      <c r="Y34" s="310"/>
      <c r="Z34" s="4"/>
      <c r="AA34" s="4">
        <f t="shared" si="4"/>
        <v>0</v>
      </c>
      <c r="AB34" s="279">
        <v>0.77</v>
      </c>
      <c r="AC34" s="310"/>
      <c r="AD34" s="310"/>
      <c r="AE34" s="4"/>
      <c r="AF34" s="4">
        <f t="shared" si="5"/>
        <v>0</v>
      </c>
      <c r="AG34" s="279">
        <v>0.77</v>
      </c>
      <c r="AH34" s="310"/>
      <c r="AI34" s="310"/>
      <c r="AJ34" s="4"/>
      <c r="AK34" s="4">
        <f t="shared" si="6"/>
        <v>0</v>
      </c>
      <c r="AL34" s="279">
        <v>0.77</v>
      </c>
      <c r="AM34" s="310"/>
      <c r="AN34" s="310"/>
      <c r="AO34" s="4"/>
      <c r="AP34" s="4">
        <f t="shared" si="7"/>
        <v>0</v>
      </c>
    </row>
    <row r="35" spans="1:42" ht="47.25" x14ac:dyDescent="0.25">
      <c r="A35" s="277"/>
      <c r="B35" s="281" t="s">
        <v>370</v>
      </c>
      <c r="C35" s="279">
        <v>4.72</v>
      </c>
      <c r="D35" s="310"/>
      <c r="E35" s="310"/>
      <c r="F35" s="4"/>
      <c r="G35" s="4">
        <f t="shared" si="0"/>
        <v>0</v>
      </c>
      <c r="H35" s="279">
        <v>2.86</v>
      </c>
      <c r="I35" s="310"/>
      <c r="J35" s="310"/>
      <c r="K35" s="4"/>
      <c r="L35" s="4">
        <f t="shared" si="1"/>
        <v>0</v>
      </c>
      <c r="M35" s="279">
        <v>1.02</v>
      </c>
      <c r="N35" s="310"/>
      <c r="O35" s="310"/>
      <c r="P35" s="4"/>
      <c r="Q35" s="4">
        <f t="shared" si="2"/>
        <v>0</v>
      </c>
      <c r="R35" s="279">
        <v>0.92</v>
      </c>
      <c r="S35" s="310"/>
      <c r="T35" s="310"/>
      <c r="U35" s="4"/>
      <c r="V35" s="4">
        <f t="shared" si="3"/>
        <v>0</v>
      </c>
      <c r="W35" s="279">
        <v>0.75</v>
      </c>
      <c r="X35" s="310"/>
      <c r="Y35" s="310"/>
      <c r="Z35" s="4"/>
      <c r="AA35" s="4">
        <f t="shared" si="4"/>
        <v>0</v>
      </c>
      <c r="AB35" s="279">
        <v>0.75</v>
      </c>
      <c r="AC35" s="310"/>
      <c r="AD35" s="310"/>
      <c r="AE35" s="4"/>
      <c r="AF35" s="4">
        <f t="shared" si="5"/>
        <v>0</v>
      </c>
      <c r="AG35" s="279">
        <v>0.75</v>
      </c>
      <c r="AH35" s="310"/>
      <c r="AI35" s="310"/>
      <c r="AJ35" s="4"/>
      <c r="AK35" s="4">
        <f t="shared" si="6"/>
        <v>0</v>
      </c>
      <c r="AL35" s="279">
        <v>0.75</v>
      </c>
      <c r="AM35" s="310"/>
      <c r="AN35" s="310"/>
      <c r="AO35" s="4"/>
      <c r="AP35" s="4">
        <f t="shared" si="7"/>
        <v>0</v>
      </c>
    </row>
    <row r="36" spans="1:42" ht="31.5" x14ac:dyDescent="0.25">
      <c r="A36" s="277"/>
      <c r="B36" s="281" t="s">
        <v>493</v>
      </c>
      <c r="C36" s="279">
        <v>6.5</v>
      </c>
      <c r="D36" s="310"/>
      <c r="E36" s="310"/>
      <c r="F36" s="4"/>
      <c r="G36" s="4">
        <f t="shared" si="0"/>
        <v>0</v>
      </c>
      <c r="H36" s="279">
        <v>2.39</v>
      </c>
      <c r="I36" s="310"/>
      <c r="J36" s="310"/>
      <c r="K36" s="4"/>
      <c r="L36" s="4">
        <f t="shared" si="1"/>
        <v>0</v>
      </c>
      <c r="M36" s="279">
        <v>2.72</v>
      </c>
      <c r="N36" s="310"/>
      <c r="O36" s="310"/>
      <c r="P36" s="4"/>
      <c r="Q36" s="4">
        <f t="shared" si="2"/>
        <v>0</v>
      </c>
      <c r="R36" s="279">
        <v>1.48</v>
      </c>
      <c r="S36" s="310"/>
      <c r="T36" s="310"/>
      <c r="U36" s="4"/>
      <c r="V36" s="4">
        <f t="shared" si="3"/>
        <v>0</v>
      </c>
      <c r="W36" s="279">
        <v>0.25</v>
      </c>
      <c r="X36" s="310"/>
      <c r="Y36" s="310"/>
      <c r="Z36" s="4"/>
      <c r="AA36" s="4">
        <f t="shared" si="4"/>
        <v>0</v>
      </c>
      <c r="AB36" s="279">
        <v>0.43</v>
      </c>
      <c r="AC36" s="310"/>
      <c r="AD36" s="310"/>
      <c r="AE36" s="4"/>
      <c r="AF36" s="4">
        <f t="shared" si="5"/>
        <v>0</v>
      </c>
      <c r="AG36" s="279">
        <v>0.65</v>
      </c>
      <c r="AH36" s="310"/>
      <c r="AI36" s="310"/>
      <c r="AJ36" s="4"/>
      <c r="AK36" s="4">
        <f t="shared" si="6"/>
        <v>0</v>
      </c>
      <c r="AL36" s="279">
        <v>0.36</v>
      </c>
      <c r="AM36" s="310"/>
      <c r="AN36" s="310"/>
      <c r="AO36" s="4"/>
      <c r="AP36" s="4">
        <f t="shared" si="7"/>
        <v>0</v>
      </c>
    </row>
    <row r="37" spans="1:42" ht="31.5" x14ac:dyDescent="0.25">
      <c r="A37" s="277"/>
      <c r="B37" s="281" t="s">
        <v>494</v>
      </c>
      <c r="C37" s="279">
        <v>5.52</v>
      </c>
      <c r="D37" s="310"/>
      <c r="E37" s="310"/>
      <c r="F37" s="4"/>
      <c r="G37" s="4">
        <f t="shared" si="0"/>
        <v>0</v>
      </c>
      <c r="H37" s="279">
        <v>2.27</v>
      </c>
      <c r="I37" s="310"/>
      <c r="J37" s="310"/>
      <c r="K37" s="4"/>
      <c r="L37" s="4">
        <f t="shared" si="1"/>
        <v>0</v>
      </c>
      <c r="M37" s="279">
        <v>2.21</v>
      </c>
      <c r="N37" s="310"/>
      <c r="O37" s="310"/>
      <c r="P37" s="4"/>
      <c r="Q37" s="4">
        <f t="shared" si="2"/>
        <v>0</v>
      </c>
      <c r="R37" s="279">
        <v>1.44</v>
      </c>
      <c r="S37" s="310"/>
      <c r="T37" s="310"/>
      <c r="U37" s="4"/>
      <c r="V37" s="4">
        <f t="shared" si="3"/>
        <v>0</v>
      </c>
      <c r="W37" s="279">
        <v>0.17</v>
      </c>
      <c r="X37" s="310"/>
      <c r="Y37" s="310"/>
      <c r="Z37" s="4"/>
      <c r="AA37" s="4">
        <f t="shared" si="4"/>
        <v>0</v>
      </c>
      <c r="AB37" s="279">
        <v>0.27</v>
      </c>
      <c r="AC37" s="310"/>
      <c r="AD37" s="310"/>
      <c r="AE37" s="4"/>
      <c r="AF37" s="4">
        <f t="shared" si="5"/>
        <v>0</v>
      </c>
      <c r="AG37" s="279">
        <v>0.34</v>
      </c>
      <c r="AH37" s="310"/>
      <c r="AI37" s="310"/>
      <c r="AJ37" s="4"/>
      <c r="AK37" s="4">
        <f t="shared" si="6"/>
        <v>0</v>
      </c>
      <c r="AL37" s="279">
        <v>0.36</v>
      </c>
      <c r="AM37" s="310"/>
      <c r="AN37" s="310"/>
      <c r="AO37" s="4"/>
      <c r="AP37" s="4">
        <f t="shared" si="7"/>
        <v>0</v>
      </c>
    </row>
    <row r="38" spans="1:42" ht="47.25" x14ac:dyDescent="0.25">
      <c r="A38" s="277"/>
      <c r="B38" s="281" t="s">
        <v>520</v>
      </c>
      <c r="C38" s="279">
        <v>3.55</v>
      </c>
      <c r="D38" s="310"/>
      <c r="E38" s="310"/>
      <c r="F38" s="4"/>
      <c r="G38" s="4">
        <f t="shared" si="0"/>
        <v>0</v>
      </c>
      <c r="H38" s="279">
        <v>4.13</v>
      </c>
      <c r="I38" s="310"/>
      <c r="J38" s="310"/>
      <c r="K38" s="4"/>
      <c r="L38" s="4">
        <f t="shared" si="1"/>
        <v>0</v>
      </c>
      <c r="M38" s="279">
        <v>4.59</v>
      </c>
      <c r="N38" s="310"/>
      <c r="O38" s="310"/>
      <c r="P38" s="4"/>
      <c r="Q38" s="4">
        <f t="shared" si="2"/>
        <v>0</v>
      </c>
      <c r="R38" s="279">
        <v>5.63</v>
      </c>
      <c r="S38" s="310"/>
      <c r="T38" s="310"/>
      <c r="U38" s="4"/>
      <c r="V38" s="4">
        <f t="shared" si="3"/>
        <v>0</v>
      </c>
      <c r="W38" s="279">
        <v>4.38</v>
      </c>
      <c r="X38" s="310"/>
      <c r="Y38" s="310"/>
      <c r="Z38" s="4"/>
      <c r="AA38" s="4">
        <f t="shared" si="4"/>
        <v>0</v>
      </c>
      <c r="AB38" s="279">
        <v>24.05</v>
      </c>
      <c r="AC38" s="310"/>
      <c r="AD38" s="310"/>
      <c r="AE38" s="4"/>
      <c r="AF38" s="4">
        <f t="shared" si="5"/>
        <v>0</v>
      </c>
      <c r="AG38" s="279">
        <v>9.57</v>
      </c>
      <c r="AH38" s="310"/>
      <c r="AI38" s="310"/>
      <c r="AJ38" s="4"/>
      <c r="AK38" s="4">
        <f t="shared" si="6"/>
        <v>0</v>
      </c>
      <c r="AL38" s="279">
        <v>8.57</v>
      </c>
      <c r="AM38" s="310"/>
      <c r="AN38" s="310"/>
      <c r="AO38" s="4"/>
      <c r="AP38" s="4">
        <f t="shared" si="7"/>
        <v>0</v>
      </c>
    </row>
    <row r="39" spans="1:42" ht="47.25" x14ac:dyDescent="0.25">
      <c r="A39" s="277"/>
      <c r="B39" s="281" t="s">
        <v>521</v>
      </c>
      <c r="C39" s="279">
        <v>2.21</v>
      </c>
      <c r="D39" s="310"/>
      <c r="E39" s="310"/>
      <c r="F39" s="4">
        <v>100</v>
      </c>
      <c r="G39" s="4">
        <f t="shared" si="0"/>
        <v>2.21</v>
      </c>
      <c r="H39" s="279">
        <v>3.24</v>
      </c>
      <c r="I39" s="310"/>
      <c r="J39" s="310"/>
      <c r="K39" s="4"/>
      <c r="L39" s="4">
        <f t="shared" si="1"/>
        <v>0</v>
      </c>
      <c r="M39" s="279">
        <v>3.59</v>
      </c>
      <c r="N39" s="310"/>
      <c r="O39" s="310"/>
      <c r="P39" s="4"/>
      <c r="Q39" s="4">
        <f t="shared" si="2"/>
        <v>0</v>
      </c>
      <c r="R39" s="279">
        <v>4.4000000000000004</v>
      </c>
      <c r="S39" s="310"/>
      <c r="T39" s="310"/>
      <c r="U39" s="4"/>
      <c r="V39" s="4">
        <f t="shared" si="3"/>
        <v>0</v>
      </c>
      <c r="W39" s="279">
        <v>3.43</v>
      </c>
      <c r="X39" s="310"/>
      <c r="Y39" s="310"/>
      <c r="Z39" s="4"/>
      <c r="AA39" s="4">
        <f t="shared" si="4"/>
        <v>0</v>
      </c>
      <c r="AB39" s="279">
        <v>18.829999999999998</v>
      </c>
      <c r="AC39" s="310"/>
      <c r="AD39" s="310"/>
      <c r="AE39" s="4"/>
      <c r="AF39" s="4">
        <f t="shared" si="5"/>
        <v>0</v>
      </c>
      <c r="AG39" s="279">
        <v>7.49</v>
      </c>
      <c r="AH39" s="310"/>
      <c r="AI39" s="310"/>
      <c r="AJ39" s="4"/>
      <c r="AK39" s="4">
        <f t="shared" si="6"/>
        <v>0</v>
      </c>
      <c r="AL39" s="279">
        <v>6.71</v>
      </c>
      <c r="AM39" s="310"/>
      <c r="AN39" s="310"/>
      <c r="AO39" s="4"/>
      <c r="AP39" s="4">
        <f t="shared" si="7"/>
        <v>0</v>
      </c>
    </row>
    <row r="40" spans="1:42" ht="47.25" x14ac:dyDescent="0.25">
      <c r="A40" s="277"/>
      <c r="B40" s="281" t="s">
        <v>522</v>
      </c>
      <c r="C40" s="279">
        <v>4.79</v>
      </c>
      <c r="D40" s="310"/>
      <c r="E40" s="310"/>
      <c r="F40" s="4"/>
      <c r="G40" s="4">
        <f t="shared" si="0"/>
        <v>0</v>
      </c>
      <c r="H40" s="279">
        <v>2.69</v>
      </c>
      <c r="I40" s="310"/>
      <c r="J40" s="310"/>
      <c r="K40" s="4"/>
      <c r="L40" s="4">
        <f t="shared" si="1"/>
        <v>0</v>
      </c>
      <c r="M40" s="279">
        <v>2.98</v>
      </c>
      <c r="N40" s="310"/>
      <c r="O40" s="310"/>
      <c r="P40" s="4"/>
      <c r="Q40" s="4">
        <f t="shared" si="2"/>
        <v>0</v>
      </c>
      <c r="R40" s="279">
        <v>3.66</v>
      </c>
      <c r="S40" s="310"/>
      <c r="T40" s="310"/>
      <c r="U40" s="4"/>
      <c r="V40" s="4">
        <f t="shared" si="3"/>
        <v>0</v>
      </c>
      <c r="W40" s="279">
        <v>2.85</v>
      </c>
      <c r="X40" s="310"/>
      <c r="Y40" s="310"/>
      <c r="Z40" s="4"/>
      <c r="AA40" s="4">
        <f t="shared" si="4"/>
        <v>0</v>
      </c>
      <c r="AB40" s="279">
        <v>15.65</v>
      </c>
      <c r="AC40" s="310"/>
      <c r="AD40" s="310"/>
      <c r="AE40" s="4"/>
      <c r="AF40" s="4">
        <f t="shared" si="5"/>
        <v>0</v>
      </c>
      <c r="AG40" s="279">
        <v>6.23</v>
      </c>
      <c r="AH40" s="310"/>
      <c r="AI40" s="310"/>
      <c r="AJ40" s="4"/>
      <c r="AK40" s="4">
        <f t="shared" si="6"/>
        <v>0</v>
      </c>
      <c r="AL40" s="279">
        <v>5.57</v>
      </c>
      <c r="AM40" s="310"/>
      <c r="AN40" s="310"/>
      <c r="AO40" s="4"/>
      <c r="AP40" s="4">
        <f t="shared" si="7"/>
        <v>0</v>
      </c>
    </row>
    <row r="41" spans="1:42" ht="47.25" x14ac:dyDescent="0.25">
      <c r="A41" s="277"/>
      <c r="B41" s="281" t="s">
        <v>523</v>
      </c>
      <c r="C41" s="279">
        <v>2.98</v>
      </c>
      <c r="D41" s="310"/>
      <c r="E41" s="310"/>
      <c r="F41" s="4"/>
      <c r="G41" s="4">
        <f t="shared" si="0"/>
        <v>0</v>
      </c>
      <c r="H41" s="279">
        <v>2.1</v>
      </c>
      <c r="I41" s="310"/>
      <c r="J41" s="310"/>
      <c r="K41" s="4"/>
      <c r="L41" s="4">
        <f t="shared" si="1"/>
        <v>0</v>
      </c>
      <c r="M41" s="279">
        <v>2.34</v>
      </c>
      <c r="N41" s="310"/>
      <c r="O41" s="310"/>
      <c r="P41" s="4"/>
      <c r="Q41" s="4">
        <f t="shared" si="2"/>
        <v>0</v>
      </c>
      <c r="R41" s="279">
        <v>2.86</v>
      </c>
      <c r="S41" s="310"/>
      <c r="T41" s="310"/>
      <c r="U41" s="4"/>
      <c r="V41" s="4">
        <f t="shared" si="3"/>
        <v>0</v>
      </c>
      <c r="W41" s="279">
        <v>2.23</v>
      </c>
      <c r="X41" s="310"/>
      <c r="Y41" s="310"/>
      <c r="Z41" s="4"/>
      <c r="AA41" s="4">
        <f t="shared" si="4"/>
        <v>0</v>
      </c>
      <c r="AB41" s="279">
        <v>12.25</v>
      </c>
      <c r="AC41" s="310"/>
      <c r="AD41" s="310"/>
      <c r="AE41" s="4"/>
      <c r="AF41" s="4">
        <f t="shared" si="5"/>
        <v>0</v>
      </c>
      <c r="AG41" s="279">
        <v>4.87</v>
      </c>
      <c r="AH41" s="310"/>
      <c r="AI41" s="310"/>
      <c r="AJ41" s="4"/>
      <c r="AK41" s="4">
        <f t="shared" si="6"/>
        <v>0</v>
      </c>
      <c r="AL41" s="279">
        <v>4.3600000000000003</v>
      </c>
      <c r="AM41" s="310"/>
      <c r="AN41" s="310"/>
      <c r="AO41" s="4"/>
      <c r="AP41" s="4">
        <f t="shared" si="7"/>
        <v>0</v>
      </c>
    </row>
    <row r="42" spans="1:42" ht="15.75" x14ac:dyDescent="0.25">
      <c r="A42" s="4">
        <v>5</v>
      </c>
      <c r="B42" s="280" t="s">
        <v>289</v>
      </c>
      <c r="C42" s="279"/>
      <c r="D42" s="310"/>
      <c r="E42" s="310"/>
      <c r="F42" s="4"/>
      <c r="G42" s="4">
        <f t="shared" si="0"/>
        <v>0</v>
      </c>
      <c r="H42" s="279"/>
      <c r="I42" s="310"/>
      <c r="J42" s="310"/>
      <c r="K42" s="4"/>
      <c r="L42" s="4">
        <f t="shared" si="1"/>
        <v>0</v>
      </c>
      <c r="M42" s="279"/>
      <c r="N42" s="310"/>
      <c r="O42" s="310"/>
      <c r="P42" s="4"/>
      <c r="Q42" s="4">
        <f t="shared" si="2"/>
        <v>0</v>
      </c>
      <c r="R42" s="279"/>
      <c r="S42" s="310"/>
      <c r="T42" s="310"/>
      <c r="U42" s="4"/>
      <c r="V42" s="4">
        <f t="shared" si="3"/>
        <v>0</v>
      </c>
      <c r="W42" s="279"/>
      <c r="X42" s="310"/>
      <c r="Y42" s="310"/>
      <c r="Z42" s="4"/>
      <c r="AA42" s="4">
        <f t="shared" si="4"/>
        <v>0</v>
      </c>
      <c r="AB42" s="279"/>
      <c r="AC42" s="310"/>
      <c r="AD42" s="310"/>
      <c r="AE42" s="4"/>
      <c r="AF42" s="4">
        <f t="shared" si="5"/>
        <v>0</v>
      </c>
      <c r="AG42" s="279"/>
      <c r="AH42" s="310"/>
      <c r="AI42" s="310"/>
      <c r="AJ42" s="4"/>
      <c r="AK42" s="4">
        <f t="shared" si="6"/>
        <v>0</v>
      </c>
      <c r="AL42" s="279"/>
      <c r="AM42" s="310"/>
      <c r="AN42" s="310"/>
      <c r="AO42" s="4"/>
      <c r="AP42" s="4">
        <f t="shared" si="7"/>
        <v>0</v>
      </c>
    </row>
    <row r="43" spans="1:42" ht="31.5" customHeight="1" x14ac:dyDescent="0.25">
      <c r="A43" s="277"/>
      <c r="B43" s="278" t="s">
        <v>377</v>
      </c>
      <c r="C43" s="279">
        <v>0.51</v>
      </c>
      <c r="D43" s="309">
        <f>MAX(C43:C49)</f>
        <v>3.98</v>
      </c>
      <c r="E43" s="310">
        <f>MIN(C43:C49)</f>
        <v>0.51</v>
      </c>
      <c r="F43" s="4"/>
      <c r="G43" s="4">
        <f t="shared" si="0"/>
        <v>0</v>
      </c>
      <c r="H43" s="279">
        <v>0.81</v>
      </c>
      <c r="I43" s="309">
        <f>MAX(H43:H49)</f>
        <v>5.19</v>
      </c>
      <c r="J43" s="310">
        <f>MIN(H43:H49)</f>
        <v>0.81</v>
      </c>
      <c r="K43" s="4"/>
      <c r="L43" s="4">
        <f t="shared" si="1"/>
        <v>0</v>
      </c>
      <c r="M43" s="279">
        <v>0.89</v>
      </c>
      <c r="N43" s="309">
        <f>MAX(M43:M49)</f>
        <v>5.04</v>
      </c>
      <c r="O43" s="310">
        <f>MIN(M43:M49)</f>
        <v>0.89</v>
      </c>
      <c r="P43" s="4"/>
      <c r="Q43" s="4">
        <f t="shared" si="2"/>
        <v>0</v>
      </c>
      <c r="R43" s="279">
        <v>0.74</v>
      </c>
      <c r="S43" s="309">
        <f>MAX(R43:R49)</f>
        <v>3.29</v>
      </c>
      <c r="T43" s="310">
        <f>MIN(R43:R49)</f>
        <v>0.74</v>
      </c>
      <c r="U43" s="4"/>
      <c r="V43" s="4">
        <f t="shared" si="3"/>
        <v>0</v>
      </c>
      <c r="W43" s="279">
        <v>7.0000000000000007E-2</v>
      </c>
      <c r="X43" s="309">
        <f>MAX(W43:W49)</f>
        <v>0.44</v>
      </c>
      <c r="Y43" s="310">
        <f>MIN(W43:W49)</f>
        <v>7.0000000000000007E-2</v>
      </c>
      <c r="Z43" s="4"/>
      <c r="AA43" s="4">
        <f t="shared" si="4"/>
        <v>0</v>
      </c>
      <c r="AB43" s="279">
        <v>0.61</v>
      </c>
      <c r="AC43" s="309">
        <f>MAX(AB43:AB49)</f>
        <v>3.89</v>
      </c>
      <c r="AD43" s="310">
        <f>MIN(AB43:AB49)</f>
        <v>0.61</v>
      </c>
      <c r="AE43" s="4"/>
      <c r="AF43" s="4">
        <f t="shared" si="5"/>
        <v>0</v>
      </c>
      <c r="AG43" s="279">
        <v>1.47</v>
      </c>
      <c r="AH43" s="309">
        <f>MAX(AG43:AG49)</f>
        <v>9.43</v>
      </c>
      <c r="AI43" s="310">
        <f>MIN(AG43:AG49)</f>
        <v>1.47</v>
      </c>
      <c r="AJ43" s="4"/>
      <c r="AK43" s="4">
        <f t="shared" si="6"/>
        <v>0</v>
      </c>
      <c r="AL43" s="279">
        <v>0.04</v>
      </c>
      <c r="AM43" s="309">
        <f>MAX(AL43:AL49)</f>
        <v>0.23</v>
      </c>
      <c r="AN43" s="310">
        <f>MIN(AL43:AL49)</f>
        <v>0.04</v>
      </c>
      <c r="AO43" s="4"/>
      <c r="AP43" s="4">
        <f t="shared" si="7"/>
        <v>0</v>
      </c>
    </row>
    <row r="44" spans="1:42" ht="31.5" customHeight="1" x14ac:dyDescent="0.25">
      <c r="A44" s="277"/>
      <c r="B44" s="278" t="s">
        <v>378</v>
      </c>
      <c r="C44" s="279">
        <v>0.73</v>
      </c>
      <c r="D44" s="310"/>
      <c r="E44" s="310"/>
      <c r="F44" s="4"/>
      <c r="G44" s="4">
        <f t="shared" si="0"/>
        <v>0</v>
      </c>
      <c r="H44" s="279">
        <v>0.95</v>
      </c>
      <c r="I44" s="310"/>
      <c r="J44" s="310"/>
      <c r="K44" s="4"/>
      <c r="L44" s="4">
        <f t="shared" si="1"/>
        <v>0</v>
      </c>
      <c r="M44" s="279">
        <v>1.02</v>
      </c>
      <c r="N44" s="310"/>
      <c r="O44" s="310"/>
      <c r="P44" s="4"/>
      <c r="Q44" s="4">
        <f t="shared" si="2"/>
        <v>0</v>
      </c>
      <c r="R44" s="279">
        <v>0.82</v>
      </c>
      <c r="S44" s="310"/>
      <c r="T44" s="310"/>
      <c r="U44" s="4"/>
      <c r="V44" s="4">
        <f t="shared" si="3"/>
        <v>0</v>
      </c>
      <c r="W44" s="279">
        <v>0.08</v>
      </c>
      <c r="X44" s="310"/>
      <c r="Y44" s="310"/>
      <c r="Z44" s="4"/>
      <c r="AA44" s="4">
        <f t="shared" si="4"/>
        <v>0</v>
      </c>
      <c r="AB44" s="279">
        <v>0.71</v>
      </c>
      <c r="AC44" s="310"/>
      <c r="AD44" s="310"/>
      <c r="AE44" s="4"/>
      <c r="AF44" s="4">
        <f t="shared" si="5"/>
        <v>0</v>
      </c>
      <c r="AG44" s="279">
        <v>1.72</v>
      </c>
      <c r="AH44" s="310"/>
      <c r="AI44" s="310"/>
      <c r="AJ44" s="4"/>
      <c r="AK44" s="4">
        <f t="shared" si="6"/>
        <v>0</v>
      </c>
      <c r="AL44" s="279">
        <v>0.04</v>
      </c>
      <c r="AM44" s="310"/>
      <c r="AN44" s="310"/>
      <c r="AO44" s="4"/>
      <c r="AP44" s="4">
        <f t="shared" si="7"/>
        <v>0</v>
      </c>
    </row>
    <row r="45" spans="1:42" ht="31.5" customHeight="1" x14ac:dyDescent="0.25">
      <c r="A45" s="277"/>
      <c r="B45" s="278" t="s">
        <v>379</v>
      </c>
      <c r="C45" s="279">
        <v>2.2000000000000002</v>
      </c>
      <c r="D45" s="310"/>
      <c r="E45" s="310"/>
      <c r="F45" s="4"/>
      <c r="G45" s="4">
        <f t="shared" si="0"/>
        <v>0</v>
      </c>
      <c r="H45" s="279">
        <v>1.04</v>
      </c>
      <c r="I45" s="310"/>
      <c r="J45" s="310"/>
      <c r="K45" s="4"/>
      <c r="L45" s="4">
        <f t="shared" si="1"/>
        <v>0</v>
      </c>
      <c r="M45" s="279">
        <v>1.1000000000000001</v>
      </c>
      <c r="N45" s="310"/>
      <c r="O45" s="310"/>
      <c r="P45" s="4"/>
      <c r="Q45" s="4">
        <f t="shared" si="2"/>
        <v>0</v>
      </c>
      <c r="R45" s="279">
        <v>0.88</v>
      </c>
      <c r="S45" s="310"/>
      <c r="T45" s="310"/>
      <c r="U45" s="4"/>
      <c r="V45" s="4">
        <f t="shared" si="3"/>
        <v>0</v>
      </c>
      <c r="W45" s="279">
        <v>0.09</v>
      </c>
      <c r="X45" s="310"/>
      <c r="Y45" s="310"/>
      <c r="Z45" s="4"/>
      <c r="AA45" s="4">
        <f t="shared" si="4"/>
        <v>0</v>
      </c>
      <c r="AB45" s="279">
        <v>0.78</v>
      </c>
      <c r="AC45" s="310"/>
      <c r="AD45" s="310"/>
      <c r="AE45" s="4"/>
      <c r="AF45" s="4">
        <f t="shared" si="5"/>
        <v>0</v>
      </c>
      <c r="AG45" s="279">
        <v>1.88</v>
      </c>
      <c r="AH45" s="310"/>
      <c r="AI45" s="310"/>
      <c r="AJ45" s="4"/>
      <c r="AK45" s="4">
        <f t="shared" si="6"/>
        <v>0</v>
      </c>
      <c r="AL45" s="279">
        <v>0.05</v>
      </c>
      <c r="AM45" s="310"/>
      <c r="AN45" s="310"/>
      <c r="AO45" s="4"/>
      <c r="AP45" s="4">
        <f t="shared" si="7"/>
        <v>0</v>
      </c>
    </row>
    <row r="46" spans="1:42" ht="31.5" customHeight="1" x14ac:dyDescent="0.25">
      <c r="A46" s="277"/>
      <c r="B46" s="278" t="s">
        <v>380</v>
      </c>
      <c r="C46" s="279">
        <v>1.36</v>
      </c>
      <c r="D46" s="310"/>
      <c r="E46" s="310"/>
      <c r="F46" s="4"/>
      <c r="G46" s="4">
        <f t="shared" si="0"/>
        <v>0</v>
      </c>
      <c r="H46" s="279">
        <v>1.78</v>
      </c>
      <c r="I46" s="310"/>
      <c r="J46" s="310"/>
      <c r="K46" s="4"/>
      <c r="L46" s="4">
        <f t="shared" si="1"/>
        <v>0</v>
      </c>
      <c r="M46" s="279">
        <v>1.8</v>
      </c>
      <c r="N46" s="310"/>
      <c r="O46" s="310"/>
      <c r="P46" s="4"/>
      <c r="Q46" s="4">
        <f t="shared" si="2"/>
        <v>0</v>
      </c>
      <c r="R46" s="279">
        <v>1.31</v>
      </c>
      <c r="S46" s="310"/>
      <c r="T46" s="310"/>
      <c r="U46" s="4"/>
      <c r="V46" s="4">
        <f t="shared" si="3"/>
        <v>0</v>
      </c>
      <c r="W46" s="279">
        <v>0.15</v>
      </c>
      <c r="X46" s="310"/>
      <c r="Y46" s="310"/>
      <c r="Z46" s="4"/>
      <c r="AA46" s="4">
        <f t="shared" si="4"/>
        <v>0</v>
      </c>
      <c r="AB46" s="279">
        <v>1.33</v>
      </c>
      <c r="AC46" s="310"/>
      <c r="AD46" s="310"/>
      <c r="AE46" s="4"/>
      <c r="AF46" s="4">
        <f t="shared" si="5"/>
        <v>0</v>
      </c>
      <c r="AG46" s="279">
        <v>3.23</v>
      </c>
      <c r="AH46" s="310"/>
      <c r="AI46" s="310"/>
      <c r="AJ46" s="4"/>
      <c r="AK46" s="4">
        <f t="shared" si="6"/>
        <v>0</v>
      </c>
      <c r="AL46" s="279">
        <v>0.08</v>
      </c>
      <c r="AM46" s="310"/>
      <c r="AN46" s="310"/>
      <c r="AO46" s="4"/>
      <c r="AP46" s="4">
        <f t="shared" si="7"/>
        <v>0</v>
      </c>
    </row>
    <row r="47" spans="1:42" ht="31.5" customHeight="1" x14ac:dyDescent="0.25">
      <c r="A47" s="277"/>
      <c r="B47" s="278" t="s">
        <v>381</v>
      </c>
      <c r="C47" s="279">
        <v>3.08</v>
      </c>
      <c r="D47" s="310"/>
      <c r="E47" s="310"/>
      <c r="F47" s="4"/>
      <c r="G47" s="4">
        <f t="shared" si="0"/>
        <v>0</v>
      </c>
      <c r="H47" s="279">
        <v>4.0199999999999996</v>
      </c>
      <c r="I47" s="310"/>
      <c r="J47" s="310"/>
      <c r="K47" s="4"/>
      <c r="L47" s="4">
        <f t="shared" si="1"/>
        <v>0</v>
      </c>
      <c r="M47" s="279">
        <v>3.93</v>
      </c>
      <c r="N47" s="310"/>
      <c r="O47" s="310"/>
      <c r="P47" s="4"/>
      <c r="Q47" s="4">
        <f t="shared" si="2"/>
        <v>0</v>
      </c>
      <c r="R47" s="279">
        <v>2.61</v>
      </c>
      <c r="S47" s="310"/>
      <c r="T47" s="310"/>
      <c r="U47" s="4"/>
      <c r="V47" s="4">
        <f t="shared" si="3"/>
        <v>0</v>
      </c>
      <c r="W47" s="279">
        <v>0.34</v>
      </c>
      <c r="X47" s="310"/>
      <c r="Y47" s="310"/>
      <c r="Z47" s="4"/>
      <c r="AA47" s="4">
        <f t="shared" si="4"/>
        <v>0</v>
      </c>
      <c r="AB47" s="279">
        <v>3.01</v>
      </c>
      <c r="AC47" s="310"/>
      <c r="AD47" s="310"/>
      <c r="AE47" s="4"/>
      <c r="AF47" s="4">
        <f t="shared" si="5"/>
        <v>0</v>
      </c>
      <c r="AG47" s="279">
        <v>7.31</v>
      </c>
      <c r="AH47" s="310"/>
      <c r="AI47" s="310"/>
      <c r="AJ47" s="4"/>
      <c r="AK47" s="4">
        <f t="shared" si="6"/>
        <v>0</v>
      </c>
      <c r="AL47" s="279">
        <v>0.18</v>
      </c>
      <c r="AM47" s="310"/>
      <c r="AN47" s="310"/>
      <c r="AO47" s="4"/>
      <c r="AP47" s="4">
        <f t="shared" si="7"/>
        <v>0</v>
      </c>
    </row>
    <row r="48" spans="1:42" ht="31.5" customHeight="1" x14ac:dyDescent="0.25">
      <c r="A48" s="277"/>
      <c r="B48" s="278" t="s">
        <v>382</v>
      </c>
      <c r="C48" s="279">
        <v>2.2599999999999998</v>
      </c>
      <c r="D48" s="310"/>
      <c r="E48" s="310"/>
      <c r="F48" s="4"/>
      <c r="G48" s="4">
        <f t="shared" si="0"/>
        <v>0</v>
      </c>
      <c r="H48" s="279">
        <v>2.94</v>
      </c>
      <c r="I48" s="310"/>
      <c r="J48" s="310"/>
      <c r="K48" s="4"/>
      <c r="L48" s="4">
        <f t="shared" si="1"/>
        <v>0</v>
      </c>
      <c r="M48" s="279">
        <v>2.91</v>
      </c>
      <c r="N48" s="310"/>
      <c r="O48" s="310"/>
      <c r="P48" s="4"/>
      <c r="Q48" s="4">
        <f t="shared" si="2"/>
        <v>0</v>
      </c>
      <c r="R48" s="279">
        <v>1.99</v>
      </c>
      <c r="S48" s="310"/>
      <c r="T48" s="310"/>
      <c r="U48" s="4"/>
      <c r="V48" s="4">
        <f t="shared" si="3"/>
        <v>0</v>
      </c>
      <c r="W48" s="279">
        <v>0.25</v>
      </c>
      <c r="X48" s="310"/>
      <c r="Y48" s="310"/>
      <c r="Z48" s="4"/>
      <c r="AA48" s="4">
        <f t="shared" si="4"/>
        <v>0</v>
      </c>
      <c r="AB48" s="279">
        <v>2.21</v>
      </c>
      <c r="AC48" s="310"/>
      <c r="AD48" s="310"/>
      <c r="AE48" s="4"/>
      <c r="AF48" s="4">
        <f t="shared" si="5"/>
        <v>0</v>
      </c>
      <c r="AG48" s="279">
        <v>5.35</v>
      </c>
      <c r="AH48" s="310"/>
      <c r="AI48" s="310"/>
      <c r="AJ48" s="4"/>
      <c r="AK48" s="4">
        <f t="shared" si="6"/>
        <v>0</v>
      </c>
      <c r="AL48" s="279">
        <v>0.13</v>
      </c>
      <c r="AM48" s="310"/>
      <c r="AN48" s="310"/>
      <c r="AO48" s="4"/>
      <c r="AP48" s="4">
        <f t="shared" si="7"/>
        <v>0</v>
      </c>
    </row>
    <row r="49" spans="1:42" ht="31.5" customHeight="1" x14ac:dyDescent="0.25">
      <c r="A49" s="277"/>
      <c r="B49" s="278" t="s">
        <v>383</v>
      </c>
      <c r="C49" s="279">
        <v>3.98</v>
      </c>
      <c r="D49" s="310"/>
      <c r="E49" s="310"/>
      <c r="F49" s="4"/>
      <c r="G49" s="4">
        <f t="shared" si="0"/>
        <v>0</v>
      </c>
      <c r="H49" s="279">
        <v>5.19</v>
      </c>
      <c r="I49" s="310"/>
      <c r="J49" s="310"/>
      <c r="K49" s="4"/>
      <c r="L49" s="4">
        <f t="shared" si="1"/>
        <v>0</v>
      </c>
      <c r="M49" s="279">
        <v>5.04</v>
      </c>
      <c r="N49" s="310"/>
      <c r="O49" s="310"/>
      <c r="P49" s="4"/>
      <c r="Q49" s="4">
        <f t="shared" si="2"/>
        <v>0</v>
      </c>
      <c r="R49" s="279">
        <v>3.29</v>
      </c>
      <c r="S49" s="310"/>
      <c r="T49" s="310"/>
      <c r="U49" s="4"/>
      <c r="V49" s="4">
        <f t="shared" si="3"/>
        <v>0</v>
      </c>
      <c r="W49" s="279">
        <v>0.44</v>
      </c>
      <c r="X49" s="310"/>
      <c r="Y49" s="310"/>
      <c r="Z49" s="4"/>
      <c r="AA49" s="4">
        <f t="shared" si="4"/>
        <v>0</v>
      </c>
      <c r="AB49" s="279">
        <v>3.89</v>
      </c>
      <c r="AC49" s="310"/>
      <c r="AD49" s="310"/>
      <c r="AE49" s="4"/>
      <c r="AF49" s="4">
        <f t="shared" si="5"/>
        <v>0</v>
      </c>
      <c r="AG49" s="279">
        <v>9.43</v>
      </c>
      <c r="AH49" s="310"/>
      <c r="AI49" s="310"/>
      <c r="AJ49" s="4"/>
      <c r="AK49" s="4">
        <f t="shared" si="6"/>
        <v>0</v>
      </c>
      <c r="AL49" s="279">
        <v>0.23</v>
      </c>
      <c r="AM49" s="310"/>
      <c r="AN49" s="310"/>
      <c r="AO49" s="4"/>
      <c r="AP49" s="4">
        <f t="shared" si="7"/>
        <v>0</v>
      </c>
    </row>
    <row r="50" spans="1:42" ht="15.75" x14ac:dyDescent="0.25">
      <c r="A50" s="4">
        <v>6</v>
      </c>
      <c r="B50" s="280" t="s">
        <v>292</v>
      </c>
      <c r="C50" s="279"/>
      <c r="D50" s="310"/>
      <c r="E50" s="310"/>
      <c r="F50" s="4"/>
      <c r="G50" s="4">
        <f t="shared" si="0"/>
        <v>0</v>
      </c>
      <c r="H50" s="279"/>
      <c r="I50" s="310"/>
      <c r="J50" s="310"/>
      <c r="K50" s="4"/>
      <c r="L50" s="4">
        <f t="shared" si="1"/>
        <v>0</v>
      </c>
      <c r="M50" s="279"/>
      <c r="N50" s="310"/>
      <c r="O50" s="310"/>
      <c r="P50" s="4"/>
      <c r="Q50" s="4">
        <f t="shared" si="2"/>
        <v>0</v>
      </c>
      <c r="R50" s="279"/>
      <c r="S50" s="310"/>
      <c r="T50" s="310"/>
      <c r="U50" s="4"/>
      <c r="V50" s="4">
        <f t="shared" si="3"/>
        <v>0</v>
      </c>
      <c r="W50" s="279"/>
      <c r="X50" s="310"/>
      <c r="Y50" s="310"/>
      <c r="Z50" s="4"/>
      <c r="AA50" s="4">
        <f t="shared" si="4"/>
        <v>0</v>
      </c>
      <c r="AB50" s="279"/>
      <c r="AC50" s="310"/>
      <c r="AD50" s="310"/>
      <c r="AE50" s="4"/>
      <c r="AF50" s="4">
        <f t="shared" si="5"/>
        <v>0</v>
      </c>
      <c r="AG50" s="279"/>
      <c r="AH50" s="310"/>
      <c r="AI50" s="310"/>
      <c r="AJ50" s="4"/>
      <c r="AK50" s="4">
        <f t="shared" si="6"/>
        <v>0</v>
      </c>
      <c r="AL50" s="279"/>
      <c r="AM50" s="310"/>
      <c r="AN50" s="310"/>
      <c r="AO50" s="4"/>
      <c r="AP50" s="4">
        <f t="shared" si="7"/>
        <v>0</v>
      </c>
    </row>
    <row r="51" spans="1:42" ht="15.75" customHeight="1" x14ac:dyDescent="0.25">
      <c r="A51" s="277"/>
      <c r="B51" s="278" t="s">
        <v>384</v>
      </c>
      <c r="C51" s="279">
        <v>2.02</v>
      </c>
      <c r="D51" s="309">
        <f>MAX(C51:C63)</f>
        <v>2.9</v>
      </c>
      <c r="E51" s="310">
        <f>MIN(C51:C63)</f>
        <v>1.66</v>
      </c>
      <c r="F51" s="4"/>
      <c r="G51" s="4">
        <f t="shared" si="0"/>
        <v>0</v>
      </c>
      <c r="H51" s="279">
        <v>1.62</v>
      </c>
      <c r="I51" s="309">
        <f>MAX(H51:H63)</f>
        <v>2.29</v>
      </c>
      <c r="J51" s="310">
        <f>MIN(H51:H63)</f>
        <v>1.35</v>
      </c>
      <c r="K51" s="4"/>
      <c r="L51" s="4">
        <f t="shared" si="1"/>
        <v>0</v>
      </c>
      <c r="M51" s="279">
        <v>1.2</v>
      </c>
      <c r="N51" s="309">
        <f>MAX(M51:M63)</f>
        <v>1.63</v>
      </c>
      <c r="O51" s="310">
        <f>MIN(M51:M63)</f>
        <v>1.03</v>
      </c>
      <c r="P51" s="4"/>
      <c r="Q51" s="4">
        <f t="shared" si="2"/>
        <v>0</v>
      </c>
      <c r="R51" s="279">
        <v>2.0299999999999998</v>
      </c>
      <c r="S51" s="309">
        <f>MAX(R51:R63)</f>
        <v>3.02</v>
      </c>
      <c r="T51" s="310">
        <f>MIN(R51:R63)</f>
        <v>1.63</v>
      </c>
      <c r="U51" s="4"/>
      <c r="V51" s="4">
        <f t="shared" si="3"/>
        <v>0</v>
      </c>
      <c r="W51" s="279">
        <v>0.66</v>
      </c>
      <c r="X51" s="309">
        <f>MAX(W51:W63)</f>
        <v>0.96</v>
      </c>
      <c r="Y51" s="310">
        <f>MIN(W51:W63)</f>
        <v>0.54</v>
      </c>
      <c r="Z51" s="4"/>
      <c r="AA51" s="4">
        <f t="shared" si="4"/>
        <v>0</v>
      </c>
      <c r="AB51" s="279">
        <v>0.73</v>
      </c>
      <c r="AC51" s="309">
        <f>MAX(AB51:AB63)</f>
        <v>1.18</v>
      </c>
      <c r="AD51" s="310">
        <f>MIN(AB51:AB63)</f>
        <v>0.55000000000000004</v>
      </c>
      <c r="AE51" s="4"/>
      <c r="AF51" s="4">
        <f t="shared" si="5"/>
        <v>0</v>
      </c>
      <c r="AG51" s="279">
        <v>0.57999999999999996</v>
      </c>
      <c r="AH51" s="309">
        <f>MAX(AG51:AG63)</f>
        <v>0.88</v>
      </c>
      <c r="AI51" s="310">
        <f>MIN(AG51:AG63)</f>
        <v>0.47</v>
      </c>
      <c r="AJ51" s="4"/>
      <c r="AK51" s="4">
        <f t="shared" si="6"/>
        <v>0</v>
      </c>
      <c r="AL51" s="279">
        <v>0.61</v>
      </c>
      <c r="AM51" s="309">
        <f>MAX(AL51:AL63)</f>
        <v>0.99</v>
      </c>
      <c r="AN51" s="310">
        <f>MIN(AL51:AL63)</f>
        <v>0.46</v>
      </c>
      <c r="AO51" s="4"/>
      <c r="AP51" s="4">
        <f t="shared" si="7"/>
        <v>0</v>
      </c>
    </row>
    <row r="52" spans="1:42" ht="15.75" customHeight="1" x14ac:dyDescent="0.25">
      <c r="A52" s="277"/>
      <c r="B52" s="278" t="s">
        <v>385</v>
      </c>
      <c r="C52" s="279">
        <v>2.0699999999999998</v>
      </c>
      <c r="D52" s="310"/>
      <c r="E52" s="310"/>
      <c r="F52" s="4"/>
      <c r="G52" s="4">
        <f t="shared" si="0"/>
        <v>0</v>
      </c>
      <c r="H52" s="279">
        <v>1.66</v>
      </c>
      <c r="I52" s="310"/>
      <c r="J52" s="310"/>
      <c r="K52" s="4"/>
      <c r="L52" s="4">
        <f t="shared" si="1"/>
        <v>0</v>
      </c>
      <c r="M52" s="279">
        <v>1.23</v>
      </c>
      <c r="N52" s="310"/>
      <c r="O52" s="310"/>
      <c r="P52" s="4"/>
      <c r="Q52" s="4">
        <f t="shared" si="2"/>
        <v>0</v>
      </c>
      <c r="R52" s="279">
        <v>2.09</v>
      </c>
      <c r="S52" s="310"/>
      <c r="T52" s="310"/>
      <c r="U52" s="4"/>
      <c r="V52" s="4">
        <f t="shared" si="3"/>
        <v>0</v>
      </c>
      <c r="W52" s="279">
        <v>0.68</v>
      </c>
      <c r="X52" s="310"/>
      <c r="Y52" s="310"/>
      <c r="Z52" s="4"/>
      <c r="AA52" s="4">
        <f t="shared" si="4"/>
        <v>0</v>
      </c>
      <c r="AB52" s="279">
        <v>0.76</v>
      </c>
      <c r="AC52" s="310"/>
      <c r="AD52" s="310"/>
      <c r="AE52" s="4"/>
      <c r="AF52" s="4">
        <f t="shared" si="5"/>
        <v>0</v>
      </c>
      <c r="AG52" s="279">
        <v>0.6</v>
      </c>
      <c r="AH52" s="310"/>
      <c r="AI52" s="310"/>
      <c r="AJ52" s="4"/>
      <c r="AK52" s="4">
        <f t="shared" si="6"/>
        <v>0</v>
      </c>
      <c r="AL52" s="279">
        <v>0.63</v>
      </c>
      <c r="AM52" s="310"/>
      <c r="AN52" s="310"/>
      <c r="AO52" s="4"/>
      <c r="AP52" s="4">
        <f t="shared" si="7"/>
        <v>0</v>
      </c>
    </row>
    <row r="53" spans="1:42" ht="15.75" customHeight="1" x14ac:dyDescent="0.25">
      <c r="A53" s="277"/>
      <c r="B53" s="278" t="s">
        <v>386</v>
      </c>
      <c r="C53" s="279">
        <v>2.0699999999999998</v>
      </c>
      <c r="D53" s="310"/>
      <c r="E53" s="310"/>
      <c r="F53" s="4"/>
      <c r="G53" s="4">
        <f t="shared" si="0"/>
        <v>0</v>
      </c>
      <c r="H53" s="279">
        <v>1.66</v>
      </c>
      <c r="I53" s="310"/>
      <c r="J53" s="310"/>
      <c r="K53" s="4"/>
      <c r="L53" s="4">
        <f t="shared" si="1"/>
        <v>0</v>
      </c>
      <c r="M53" s="279">
        <v>1.22</v>
      </c>
      <c r="N53" s="310"/>
      <c r="O53" s="310"/>
      <c r="P53" s="4"/>
      <c r="Q53" s="4">
        <f t="shared" si="2"/>
        <v>0</v>
      </c>
      <c r="R53" s="279">
        <v>2.08</v>
      </c>
      <c r="S53" s="310"/>
      <c r="T53" s="310"/>
      <c r="U53" s="4"/>
      <c r="V53" s="4">
        <f t="shared" si="3"/>
        <v>0</v>
      </c>
      <c r="W53" s="279">
        <v>0.68</v>
      </c>
      <c r="X53" s="310"/>
      <c r="Y53" s="310"/>
      <c r="Z53" s="4"/>
      <c r="AA53" s="4">
        <f t="shared" si="4"/>
        <v>0</v>
      </c>
      <c r="AB53" s="279">
        <v>0.76</v>
      </c>
      <c r="AC53" s="310"/>
      <c r="AD53" s="310"/>
      <c r="AE53" s="4"/>
      <c r="AF53" s="4">
        <f t="shared" si="5"/>
        <v>0</v>
      </c>
      <c r="AG53" s="279">
        <v>0.6</v>
      </c>
      <c r="AH53" s="310"/>
      <c r="AI53" s="310"/>
      <c r="AJ53" s="4"/>
      <c r="AK53" s="4">
        <f t="shared" si="6"/>
        <v>0</v>
      </c>
      <c r="AL53" s="279">
        <v>0.63</v>
      </c>
      <c r="AM53" s="310"/>
      <c r="AN53" s="310"/>
      <c r="AO53" s="4"/>
      <c r="AP53" s="4">
        <f t="shared" si="7"/>
        <v>0</v>
      </c>
    </row>
    <row r="54" spans="1:42" ht="15.75" customHeight="1" x14ac:dyDescent="0.25">
      <c r="A54" s="277"/>
      <c r="B54" s="278" t="s">
        <v>387</v>
      </c>
      <c r="C54" s="279">
        <v>2.27</v>
      </c>
      <c r="D54" s="310"/>
      <c r="E54" s="310"/>
      <c r="F54" s="4"/>
      <c r="G54" s="4">
        <f t="shared" si="0"/>
        <v>0</v>
      </c>
      <c r="H54" s="279">
        <v>1.81</v>
      </c>
      <c r="I54" s="310"/>
      <c r="J54" s="310"/>
      <c r="K54" s="4"/>
      <c r="L54" s="4">
        <f t="shared" si="1"/>
        <v>0</v>
      </c>
      <c r="M54" s="279">
        <v>1.32</v>
      </c>
      <c r="N54" s="310"/>
      <c r="O54" s="310"/>
      <c r="P54" s="4"/>
      <c r="Q54" s="4">
        <f t="shared" si="2"/>
        <v>0</v>
      </c>
      <c r="R54" s="279">
        <v>2.31</v>
      </c>
      <c r="S54" s="310"/>
      <c r="T54" s="310"/>
      <c r="U54" s="4"/>
      <c r="V54" s="4">
        <f t="shared" si="3"/>
        <v>0</v>
      </c>
      <c r="W54" s="279">
        <v>0.75</v>
      </c>
      <c r="X54" s="310"/>
      <c r="Y54" s="310"/>
      <c r="Z54" s="4"/>
      <c r="AA54" s="4">
        <f t="shared" si="4"/>
        <v>0</v>
      </c>
      <c r="AB54" s="279">
        <v>0.86</v>
      </c>
      <c r="AC54" s="310"/>
      <c r="AD54" s="310"/>
      <c r="AE54" s="4"/>
      <c r="AF54" s="4">
        <f t="shared" si="5"/>
        <v>0</v>
      </c>
      <c r="AG54" s="279">
        <v>0.67</v>
      </c>
      <c r="AH54" s="310"/>
      <c r="AI54" s="310"/>
      <c r="AJ54" s="4"/>
      <c r="AK54" s="4">
        <f t="shared" si="6"/>
        <v>0</v>
      </c>
      <c r="AL54" s="279">
        <v>0.72</v>
      </c>
      <c r="AM54" s="310"/>
      <c r="AN54" s="310"/>
      <c r="AO54" s="4"/>
      <c r="AP54" s="4">
        <f t="shared" si="7"/>
        <v>0</v>
      </c>
    </row>
    <row r="55" spans="1:42" ht="15.75" customHeight="1" x14ac:dyDescent="0.25">
      <c r="A55" s="277"/>
      <c r="B55" s="278" t="s">
        <v>388</v>
      </c>
      <c r="C55" s="279">
        <v>1.66</v>
      </c>
      <c r="D55" s="310"/>
      <c r="E55" s="310"/>
      <c r="F55" s="4"/>
      <c r="G55" s="4">
        <f t="shared" si="0"/>
        <v>0</v>
      </c>
      <c r="H55" s="279">
        <v>1.35</v>
      </c>
      <c r="I55" s="310"/>
      <c r="J55" s="310"/>
      <c r="K55" s="4"/>
      <c r="L55" s="4">
        <f t="shared" si="1"/>
        <v>0</v>
      </c>
      <c r="M55" s="279">
        <v>1.03</v>
      </c>
      <c r="N55" s="310"/>
      <c r="O55" s="310"/>
      <c r="P55" s="4"/>
      <c r="Q55" s="4">
        <f t="shared" si="2"/>
        <v>0</v>
      </c>
      <c r="R55" s="279">
        <v>1.63</v>
      </c>
      <c r="S55" s="310"/>
      <c r="T55" s="310"/>
      <c r="U55" s="4"/>
      <c r="V55" s="4">
        <f t="shared" si="3"/>
        <v>0</v>
      </c>
      <c r="W55" s="279">
        <v>0.54</v>
      </c>
      <c r="X55" s="310"/>
      <c r="Y55" s="310"/>
      <c r="Z55" s="4"/>
      <c r="AA55" s="4">
        <f t="shared" si="4"/>
        <v>0</v>
      </c>
      <c r="AB55" s="279">
        <v>0.55000000000000004</v>
      </c>
      <c r="AC55" s="310"/>
      <c r="AD55" s="310"/>
      <c r="AE55" s="4"/>
      <c r="AF55" s="4">
        <f t="shared" si="5"/>
        <v>0</v>
      </c>
      <c r="AG55" s="279">
        <v>0.47</v>
      </c>
      <c r="AH55" s="310"/>
      <c r="AI55" s="310"/>
      <c r="AJ55" s="4"/>
      <c r="AK55" s="4">
        <f t="shared" si="6"/>
        <v>0</v>
      </c>
      <c r="AL55" s="279">
        <v>0.46</v>
      </c>
      <c r="AM55" s="310"/>
      <c r="AN55" s="310"/>
      <c r="AO55" s="4"/>
      <c r="AP55" s="4">
        <f t="shared" si="7"/>
        <v>0</v>
      </c>
    </row>
    <row r="56" spans="1:42" ht="15.75" customHeight="1" x14ac:dyDescent="0.25">
      <c r="A56" s="277"/>
      <c r="B56" s="278" t="s">
        <v>389</v>
      </c>
      <c r="C56" s="279">
        <v>1.7</v>
      </c>
      <c r="D56" s="310"/>
      <c r="E56" s="310"/>
      <c r="F56" s="4"/>
      <c r="G56" s="4">
        <f t="shared" si="0"/>
        <v>0</v>
      </c>
      <c r="H56" s="279">
        <v>1.37</v>
      </c>
      <c r="I56" s="310"/>
      <c r="J56" s="310"/>
      <c r="K56" s="4"/>
      <c r="L56" s="4">
        <f t="shared" si="1"/>
        <v>0</v>
      </c>
      <c r="M56" s="279">
        <v>1.04</v>
      </c>
      <c r="N56" s="310"/>
      <c r="O56" s="310"/>
      <c r="P56" s="4"/>
      <c r="Q56" s="4">
        <f t="shared" si="2"/>
        <v>0</v>
      </c>
      <c r="R56" s="279">
        <v>1.66</v>
      </c>
      <c r="S56" s="310"/>
      <c r="T56" s="310"/>
      <c r="U56" s="4"/>
      <c r="V56" s="4">
        <f t="shared" si="3"/>
        <v>0</v>
      </c>
      <c r="W56" s="279">
        <v>0.56000000000000005</v>
      </c>
      <c r="X56" s="310"/>
      <c r="Y56" s="310"/>
      <c r="Z56" s="4"/>
      <c r="AA56" s="4">
        <f t="shared" si="4"/>
        <v>0</v>
      </c>
      <c r="AB56" s="279">
        <v>0.56999999999999995</v>
      </c>
      <c r="AC56" s="310"/>
      <c r="AD56" s="310"/>
      <c r="AE56" s="4"/>
      <c r="AF56" s="4">
        <f t="shared" si="5"/>
        <v>0</v>
      </c>
      <c r="AG56" s="279">
        <v>0.48</v>
      </c>
      <c r="AH56" s="310"/>
      <c r="AI56" s="310"/>
      <c r="AJ56" s="4"/>
      <c r="AK56" s="4">
        <f t="shared" si="6"/>
        <v>0</v>
      </c>
      <c r="AL56" s="279">
        <v>0.47</v>
      </c>
      <c r="AM56" s="310"/>
      <c r="AN56" s="310"/>
      <c r="AO56" s="4"/>
      <c r="AP56" s="4">
        <f t="shared" si="7"/>
        <v>0</v>
      </c>
    </row>
    <row r="57" spans="1:42" ht="15.75" customHeight="1" x14ac:dyDescent="0.25">
      <c r="A57" s="277"/>
      <c r="B57" s="278" t="s">
        <v>390</v>
      </c>
      <c r="C57" s="279">
        <v>1.71</v>
      </c>
      <c r="D57" s="310"/>
      <c r="E57" s="310"/>
      <c r="F57" s="4"/>
      <c r="G57" s="4">
        <f t="shared" si="0"/>
        <v>0</v>
      </c>
      <c r="H57" s="279">
        <v>1.38</v>
      </c>
      <c r="I57" s="310"/>
      <c r="J57" s="310"/>
      <c r="K57" s="4"/>
      <c r="L57" s="4">
        <f t="shared" si="1"/>
        <v>0</v>
      </c>
      <c r="M57" s="279">
        <v>1.05</v>
      </c>
      <c r="N57" s="310"/>
      <c r="O57" s="310"/>
      <c r="P57" s="4"/>
      <c r="Q57" s="4">
        <f t="shared" si="2"/>
        <v>0</v>
      </c>
      <c r="R57" s="279">
        <v>1.68</v>
      </c>
      <c r="S57" s="310"/>
      <c r="T57" s="310"/>
      <c r="U57" s="4"/>
      <c r="V57" s="4">
        <f t="shared" si="3"/>
        <v>0</v>
      </c>
      <c r="W57" s="279">
        <v>0.56000000000000005</v>
      </c>
      <c r="X57" s="310"/>
      <c r="Y57" s="310"/>
      <c r="Z57" s="4"/>
      <c r="AA57" s="4">
        <f t="shared" si="4"/>
        <v>0</v>
      </c>
      <c r="AB57" s="279">
        <v>0.57999999999999996</v>
      </c>
      <c r="AC57" s="310"/>
      <c r="AD57" s="310"/>
      <c r="AE57" s="4"/>
      <c r="AF57" s="4">
        <f t="shared" si="5"/>
        <v>0</v>
      </c>
      <c r="AG57" s="279">
        <v>0.48</v>
      </c>
      <c r="AH57" s="310"/>
      <c r="AI57" s="310"/>
      <c r="AJ57" s="4"/>
      <c r="AK57" s="4">
        <f t="shared" si="6"/>
        <v>0</v>
      </c>
      <c r="AL57" s="279">
        <v>0.48</v>
      </c>
      <c r="AM57" s="310"/>
      <c r="AN57" s="310"/>
      <c r="AO57" s="4"/>
      <c r="AP57" s="4">
        <f t="shared" si="7"/>
        <v>0</v>
      </c>
    </row>
    <row r="58" spans="1:42" ht="15.75" customHeight="1" x14ac:dyDescent="0.25">
      <c r="A58" s="277"/>
      <c r="B58" s="278" t="s">
        <v>391</v>
      </c>
      <c r="C58" s="279">
        <v>1.91</v>
      </c>
      <c r="D58" s="310"/>
      <c r="E58" s="310"/>
      <c r="F58" s="4"/>
      <c r="G58" s="4">
        <f t="shared" si="0"/>
        <v>0</v>
      </c>
      <c r="H58" s="279">
        <v>1.54</v>
      </c>
      <c r="I58" s="310"/>
      <c r="J58" s="310"/>
      <c r="K58" s="4"/>
      <c r="L58" s="4">
        <f t="shared" si="1"/>
        <v>0</v>
      </c>
      <c r="M58" s="279">
        <v>1.1499999999999999</v>
      </c>
      <c r="N58" s="310"/>
      <c r="O58" s="310"/>
      <c r="P58" s="4"/>
      <c r="Q58" s="4">
        <f t="shared" si="2"/>
        <v>0</v>
      </c>
      <c r="R58" s="279">
        <v>1.9</v>
      </c>
      <c r="S58" s="310"/>
      <c r="T58" s="310"/>
      <c r="U58" s="4"/>
      <c r="V58" s="4">
        <f t="shared" si="3"/>
        <v>0</v>
      </c>
      <c r="W58" s="279">
        <v>0.63</v>
      </c>
      <c r="X58" s="310"/>
      <c r="Y58" s="310"/>
      <c r="Z58" s="4"/>
      <c r="AA58" s="4">
        <f t="shared" si="4"/>
        <v>0</v>
      </c>
      <c r="AB58" s="279">
        <v>0.68</v>
      </c>
      <c r="AC58" s="310"/>
      <c r="AD58" s="310"/>
      <c r="AE58" s="4"/>
      <c r="AF58" s="4">
        <f t="shared" si="5"/>
        <v>0</v>
      </c>
      <c r="AG58" s="279">
        <v>0.55000000000000004</v>
      </c>
      <c r="AH58" s="310"/>
      <c r="AI58" s="310"/>
      <c r="AJ58" s="4"/>
      <c r="AK58" s="4">
        <f t="shared" si="6"/>
        <v>0</v>
      </c>
      <c r="AL58" s="279">
        <v>0.56000000000000005</v>
      </c>
      <c r="AM58" s="310"/>
      <c r="AN58" s="310"/>
      <c r="AO58" s="4"/>
      <c r="AP58" s="4">
        <f t="shared" si="7"/>
        <v>0</v>
      </c>
    </row>
    <row r="59" spans="1:42" ht="15.75" customHeight="1" x14ac:dyDescent="0.25">
      <c r="A59" s="277"/>
      <c r="B59" s="278" t="s">
        <v>392</v>
      </c>
      <c r="C59" s="279">
        <v>2.39</v>
      </c>
      <c r="D59" s="310"/>
      <c r="E59" s="310"/>
      <c r="F59" s="4"/>
      <c r="G59" s="4">
        <f t="shared" si="0"/>
        <v>0</v>
      </c>
      <c r="H59" s="279">
        <v>1.88</v>
      </c>
      <c r="I59" s="310"/>
      <c r="J59" s="310"/>
      <c r="K59" s="4"/>
      <c r="L59" s="4">
        <f t="shared" si="1"/>
        <v>0</v>
      </c>
      <c r="M59" s="279">
        <v>1.33</v>
      </c>
      <c r="N59" s="310"/>
      <c r="O59" s="310"/>
      <c r="P59" s="4"/>
      <c r="Q59" s="4">
        <f t="shared" si="2"/>
        <v>0</v>
      </c>
      <c r="R59" s="279">
        <v>2.33</v>
      </c>
      <c r="S59" s="310"/>
      <c r="T59" s="310"/>
      <c r="U59" s="4"/>
      <c r="V59" s="4">
        <f t="shared" si="3"/>
        <v>0</v>
      </c>
      <c r="W59" s="279">
        <v>0.76</v>
      </c>
      <c r="X59" s="310"/>
      <c r="Y59" s="310"/>
      <c r="Z59" s="4"/>
      <c r="AA59" s="4">
        <f t="shared" si="4"/>
        <v>0</v>
      </c>
      <c r="AB59" s="279">
        <v>0.87</v>
      </c>
      <c r="AC59" s="310"/>
      <c r="AD59" s="310"/>
      <c r="AE59" s="4"/>
      <c r="AF59" s="4">
        <f t="shared" si="5"/>
        <v>0</v>
      </c>
      <c r="AG59" s="279">
        <v>0.67</v>
      </c>
      <c r="AH59" s="310"/>
      <c r="AI59" s="310"/>
      <c r="AJ59" s="4"/>
      <c r="AK59" s="4">
        <f t="shared" si="6"/>
        <v>0</v>
      </c>
      <c r="AL59" s="279">
        <v>0.72</v>
      </c>
      <c r="AM59" s="310"/>
      <c r="AN59" s="310"/>
      <c r="AO59" s="4"/>
      <c r="AP59" s="4">
        <f t="shared" si="7"/>
        <v>0</v>
      </c>
    </row>
    <row r="60" spans="1:42" ht="15.75" customHeight="1" x14ac:dyDescent="0.25">
      <c r="A60" s="277"/>
      <c r="B60" s="278" t="s">
        <v>393</v>
      </c>
      <c r="C60" s="279">
        <v>2.41</v>
      </c>
      <c r="D60" s="310"/>
      <c r="E60" s="310"/>
      <c r="F60" s="4"/>
      <c r="G60" s="4">
        <f t="shared" si="0"/>
        <v>0</v>
      </c>
      <c r="H60" s="279">
        <v>1.9</v>
      </c>
      <c r="I60" s="310"/>
      <c r="J60" s="310"/>
      <c r="K60" s="4"/>
      <c r="L60" s="4">
        <f t="shared" si="1"/>
        <v>0</v>
      </c>
      <c r="M60" s="279">
        <v>1.34</v>
      </c>
      <c r="N60" s="310"/>
      <c r="O60" s="310"/>
      <c r="P60" s="4"/>
      <c r="Q60" s="4">
        <f t="shared" si="2"/>
        <v>0</v>
      </c>
      <c r="R60" s="279">
        <v>2.36</v>
      </c>
      <c r="S60" s="310"/>
      <c r="T60" s="310"/>
      <c r="U60" s="4"/>
      <c r="V60" s="4">
        <f t="shared" si="3"/>
        <v>0</v>
      </c>
      <c r="W60" s="279">
        <v>0.76</v>
      </c>
      <c r="X60" s="310"/>
      <c r="Y60" s="310"/>
      <c r="Z60" s="4"/>
      <c r="AA60" s="4">
        <f t="shared" si="4"/>
        <v>0</v>
      </c>
      <c r="AB60" s="279">
        <v>0.88</v>
      </c>
      <c r="AC60" s="310"/>
      <c r="AD60" s="310"/>
      <c r="AE60" s="4"/>
      <c r="AF60" s="4">
        <f t="shared" si="5"/>
        <v>0</v>
      </c>
      <c r="AG60" s="279">
        <v>0.68</v>
      </c>
      <c r="AH60" s="310"/>
      <c r="AI60" s="310"/>
      <c r="AJ60" s="4"/>
      <c r="AK60" s="4">
        <f t="shared" si="6"/>
        <v>0</v>
      </c>
      <c r="AL60" s="279">
        <v>0.74</v>
      </c>
      <c r="AM60" s="310"/>
      <c r="AN60" s="310"/>
      <c r="AO60" s="4"/>
      <c r="AP60" s="4">
        <f t="shared" si="7"/>
        <v>0</v>
      </c>
    </row>
    <row r="61" spans="1:42" ht="15.75" customHeight="1" x14ac:dyDescent="0.25">
      <c r="A61" s="277"/>
      <c r="B61" s="278" t="s">
        <v>394</v>
      </c>
      <c r="C61" s="279">
        <v>2.41</v>
      </c>
      <c r="D61" s="310"/>
      <c r="E61" s="310"/>
      <c r="F61" s="4"/>
      <c r="G61" s="4">
        <f t="shared" si="0"/>
        <v>0</v>
      </c>
      <c r="H61" s="279">
        <v>1.9</v>
      </c>
      <c r="I61" s="310"/>
      <c r="J61" s="310"/>
      <c r="K61" s="4"/>
      <c r="L61" s="4">
        <f t="shared" si="1"/>
        <v>0</v>
      </c>
      <c r="M61" s="279">
        <v>1.34</v>
      </c>
      <c r="N61" s="310"/>
      <c r="O61" s="310"/>
      <c r="P61" s="4"/>
      <c r="Q61" s="4">
        <f t="shared" si="2"/>
        <v>0</v>
      </c>
      <c r="R61" s="279">
        <v>2.36</v>
      </c>
      <c r="S61" s="310"/>
      <c r="T61" s="310"/>
      <c r="U61" s="4"/>
      <c r="V61" s="4">
        <f t="shared" si="3"/>
        <v>0</v>
      </c>
      <c r="W61" s="279">
        <v>0.76</v>
      </c>
      <c r="X61" s="310"/>
      <c r="Y61" s="310"/>
      <c r="Z61" s="4"/>
      <c r="AA61" s="4">
        <f t="shared" si="4"/>
        <v>0</v>
      </c>
      <c r="AB61" s="279">
        <v>0.88</v>
      </c>
      <c r="AC61" s="310"/>
      <c r="AD61" s="310"/>
      <c r="AE61" s="4"/>
      <c r="AF61" s="4">
        <f t="shared" si="5"/>
        <v>0</v>
      </c>
      <c r="AG61" s="279">
        <v>0.68</v>
      </c>
      <c r="AH61" s="310"/>
      <c r="AI61" s="310"/>
      <c r="AJ61" s="4"/>
      <c r="AK61" s="4">
        <f t="shared" si="6"/>
        <v>0</v>
      </c>
      <c r="AL61" s="279">
        <v>0.73</v>
      </c>
      <c r="AM61" s="310"/>
      <c r="AN61" s="310"/>
      <c r="AO61" s="4"/>
      <c r="AP61" s="4">
        <f t="shared" si="7"/>
        <v>0</v>
      </c>
    </row>
    <row r="62" spans="1:42" ht="15.75" customHeight="1" x14ac:dyDescent="0.25">
      <c r="A62" s="277"/>
      <c r="B62" s="278" t="s">
        <v>395</v>
      </c>
      <c r="C62" s="279">
        <v>2.5</v>
      </c>
      <c r="D62" s="310"/>
      <c r="E62" s="310"/>
      <c r="F62" s="4"/>
      <c r="G62" s="4">
        <f t="shared" si="0"/>
        <v>0</v>
      </c>
      <c r="H62" s="279">
        <v>1.97</v>
      </c>
      <c r="I62" s="310"/>
      <c r="J62" s="310"/>
      <c r="K62" s="4"/>
      <c r="L62" s="4">
        <f t="shared" si="1"/>
        <v>0</v>
      </c>
      <c r="M62" s="279">
        <v>1.38</v>
      </c>
      <c r="N62" s="310"/>
      <c r="O62" s="310"/>
      <c r="P62" s="4"/>
      <c r="Q62" s="4">
        <f t="shared" si="2"/>
        <v>0</v>
      </c>
      <c r="R62" s="279">
        <v>2.46</v>
      </c>
      <c r="S62" s="310"/>
      <c r="T62" s="310"/>
      <c r="U62" s="4"/>
      <c r="V62" s="4">
        <f t="shared" si="3"/>
        <v>0</v>
      </c>
      <c r="W62" s="279">
        <v>0.79</v>
      </c>
      <c r="X62" s="310"/>
      <c r="Y62" s="310"/>
      <c r="Z62" s="4"/>
      <c r="AA62" s="4">
        <f t="shared" si="4"/>
        <v>0</v>
      </c>
      <c r="AB62" s="279">
        <v>0.93</v>
      </c>
      <c r="AC62" s="310"/>
      <c r="AD62" s="310"/>
      <c r="AE62" s="4"/>
      <c r="AF62" s="4">
        <f t="shared" si="5"/>
        <v>0</v>
      </c>
      <c r="AG62" s="279">
        <v>0.71</v>
      </c>
      <c r="AH62" s="310"/>
      <c r="AI62" s="310"/>
      <c r="AJ62" s="4"/>
      <c r="AK62" s="4">
        <f t="shared" si="6"/>
        <v>0</v>
      </c>
      <c r="AL62" s="279">
        <v>0.77</v>
      </c>
      <c r="AM62" s="310"/>
      <c r="AN62" s="310"/>
      <c r="AO62" s="4"/>
      <c r="AP62" s="4">
        <f t="shared" si="7"/>
        <v>0</v>
      </c>
    </row>
    <row r="63" spans="1:42" ht="15.75" customHeight="1" x14ac:dyDescent="0.25">
      <c r="A63" s="277"/>
      <c r="B63" s="278" t="s">
        <v>396</v>
      </c>
      <c r="C63" s="279">
        <v>2.9</v>
      </c>
      <c r="D63" s="310"/>
      <c r="E63" s="310"/>
      <c r="F63" s="4"/>
      <c r="G63" s="4">
        <f t="shared" si="0"/>
        <v>0</v>
      </c>
      <c r="H63" s="279">
        <v>2.29</v>
      </c>
      <c r="I63" s="310"/>
      <c r="J63" s="310"/>
      <c r="K63" s="4"/>
      <c r="L63" s="4">
        <f t="shared" si="1"/>
        <v>0</v>
      </c>
      <c r="M63" s="279">
        <v>1.63</v>
      </c>
      <c r="N63" s="310"/>
      <c r="O63" s="310"/>
      <c r="P63" s="4"/>
      <c r="Q63" s="4">
        <f t="shared" si="2"/>
        <v>0</v>
      </c>
      <c r="R63" s="279">
        <v>3.02</v>
      </c>
      <c r="S63" s="310"/>
      <c r="T63" s="310"/>
      <c r="U63" s="4"/>
      <c r="V63" s="4">
        <f t="shared" si="3"/>
        <v>0</v>
      </c>
      <c r="W63" s="279">
        <v>0.96</v>
      </c>
      <c r="X63" s="310"/>
      <c r="Y63" s="310"/>
      <c r="Z63" s="4"/>
      <c r="AA63" s="4">
        <f t="shared" si="4"/>
        <v>0</v>
      </c>
      <c r="AB63" s="279">
        <v>1.18</v>
      </c>
      <c r="AC63" s="310"/>
      <c r="AD63" s="310"/>
      <c r="AE63" s="4"/>
      <c r="AF63" s="4">
        <f t="shared" si="5"/>
        <v>0</v>
      </c>
      <c r="AG63" s="279">
        <v>0.88</v>
      </c>
      <c r="AH63" s="310"/>
      <c r="AI63" s="310"/>
      <c r="AJ63" s="4"/>
      <c r="AK63" s="4">
        <f t="shared" si="6"/>
        <v>0</v>
      </c>
      <c r="AL63" s="279">
        <v>0.99</v>
      </c>
      <c r="AM63" s="310"/>
      <c r="AN63" s="310"/>
      <c r="AO63" s="4"/>
      <c r="AP63" s="4">
        <f t="shared" si="7"/>
        <v>0</v>
      </c>
    </row>
    <row r="64" spans="1:42" ht="15.75" x14ac:dyDescent="0.25">
      <c r="A64" s="4">
        <v>7</v>
      </c>
      <c r="B64" s="280" t="s">
        <v>294</v>
      </c>
      <c r="C64" s="279"/>
      <c r="D64" s="310"/>
      <c r="E64" s="310"/>
      <c r="F64" s="4"/>
      <c r="G64" s="4">
        <f t="shared" si="0"/>
        <v>0</v>
      </c>
      <c r="H64" s="279"/>
      <c r="I64" s="310"/>
      <c r="J64" s="310"/>
      <c r="K64" s="4"/>
      <c r="L64" s="4">
        <f t="shared" si="1"/>
        <v>0</v>
      </c>
      <c r="M64" s="279"/>
      <c r="N64" s="310"/>
      <c r="O64" s="310"/>
      <c r="P64" s="4"/>
      <c r="Q64" s="4">
        <f t="shared" si="2"/>
        <v>0</v>
      </c>
      <c r="R64" s="279"/>
      <c r="S64" s="310"/>
      <c r="T64" s="310"/>
      <c r="U64" s="4"/>
      <c r="V64" s="4">
        <f t="shared" si="3"/>
        <v>0</v>
      </c>
      <c r="W64" s="279"/>
      <c r="X64" s="310"/>
      <c r="Y64" s="310"/>
      <c r="Z64" s="4"/>
      <c r="AA64" s="4">
        <f t="shared" si="4"/>
        <v>0</v>
      </c>
      <c r="AB64" s="279"/>
      <c r="AC64" s="310"/>
      <c r="AD64" s="310"/>
      <c r="AE64" s="4"/>
      <c r="AF64" s="4">
        <f t="shared" si="5"/>
        <v>0</v>
      </c>
      <c r="AG64" s="279"/>
      <c r="AH64" s="310"/>
      <c r="AI64" s="310"/>
      <c r="AJ64" s="4"/>
      <c r="AK64" s="4">
        <f t="shared" si="6"/>
        <v>0</v>
      </c>
      <c r="AL64" s="279"/>
      <c r="AM64" s="310"/>
      <c r="AN64" s="310"/>
      <c r="AO64" s="4"/>
      <c r="AP64" s="4">
        <f t="shared" si="7"/>
        <v>0</v>
      </c>
    </row>
    <row r="65" spans="1:42" ht="15.75" customHeight="1" x14ac:dyDescent="0.25">
      <c r="A65" s="277"/>
      <c r="B65" s="278" t="s">
        <v>401</v>
      </c>
      <c r="C65" s="279">
        <v>0.37</v>
      </c>
      <c r="D65" s="309">
        <f>MAX(C65:C82)</f>
        <v>4.49</v>
      </c>
      <c r="E65" s="310">
        <f>MIN(C65:C82)</f>
        <v>0.37</v>
      </c>
      <c r="F65" s="4"/>
      <c r="G65" s="4">
        <f t="shared" si="0"/>
        <v>0</v>
      </c>
      <c r="H65" s="279">
        <v>0.4</v>
      </c>
      <c r="I65" s="309">
        <f>MAX(H65:H82)</f>
        <v>5.07</v>
      </c>
      <c r="J65" s="310">
        <f>MIN(H65:H82)</f>
        <v>0.4</v>
      </c>
      <c r="K65" s="4"/>
      <c r="L65" s="4">
        <f t="shared" si="1"/>
        <v>0</v>
      </c>
      <c r="M65" s="279">
        <v>0.55000000000000004</v>
      </c>
      <c r="N65" s="309">
        <f>MAX(M65:M82)</f>
        <v>5.07</v>
      </c>
      <c r="O65" s="310">
        <f>MIN(M65:M82)</f>
        <v>0.55000000000000004</v>
      </c>
      <c r="P65" s="4"/>
      <c r="Q65" s="4">
        <f t="shared" si="2"/>
        <v>0</v>
      </c>
      <c r="R65" s="279">
        <v>0.34</v>
      </c>
      <c r="S65" s="309">
        <f>MAX(R65:R82)</f>
        <v>5.19</v>
      </c>
      <c r="T65" s="310">
        <f>MIN(R65:R82)</f>
        <v>0.34</v>
      </c>
      <c r="U65" s="4"/>
      <c r="V65" s="4">
        <f t="shared" si="3"/>
        <v>0</v>
      </c>
      <c r="W65" s="279">
        <v>0.18</v>
      </c>
      <c r="X65" s="309">
        <f>MAX(W65:W82)</f>
        <v>1.53</v>
      </c>
      <c r="Y65" s="310">
        <f>MIN(W65:W82)</f>
        <v>0.18</v>
      </c>
      <c r="Z65" s="4"/>
      <c r="AA65" s="4">
        <f t="shared" si="4"/>
        <v>0</v>
      </c>
      <c r="AB65" s="279">
        <v>0.43</v>
      </c>
      <c r="AC65" s="309">
        <f>MAX(AB65:AB82)</f>
        <v>3.7</v>
      </c>
      <c r="AD65" s="310">
        <f>MIN(AB65:AB82)</f>
        <v>0.43</v>
      </c>
      <c r="AE65" s="4"/>
      <c r="AF65" s="4">
        <f t="shared" si="5"/>
        <v>0</v>
      </c>
      <c r="AG65" s="279">
        <v>0.39</v>
      </c>
      <c r="AH65" s="309">
        <f>MAX(AG65:AG82)</f>
        <v>3.55</v>
      </c>
      <c r="AI65" s="310">
        <f>MIN(AG65:AG82)</f>
        <v>0.39</v>
      </c>
      <c r="AJ65" s="4"/>
      <c r="AK65" s="4">
        <f t="shared" si="6"/>
        <v>0</v>
      </c>
      <c r="AL65" s="279">
        <v>0.3</v>
      </c>
      <c r="AM65" s="309">
        <f>MAX(AL65:AL82)</f>
        <v>3.63</v>
      </c>
      <c r="AN65" s="310">
        <f>MIN(AL65:AL82)</f>
        <v>0.3</v>
      </c>
      <c r="AO65" s="4"/>
      <c r="AP65" s="4">
        <f t="shared" si="7"/>
        <v>0</v>
      </c>
    </row>
    <row r="66" spans="1:42" ht="15.75" customHeight="1" x14ac:dyDescent="0.25">
      <c r="A66" s="277"/>
      <c r="B66" s="278" t="s">
        <v>397</v>
      </c>
      <c r="C66" s="279">
        <v>0.68</v>
      </c>
      <c r="D66" s="310"/>
      <c r="E66" s="310"/>
      <c r="F66" s="4"/>
      <c r="G66" s="4">
        <f t="shared" si="0"/>
        <v>0</v>
      </c>
      <c r="H66" s="279">
        <v>0.76</v>
      </c>
      <c r="I66" s="310"/>
      <c r="J66" s="310"/>
      <c r="K66" s="4"/>
      <c r="L66" s="4">
        <f t="shared" si="1"/>
        <v>0</v>
      </c>
      <c r="M66" s="279">
        <v>0.89</v>
      </c>
      <c r="N66" s="310"/>
      <c r="O66" s="310"/>
      <c r="P66" s="4"/>
      <c r="Q66" s="4">
        <f t="shared" si="2"/>
        <v>0</v>
      </c>
      <c r="R66" s="279">
        <v>0.71</v>
      </c>
      <c r="S66" s="310"/>
      <c r="T66" s="310"/>
      <c r="U66" s="4"/>
      <c r="V66" s="4">
        <f t="shared" si="3"/>
        <v>0</v>
      </c>
      <c r="W66" s="279">
        <v>0.28000000000000003</v>
      </c>
      <c r="X66" s="310"/>
      <c r="Y66" s="310"/>
      <c r="Z66" s="4"/>
      <c r="AA66" s="4">
        <f t="shared" si="4"/>
        <v>0</v>
      </c>
      <c r="AB66" s="279">
        <v>0.68</v>
      </c>
      <c r="AC66" s="310"/>
      <c r="AD66" s="310"/>
      <c r="AE66" s="4"/>
      <c r="AF66" s="4">
        <f t="shared" si="5"/>
        <v>0</v>
      </c>
      <c r="AG66" s="279">
        <v>0.64</v>
      </c>
      <c r="AH66" s="310"/>
      <c r="AI66" s="310"/>
      <c r="AJ66" s="4"/>
      <c r="AK66" s="4">
        <f t="shared" si="6"/>
        <v>0</v>
      </c>
      <c r="AL66" s="279">
        <v>0.55000000000000004</v>
      </c>
      <c r="AM66" s="310"/>
      <c r="AN66" s="310"/>
      <c r="AO66" s="4"/>
      <c r="AP66" s="4">
        <f t="shared" si="7"/>
        <v>0</v>
      </c>
    </row>
    <row r="67" spans="1:42" ht="15.75" customHeight="1" x14ac:dyDescent="0.25">
      <c r="A67" s="277"/>
      <c r="B67" s="278" t="s">
        <v>398</v>
      </c>
      <c r="C67" s="279">
        <v>0.94</v>
      </c>
      <c r="D67" s="310"/>
      <c r="E67" s="310"/>
      <c r="F67" s="4"/>
      <c r="G67" s="4">
        <f t="shared" si="0"/>
        <v>0</v>
      </c>
      <c r="H67" s="279">
        <v>1.05</v>
      </c>
      <c r="I67" s="310"/>
      <c r="J67" s="310"/>
      <c r="K67" s="4"/>
      <c r="L67" s="4">
        <f t="shared" ref="L67:L126" si="8">$H67*K67/100</f>
        <v>0</v>
      </c>
      <c r="M67" s="279">
        <v>1.18</v>
      </c>
      <c r="N67" s="310"/>
      <c r="O67" s="310"/>
      <c r="P67" s="4"/>
      <c r="Q67" s="4">
        <f t="shared" ref="Q67:Q126" si="9">$M67*P67/100</f>
        <v>0</v>
      </c>
      <c r="R67" s="279">
        <v>1.01</v>
      </c>
      <c r="S67" s="310"/>
      <c r="T67" s="310"/>
      <c r="U67" s="4"/>
      <c r="V67" s="4">
        <f t="shared" ref="V67:V126" si="10">$R67*U67/100</f>
        <v>0</v>
      </c>
      <c r="W67" s="279">
        <v>0.36</v>
      </c>
      <c r="X67" s="310"/>
      <c r="Y67" s="310"/>
      <c r="Z67" s="4"/>
      <c r="AA67" s="4">
        <f t="shared" ref="AA67:AA126" si="11">$W67*Z67/100</f>
        <v>0</v>
      </c>
      <c r="AB67" s="279">
        <v>0.88</v>
      </c>
      <c r="AC67" s="310"/>
      <c r="AD67" s="310"/>
      <c r="AE67" s="4"/>
      <c r="AF67" s="4">
        <f t="shared" ref="AF67:AF126" si="12">$AB67*AE67/100</f>
        <v>0</v>
      </c>
      <c r="AG67" s="279">
        <v>0.83</v>
      </c>
      <c r="AH67" s="310"/>
      <c r="AI67" s="310"/>
      <c r="AJ67" s="4"/>
      <c r="AK67" s="4">
        <f t="shared" ref="AK67:AK126" si="13">$AG67*AJ67/100</f>
        <v>0</v>
      </c>
      <c r="AL67" s="279">
        <v>0.76</v>
      </c>
      <c r="AM67" s="310"/>
      <c r="AN67" s="310"/>
      <c r="AO67" s="4"/>
      <c r="AP67" s="4">
        <f t="shared" ref="AP67:AP126" si="14">$AL67*AO67/100</f>
        <v>0</v>
      </c>
    </row>
    <row r="68" spans="1:42" ht="15.75" customHeight="1" x14ac:dyDescent="0.25">
      <c r="A68" s="277"/>
      <c r="B68" s="278" t="s">
        <v>399</v>
      </c>
      <c r="C68" s="279">
        <v>1.0900000000000001</v>
      </c>
      <c r="D68" s="310"/>
      <c r="E68" s="310"/>
      <c r="F68" s="4"/>
      <c r="G68" s="4">
        <f t="shared" si="0"/>
        <v>0</v>
      </c>
      <c r="H68" s="279">
        <v>1.22</v>
      </c>
      <c r="I68" s="310"/>
      <c r="J68" s="310"/>
      <c r="K68" s="4"/>
      <c r="L68" s="4">
        <f t="shared" si="8"/>
        <v>0</v>
      </c>
      <c r="M68" s="279">
        <v>1.34</v>
      </c>
      <c r="N68" s="310"/>
      <c r="O68" s="310"/>
      <c r="P68" s="4"/>
      <c r="Q68" s="4">
        <f t="shared" si="9"/>
        <v>0</v>
      </c>
      <c r="R68" s="279">
        <v>1.19</v>
      </c>
      <c r="S68" s="310"/>
      <c r="T68" s="310"/>
      <c r="U68" s="4"/>
      <c r="V68" s="4">
        <f t="shared" si="10"/>
        <v>0</v>
      </c>
      <c r="W68" s="279">
        <v>0.41</v>
      </c>
      <c r="X68" s="310"/>
      <c r="Y68" s="310"/>
      <c r="Z68" s="4"/>
      <c r="AA68" s="4">
        <f t="shared" si="11"/>
        <v>0</v>
      </c>
      <c r="AB68" s="279">
        <v>1</v>
      </c>
      <c r="AC68" s="310"/>
      <c r="AD68" s="310"/>
      <c r="AE68" s="4"/>
      <c r="AF68" s="4">
        <f t="shared" si="12"/>
        <v>0</v>
      </c>
      <c r="AG68" s="279">
        <v>0.94</v>
      </c>
      <c r="AH68" s="310"/>
      <c r="AI68" s="310"/>
      <c r="AJ68" s="4"/>
      <c r="AK68" s="4">
        <f t="shared" si="13"/>
        <v>0</v>
      </c>
      <c r="AL68" s="279">
        <v>0.88</v>
      </c>
      <c r="AM68" s="310"/>
      <c r="AN68" s="310"/>
      <c r="AO68" s="4"/>
      <c r="AP68" s="4">
        <f t="shared" si="14"/>
        <v>0</v>
      </c>
    </row>
    <row r="69" spans="1:42" ht="15.75" customHeight="1" x14ac:dyDescent="0.25">
      <c r="A69" s="277"/>
      <c r="B69" s="278" t="s">
        <v>400</v>
      </c>
      <c r="C69" s="279">
        <v>1.22</v>
      </c>
      <c r="D69" s="310"/>
      <c r="E69" s="310"/>
      <c r="F69" s="4"/>
      <c r="G69" s="4">
        <f t="shared" si="0"/>
        <v>0</v>
      </c>
      <c r="H69" s="279">
        <v>1.37</v>
      </c>
      <c r="I69" s="310"/>
      <c r="J69" s="310"/>
      <c r="K69" s="4"/>
      <c r="L69" s="4">
        <f t="shared" si="8"/>
        <v>0</v>
      </c>
      <c r="M69" s="279">
        <v>1.48</v>
      </c>
      <c r="N69" s="310"/>
      <c r="O69" s="310"/>
      <c r="P69" s="4"/>
      <c r="Q69" s="4">
        <f t="shared" si="9"/>
        <v>0</v>
      </c>
      <c r="R69" s="279">
        <v>1.34</v>
      </c>
      <c r="S69" s="310"/>
      <c r="T69" s="310"/>
      <c r="U69" s="4"/>
      <c r="V69" s="4">
        <f t="shared" si="10"/>
        <v>0</v>
      </c>
      <c r="W69" s="279">
        <v>0.46</v>
      </c>
      <c r="X69" s="310"/>
      <c r="Y69" s="310"/>
      <c r="Z69" s="4"/>
      <c r="AA69" s="4">
        <f t="shared" si="11"/>
        <v>0</v>
      </c>
      <c r="AB69" s="279">
        <v>1.1100000000000001</v>
      </c>
      <c r="AC69" s="310"/>
      <c r="AD69" s="310"/>
      <c r="AE69" s="4"/>
      <c r="AF69" s="4">
        <f t="shared" si="12"/>
        <v>0</v>
      </c>
      <c r="AG69" s="279">
        <v>1.05</v>
      </c>
      <c r="AH69" s="310"/>
      <c r="AI69" s="310"/>
      <c r="AJ69" s="4"/>
      <c r="AK69" s="4">
        <f t="shared" si="13"/>
        <v>0</v>
      </c>
      <c r="AL69" s="279">
        <v>0.99</v>
      </c>
      <c r="AM69" s="310"/>
      <c r="AN69" s="310"/>
      <c r="AO69" s="4"/>
      <c r="AP69" s="4">
        <f t="shared" si="14"/>
        <v>0</v>
      </c>
    </row>
    <row r="70" spans="1:42" ht="15.75" customHeight="1" x14ac:dyDescent="0.25">
      <c r="A70" s="277"/>
      <c r="B70" s="278" t="s">
        <v>483</v>
      </c>
      <c r="C70" s="279">
        <v>1.86</v>
      </c>
      <c r="D70" s="310"/>
      <c r="E70" s="310"/>
      <c r="F70" s="4"/>
      <c r="G70" s="4">
        <f t="shared" si="0"/>
        <v>0</v>
      </c>
      <c r="H70" s="279">
        <v>2.09</v>
      </c>
      <c r="I70" s="310"/>
      <c r="J70" s="310"/>
      <c r="K70" s="4"/>
      <c r="L70" s="4">
        <f t="shared" si="8"/>
        <v>0</v>
      </c>
      <c r="M70" s="279">
        <v>2.1800000000000002</v>
      </c>
      <c r="N70" s="310"/>
      <c r="O70" s="310"/>
      <c r="P70" s="4"/>
      <c r="Q70" s="4">
        <f t="shared" si="9"/>
        <v>0</v>
      </c>
      <c r="R70" s="279">
        <v>2.1</v>
      </c>
      <c r="S70" s="310"/>
      <c r="T70" s="310"/>
      <c r="U70" s="4"/>
      <c r="V70" s="4">
        <f t="shared" si="10"/>
        <v>0</v>
      </c>
      <c r="W70" s="279">
        <v>0.67</v>
      </c>
      <c r="X70" s="310"/>
      <c r="Y70" s="310"/>
      <c r="Z70" s="4"/>
      <c r="AA70" s="4">
        <f t="shared" si="11"/>
        <v>0</v>
      </c>
      <c r="AB70" s="279">
        <v>1.61</v>
      </c>
      <c r="AC70" s="310"/>
      <c r="AD70" s="310"/>
      <c r="AE70" s="4"/>
      <c r="AF70" s="4">
        <f t="shared" si="12"/>
        <v>0</v>
      </c>
      <c r="AG70" s="279">
        <v>1.54</v>
      </c>
      <c r="AH70" s="310"/>
      <c r="AI70" s="310"/>
      <c r="AJ70" s="4"/>
      <c r="AK70" s="4">
        <f t="shared" si="13"/>
        <v>0</v>
      </c>
      <c r="AL70" s="279">
        <v>1.51</v>
      </c>
      <c r="AM70" s="310"/>
      <c r="AN70" s="310"/>
      <c r="AO70" s="4"/>
      <c r="AP70" s="4">
        <f t="shared" si="14"/>
        <v>0</v>
      </c>
    </row>
    <row r="71" spans="1:42" ht="15.75" customHeight="1" x14ac:dyDescent="0.25">
      <c r="A71" s="277"/>
      <c r="B71" s="278" t="s">
        <v>484</v>
      </c>
      <c r="C71" s="279">
        <v>1.64</v>
      </c>
      <c r="D71" s="310"/>
      <c r="E71" s="310"/>
      <c r="F71" s="4"/>
      <c r="G71" s="4">
        <f t="shared" si="0"/>
        <v>0</v>
      </c>
      <c r="H71" s="279">
        <v>1.83</v>
      </c>
      <c r="I71" s="310"/>
      <c r="J71" s="310"/>
      <c r="K71" s="4"/>
      <c r="L71" s="4">
        <f t="shared" si="8"/>
        <v>0</v>
      </c>
      <c r="M71" s="279">
        <v>1.87</v>
      </c>
      <c r="N71" s="310"/>
      <c r="O71" s="310"/>
      <c r="P71" s="4"/>
      <c r="Q71" s="4">
        <f t="shared" si="9"/>
        <v>0</v>
      </c>
      <c r="R71" s="279">
        <v>1.76</v>
      </c>
      <c r="S71" s="310"/>
      <c r="T71" s="310"/>
      <c r="U71" s="4"/>
      <c r="V71" s="4">
        <f t="shared" si="10"/>
        <v>0</v>
      </c>
      <c r="W71" s="279">
        <v>0.56999999999999995</v>
      </c>
      <c r="X71" s="310"/>
      <c r="Y71" s="310"/>
      <c r="Z71" s="4"/>
      <c r="AA71" s="4">
        <f t="shared" si="11"/>
        <v>0</v>
      </c>
      <c r="AB71" s="279">
        <v>1.39</v>
      </c>
      <c r="AC71" s="310"/>
      <c r="AD71" s="310"/>
      <c r="AE71" s="4"/>
      <c r="AF71" s="4">
        <f t="shared" si="12"/>
        <v>0</v>
      </c>
      <c r="AG71" s="279">
        <v>1.32</v>
      </c>
      <c r="AH71" s="310"/>
      <c r="AI71" s="310"/>
      <c r="AJ71" s="4"/>
      <c r="AK71" s="4">
        <f t="shared" si="13"/>
        <v>0</v>
      </c>
      <c r="AL71" s="279">
        <v>1.27</v>
      </c>
      <c r="AM71" s="310"/>
      <c r="AN71" s="310"/>
      <c r="AO71" s="4"/>
      <c r="AP71" s="4">
        <f t="shared" si="14"/>
        <v>0</v>
      </c>
    </row>
    <row r="72" spans="1:42" ht="15.75" customHeight="1" x14ac:dyDescent="0.25">
      <c r="A72" s="277"/>
      <c r="B72" s="278" t="s">
        <v>524</v>
      </c>
      <c r="C72" s="279">
        <v>2.25</v>
      </c>
      <c r="D72" s="310"/>
      <c r="E72" s="310"/>
      <c r="F72" s="4"/>
      <c r="G72" s="4">
        <f>$C72*F72/100</f>
        <v>0</v>
      </c>
      <c r="H72" s="279">
        <v>2.5299999999999998</v>
      </c>
      <c r="I72" s="310"/>
      <c r="J72" s="310"/>
      <c r="K72" s="4"/>
      <c r="L72" s="4">
        <f t="shared" si="8"/>
        <v>0</v>
      </c>
      <c r="M72" s="279">
        <v>2.61</v>
      </c>
      <c r="N72" s="310"/>
      <c r="O72" s="310"/>
      <c r="P72" s="4"/>
      <c r="Q72" s="4">
        <f t="shared" si="9"/>
        <v>0</v>
      </c>
      <c r="R72" s="279">
        <v>2.5499999999999998</v>
      </c>
      <c r="S72" s="310"/>
      <c r="T72" s="310"/>
      <c r="U72" s="4"/>
      <c r="V72" s="4">
        <f t="shared" si="10"/>
        <v>0</v>
      </c>
      <c r="W72" s="279">
        <v>0.8</v>
      </c>
      <c r="X72" s="310"/>
      <c r="Y72" s="310"/>
      <c r="Z72" s="4"/>
      <c r="AA72" s="4">
        <f t="shared" si="11"/>
        <v>0</v>
      </c>
      <c r="AB72" s="279">
        <v>1.92</v>
      </c>
      <c r="AC72" s="310"/>
      <c r="AD72" s="310"/>
      <c r="AE72" s="4"/>
      <c r="AF72" s="4">
        <f t="shared" si="12"/>
        <v>0</v>
      </c>
      <c r="AG72" s="279">
        <v>1.83</v>
      </c>
      <c r="AH72" s="310"/>
      <c r="AI72" s="310"/>
      <c r="AJ72" s="4"/>
      <c r="AK72" s="4">
        <f t="shared" si="13"/>
        <v>0</v>
      </c>
      <c r="AL72" s="279">
        <v>1.82</v>
      </c>
      <c r="AM72" s="310"/>
      <c r="AN72" s="310"/>
      <c r="AO72" s="4"/>
      <c r="AP72" s="4">
        <f t="shared" si="14"/>
        <v>0</v>
      </c>
    </row>
    <row r="73" spans="1:42" ht="15.75" customHeight="1" x14ac:dyDescent="0.25">
      <c r="A73" s="277"/>
      <c r="B73" s="278" t="s">
        <v>525</v>
      </c>
      <c r="C73" s="279">
        <v>1.96</v>
      </c>
      <c r="D73" s="310"/>
      <c r="E73" s="310"/>
      <c r="F73" s="4"/>
      <c r="G73" s="4">
        <f>$C73*F73/100</f>
        <v>0</v>
      </c>
      <c r="H73" s="279">
        <v>2.2000000000000002</v>
      </c>
      <c r="I73" s="310"/>
      <c r="J73" s="310"/>
      <c r="K73" s="4"/>
      <c r="L73" s="4">
        <f t="shared" si="8"/>
        <v>0</v>
      </c>
      <c r="M73" s="279">
        <v>2.29</v>
      </c>
      <c r="N73" s="310"/>
      <c r="O73" s="310"/>
      <c r="P73" s="4"/>
      <c r="Q73" s="4">
        <f t="shared" si="9"/>
        <v>0</v>
      </c>
      <c r="R73" s="279">
        <v>2.21</v>
      </c>
      <c r="S73" s="310"/>
      <c r="T73" s="310"/>
      <c r="U73" s="4"/>
      <c r="V73" s="4">
        <f t="shared" si="10"/>
        <v>0</v>
      </c>
      <c r="W73" s="279">
        <v>0.7</v>
      </c>
      <c r="X73" s="310"/>
      <c r="Y73" s="310"/>
      <c r="Z73" s="4"/>
      <c r="AA73" s="4">
        <f t="shared" si="11"/>
        <v>0</v>
      </c>
      <c r="AB73" s="279">
        <v>1.69</v>
      </c>
      <c r="AC73" s="310"/>
      <c r="AD73" s="310"/>
      <c r="AE73" s="4"/>
      <c r="AF73" s="4">
        <f t="shared" si="12"/>
        <v>0</v>
      </c>
      <c r="AG73" s="279">
        <v>1.61</v>
      </c>
      <c r="AH73" s="310"/>
      <c r="AI73" s="310"/>
      <c r="AJ73" s="4"/>
      <c r="AK73" s="4">
        <f t="shared" si="13"/>
        <v>0</v>
      </c>
      <c r="AL73" s="279">
        <v>1.58</v>
      </c>
      <c r="AM73" s="310"/>
      <c r="AN73" s="310"/>
      <c r="AO73" s="4"/>
      <c r="AP73" s="4">
        <f t="shared" si="14"/>
        <v>0</v>
      </c>
    </row>
    <row r="74" spans="1:42" ht="15.75" customHeight="1" x14ac:dyDescent="0.25">
      <c r="A74" s="277"/>
      <c r="B74" s="278" t="s">
        <v>526</v>
      </c>
      <c r="C74" s="279">
        <v>2.33</v>
      </c>
      <c r="D74" s="310"/>
      <c r="E74" s="310"/>
      <c r="F74" s="4"/>
      <c r="G74" s="4">
        <f>$C74*F74/100</f>
        <v>0</v>
      </c>
      <c r="H74" s="279">
        <v>2.63</v>
      </c>
      <c r="I74" s="310"/>
      <c r="J74" s="310"/>
      <c r="K74" s="4"/>
      <c r="L74" s="4">
        <f t="shared" si="8"/>
        <v>0</v>
      </c>
      <c r="M74" s="279">
        <v>2.7</v>
      </c>
      <c r="N74" s="310"/>
      <c r="O74" s="310"/>
      <c r="P74" s="4"/>
      <c r="Q74" s="4">
        <f t="shared" si="9"/>
        <v>0</v>
      </c>
      <c r="R74" s="279">
        <v>2.65</v>
      </c>
      <c r="S74" s="310"/>
      <c r="T74" s="310"/>
      <c r="U74" s="4"/>
      <c r="V74" s="4">
        <f t="shared" si="10"/>
        <v>0</v>
      </c>
      <c r="W74" s="279">
        <v>0.82</v>
      </c>
      <c r="X74" s="310"/>
      <c r="Y74" s="310"/>
      <c r="Z74" s="4"/>
      <c r="AA74" s="4">
        <f t="shared" si="11"/>
        <v>0</v>
      </c>
      <c r="AB74" s="279">
        <v>1.99</v>
      </c>
      <c r="AC74" s="310"/>
      <c r="AD74" s="310"/>
      <c r="AE74" s="4"/>
      <c r="AF74" s="4">
        <f t="shared" si="12"/>
        <v>0</v>
      </c>
      <c r="AG74" s="279">
        <v>1.9</v>
      </c>
      <c r="AH74" s="310"/>
      <c r="AI74" s="310"/>
      <c r="AJ74" s="4"/>
      <c r="AK74" s="4">
        <f t="shared" si="13"/>
        <v>0</v>
      </c>
      <c r="AL74" s="279">
        <v>1.89</v>
      </c>
      <c r="AM74" s="310"/>
      <c r="AN74" s="310"/>
      <c r="AO74" s="4"/>
      <c r="AP74" s="4">
        <f t="shared" si="14"/>
        <v>0</v>
      </c>
    </row>
    <row r="75" spans="1:42" s="298" customFormat="1" ht="15.75" customHeight="1" x14ac:dyDescent="0.25">
      <c r="A75" s="277"/>
      <c r="B75" s="278" t="s">
        <v>527</v>
      </c>
      <c r="C75" s="296">
        <v>2.7</v>
      </c>
      <c r="D75" s="310"/>
      <c r="E75" s="310"/>
      <c r="F75" s="297"/>
      <c r="G75" s="297">
        <f>$C75*F75/100</f>
        <v>0</v>
      </c>
      <c r="H75" s="296">
        <v>3.05</v>
      </c>
      <c r="I75" s="310"/>
      <c r="J75" s="310"/>
      <c r="K75" s="297"/>
      <c r="L75" s="297">
        <f t="shared" si="8"/>
        <v>0</v>
      </c>
      <c r="M75" s="296">
        <v>3.11</v>
      </c>
      <c r="N75" s="310"/>
      <c r="O75" s="310"/>
      <c r="P75" s="297"/>
      <c r="Q75" s="297">
        <f t="shared" si="9"/>
        <v>0</v>
      </c>
      <c r="R75" s="296">
        <v>3.09</v>
      </c>
      <c r="S75" s="310"/>
      <c r="T75" s="310"/>
      <c r="U75" s="297"/>
      <c r="V75" s="297">
        <f t="shared" si="10"/>
        <v>0</v>
      </c>
      <c r="W75" s="296">
        <v>0.95</v>
      </c>
      <c r="X75" s="310"/>
      <c r="Y75" s="310"/>
      <c r="Z75" s="297"/>
      <c r="AA75" s="297">
        <f t="shared" si="11"/>
        <v>0</v>
      </c>
      <c r="AB75" s="296">
        <v>2.2799999999999998</v>
      </c>
      <c r="AC75" s="310"/>
      <c r="AD75" s="310"/>
      <c r="AE75" s="297"/>
      <c r="AF75" s="297">
        <f t="shared" si="12"/>
        <v>0</v>
      </c>
      <c r="AG75" s="296">
        <v>2.1800000000000002</v>
      </c>
      <c r="AH75" s="310"/>
      <c r="AI75" s="310"/>
      <c r="AJ75" s="297"/>
      <c r="AK75" s="297">
        <f t="shared" si="13"/>
        <v>0</v>
      </c>
      <c r="AL75" s="296">
        <v>2.19</v>
      </c>
      <c r="AM75" s="310"/>
      <c r="AN75" s="310"/>
      <c r="AO75" s="297"/>
      <c r="AP75" s="297">
        <f t="shared" si="14"/>
        <v>0</v>
      </c>
    </row>
    <row r="76" spans="1:42" s="298" customFormat="1" ht="15.75" customHeight="1" x14ac:dyDescent="0.25">
      <c r="A76" s="277"/>
      <c r="B76" s="278" t="s">
        <v>528</v>
      </c>
      <c r="C76" s="296">
        <v>3.79</v>
      </c>
      <c r="D76" s="310"/>
      <c r="E76" s="310"/>
      <c r="F76" s="297"/>
      <c r="G76" s="297">
        <f t="shared" si="0"/>
        <v>0</v>
      </c>
      <c r="H76" s="296">
        <v>4.28</v>
      </c>
      <c r="I76" s="310"/>
      <c r="J76" s="310"/>
      <c r="K76" s="297"/>
      <c r="L76" s="297">
        <f t="shared" si="8"/>
        <v>0</v>
      </c>
      <c r="M76" s="296">
        <v>4.3</v>
      </c>
      <c r="N76" s="310"/>
      <c r="O76" s="310"/>
      <c r="P76" s="297"/>
      <c r="Q76" s="297">
        <f t="shared" si="9"/>
        <v>0</v>
      </c>
      <c r="R76" s="296">
        <v>4.37</v>
      </c>
      <c r="S76" s="310"/>
      <c r="T76" s="310"/>
      <c r="U76" s="297"/>
      <c r="V76" s="297">
        <f t="shared" si="10"/>
        <v>0</v>
      </c>
      <c r="W76" s="296">
        <v>1.3</v>
      </c>
      <c r="X76" s="310"/>
      <c r="Y76" s="310"/>
      <c r="Z76" s="297"/>
      <c r="AA76" s="297">
        <f t="shared" si="11"/>
        <v>0</v>
      </c>
      <c r="AB76" s="296">
        <v>3.14</v>
      </c>
      <c r="AC76" s="310"/>
      <c r="AD76" s="310"/>
      <c r="AE76" s="297"/>
      <c r="AF76" s="297">
        <f t="shared" si="12"/>
        <v>0</v>
      </c>
      <c r="AG76" s="296">
        <v>3.01</v>
      </c>
      <c r="AH76" s="310"/>
      <c r="AI76" s="310"/>
      <c r="AJ76" s="297"/>
      <c r="AK76" s="297">
        <f t="shared" si="13"/>
        <v>0</v>
      </c>
      <c r="AL76" s="296">
        <v>3.07</v>
      </c>
      <c r="AM76" s="310"/>
      <c r="AN76" s="310"/>
      <c r="AO76" s="297"/>
      <c r="AP76" s="297">
        <f t="shared" si="14"/>
        <v>0</v>
      </c>
    </row>
    <row r="77" spans="1:42" ht="15.75" customHeight="1" x14ac:dyDescent="0.25">
      <c r="A77" s="277"/>
      <c r="B77" s="278" t="s">
        <v>529</v>
      </c>
      <c r="C77" s="279">
        <v>1.99</v>
      </c>
      <c r="D77" s="310"/>
      <c r="E77" s="310"/>
      <c r="F77" s="4"/>
      <c r="G77" s="4">
        <f t="shared" si="0"/>
        <v>0</v>
      </c>
      <c r="H77" s="279">
        <v>2.2400000000000002</v>
      </c>
      <c r="I77" s="310"/>
      <c r="J77" s="310"/>
      <c r="K77" s="4"/>
      <c r="L77" s="4">
        <f t="shared" si="8"/>
        <v>0</v>
      </c>
      <c r="M77" s="279">
        <v>2.33</v>
      </c>
      <c r="N77" s="310"/>
      <c r="O77" s="310"/>
      <c r="P77" s="4"/>
      <c r="Q77" s="4">
        <f t="shared" si="9"/>
        <v>0</v>
      </c>
      <c r="R77" s="279">
        <v>2.25</v>
      </c>
      <c r="S77" s="310"/>
      <c r="T77" s="310"/>
      <c r="U77" s="4"/>
      <c r="V77" s="4">
        <f t="shared" si="10"/>
        <v>0</v>
      </c>
      <c r="W77" s="279">
        <v>0.71</v>
      </c>
      <c r="X77" s="310"/>
      <c r="Y77" s="310"/>
      <c r="Z77" s="4"/>
      <c r="AA77" s="4">
        <f t="shared" si="11"/>
        <v>0</v>
      </c>
      <c r="AB77" s="279">
        <v>1.72</v>
      </c>
      <c r="AC77" s="310"/>
      <c r="AD77" s="310"/>
      <c r="AE77" s="4"/>
      <c r="AF77" s="4">
        <f t="shared" si="12"/>
        <v>0</v>
      </c>
      <c r="AG77" s="279">
        <v>1.64</v>
      </c>
      <c r="AH77" s="310"/>
      <c r="AI77" s="310"/>
      <c r="AJ77" s="4"/>
      <c r="AK77" s="4">
        <f t="shared" si="13"/>
        <v>0</v>
      </c>
      <c r="AL77" s="279">
        <v>1.61</v>
      </c>
      <c r="AM77" s="310"/>
      <c r="AN77" s="310"/>
      <c r="AO77" s="4"/>
      <c r="AP77" s="4">
        <f t="shared" si="14"/>
        <v>0</v>
      </c>
    </row>
    <row r="78" spans="1:42" ht="15.75" customHeight="1" x14ac:dyDescent="0.25">
      <c r="A78" s="277"/>
      <c r="B78" s="278" t="s">
        <v>530</v>
      </c>
      <c r="C78" s="279">
        <v>4.49</v>
      </c>
      <c r="D78" s="310"/>
      <c r="E78" s="310"/>
      <c r="F78" s="4"/>
      <c r="G78" s="4">
        <f t="shared" si="0"/>
        <v>0</v>
      </c>
      <c r="H78" s="279">
        <v>5.07</v>
      </c>
      <c r="I78" s="310"/>
      <c r="J78" s="310"/>
      <c r="K78" s="4"/>
      <c r="L78" s="4">
        <f t="shared" si="8"/>
        <v>0</v>
      </c>
      <c r="M78" s="279">
        <v>5.07</v>
      </c>
      <c r="N78" s="310"/>
      <c r="O78" s="310"/>
      <c r="P78" s="4"/>
      <c r="Q78" s="4">
        <f t="shared" si="9"/>
        <v>0</v>
      </c>
      <c r="R78" s="279">
        <v>5.19</v>
      </c>
      <c r="S78" s="310"/>
      <c r="T78" s="310"/>
      <c r="U78" s="4"/>
      <c r="V78" s="4">
        <f t="shared" si="10"/>
        <v>0</v>
      </c>
      <c r="W78" s="279">
        <v>1.53</v>
      </c>
      <c r="X78" s="310"/>
      <c r="Y78" s="310"/>
      <c r="Z78" s="4"/>
      <c r="AA78" s="4">
        <f t="shared" si="11"/>
        <v>0</v>
      </c>
      <c r="AB78" s="279">
        <v>3.7</v>
      </c>
      <c r="AC78" s="310"/>
      <c r="AD78" s="310"/>
      <c r="AE78" s="4"/>
      <c r="AF78" s="4">
        <f t="shared" si="12"/>
        <v>0</v>
      </c>
      <c r="AG78" s="279">
        <v>3.55</v>
      </c>
      <c r="AH78" s="310"/>
      <c r="AI78" s="310"/>
      <c r="AJ78" s="4"/>
      <c r="AK78" s="4">
        <f t="shared" si="13"/>
        <v>0</v>
      </c>
      <c r="AL78" s="279">
        <v>3.63</v>
      </c>
      <c r="AM78" s="310"/>
      <c r="AN78" s="310"/>
      <c r="AO78" s="4"/>
      <c r="AP78" s="4">
        <f t="shared" si="14"/>
        <v>0</v>
      </c>
    </row>
    <row r="79" spans="1:42" ht="15.75" customHeight="1" x14ac:dyDescent="0.25">
      <c r="A79" s="277"/>
      <c r="B79" s="278" t="s">
        <v>531</v>
      </c>
      <c r="C79" s="279">
        <v>3.07</v>
      </c>
      <c r="D79" s="310"/>
      <c r="E79" s="310"/>
      <c r="F79" s="4"/>
      <c r="G79" s="4">
        <f t="shared" si="0"/>
        <v>0</v>
      </c>
      <c r="H79" s="279">
        <v>3.46</v>
      </c>
      <c r="I79" s="310"/>
      <c r="J79" s="310"/>
      <c r="K79" s="4"/>
      <c r="L79" s="4">
        <f t="shared" si="8"/>
        <v>0</v>
      </c>
      <c r="M79" s="279">
        <v>3.51</v>
      </c>
      <c r="N79" s="310"/>
      <c r="O79" s="310"/>
      <c r="P79" s="4"/>
      <c r="Q79" s="4">
        <f t="shared" si="9"/>
        <v>0</v>
      </c>
      <c r="R79" s="279">
        <v>3.52</v>
      </c>
      <c r="S79" s="310"/>
      <c r="T79" s="310"/>
      <c r="U79" s="4"/>
      <c r="V79" s="4">
        <f t="shared" si="10"/>
        <v>0</v>
      </c>
      <c r="W79" s="279">
        <v>1.07</v>
      </c>
      <c r="X79" s="310"/>
      <c r="Y79" s="310"/>
      <c r="Z79" s="4"/>
      <c r="AA79" s="4">
        <f t="shared" si="11"/>
        <v>0</v>
      </c>
      <c r="AB79" s="279">
        <v>2.58</v>
      </c>
      <c r="AC79" s="310"/>
      <c r="AD79" s="310"/>
      <c r="AE79" s="4"/>
      <c r="AF79" s="4">
        <f t="shared" si="12"/>
        <v>0</v>
      </c>
      <c r="AG79" s="279">
        <v>2.46</v>
      </c>
      <c r="AH79" s="310"/>
      <c r="AI79" s="310"/>
      <c r="AJ79" s="4"/>
      <c r="AK79" s="4">
        <f t="shared" si="13"/>
        <v>0</v>
      </c>
      <c r="AL79" s="279">
        <v>2.4900000000000002</v>
      </c>
      <c r="AM79" s="310"/>
      <c r="AN79" s="310"/>
      <c r="AO79" s="4"/>
      <c r="AP79" s="4">
        <f t="shared" si="14"/>
        <v>0</v>
      </c>
    </row>
    <row r="80" spans="1:42" ht="15.75" customHeight="1" x14ac:dyDescent="0.25">
      <c r="A80" s="277"/>
      <c r="B80" s="278" t="s">
        <v>532</v>
      </c>
      <c r="C80" s="279">
        <v>1.99</v>
      </c>
      <c r="D80" s="310"/>
      <c r="E80" s="310"/>
      <c r="F80" s="4"/>
      <c r="G80" s="4">
        <f t="shared" si="0"/>
        <v>0</v>
      </c>
      <c r="H80" s="279">
        <v>2.25</v>
      </c>
      <c r="I80" s="310"/>
      <c r="J80" s="310"/>
      <c r="K80" s="4"/>
      <c r="L80" s="4">
        <f t="shared" si="8"/>
        <v>0</v>
      </c>
      <c r="M80" s="279">
        <v>2.33</v>
      </c>
      <c r="N80" s="310"/>
      <c r="O80" s="310"/>
      <c r="P80" s="4"/>
      <c r="Q80" s="4">
        <f t="shared" si="9"/>
        <v>0</v>
      </c>
      <c r="R80" s="279">
        <v>2.25</v>
      </c>
      <c r="S80" s="310"/>
      <c r="T80" s="310"/>
      <c r="U80" s="4"/>
      <c r="V80" s="4">
        <f t="shared" si="10"/>
        <v>0</v>
      </c>
      <c r="W80" s="279">
        <v>0.71</v>
      </c>
      <c r="X80" s="310"/>
      <c r="Y80" s="310"/>
      <c r="Z80" s="4"/>
      <c r="AA80" s="4">
        <f t="shared" si="11"/>
        <v>0</v>
      </c>
      <c r="AB80" s="279">
        <v>1.72</v>
      </c>
      <c r="AC80" s="310"/>
      <c r="AD80" s="310"/>
      <c r="AE80" s="4"/>
      <c r="AF80" s="4">
        <f t="shared" si="12"/>
        <v>0</v>
      </c>
      <c r="AG80" s="279">
        <v>1.64</v>
      </c>
      <c r="AH80" s="310"/>
      <c r="AI80" s="310"/>
      <c r="AJ80" s="4"/>
      <c r="AK80" s="4">
        <f t="shared" si="13"/>
        <v>0</v>
      </c>
      <c r="AL80" s="279">
        <v>1.61</v>
      </c>
      <c r="AM80" s="310"/>
      <c r="AN80" s="310"/>
      <c r="AO80" s="4"/>
      <c r="AP80" s="4">
        <f t="shared" si="14"/>
        <v>0</v>
      </c>
    </row>
    <row r="81" spans="1:42" ht="15.75" customHeight="1" x14ac:dyDescent="0.25">
      <c r="A81" s="277"/>
      <c r="B81" s="278" t="s">
        <v>533</v>
      </c>
      <c r="C81" s="279">
        <v>1.7</v>
      </c>
      <c r="D81" s="310"/>
      <c r="E81" s="310"/>
      <c r="F81" s="4"/>
      <c r="G81" s="4">
        <f t="shared" si="0"/>
        <v>0</v>
      </c>
      <c r="H81" s="279">
        <v>1.91</v>
      </c>
      <c r="I81" s="310"/>
      <c r="J81" s="310"/>
      <c r="K81" s="4"/>
      <c r="L81" s="4">
        <f t="shared" si="8"/>
        <v>0</v>
      </c>
      <c r="M81" s="279">
        <v>2.0099999999999998</v>
      </c>
      <c r="N81" s="310"/>
      <c r="O81" s="310"/>
      <c r="P81" s="4"/>
      <c r="Q81" s="4">
        <f t="shared" si="9"/>
        <v>0</v>
      </c>
      <c r="R81" s="279">
        <v>1.91</v>
      </c>
      <c r="S81" s="310"/>
      <c r="T81" s="310"/>
      <c r="U81" s="4"/>
      <c r="V81" s="4">
        <f t="shared" si="10"/>
        <v>0</v>
      </c>
      <c r="W81" s="279">
        <v>0.62</v>
      </c>
      <c r="X81" s="310"/>
      <c r="Y81" s="310"/>
      <c r="Z81" s="4"/>
      <c r="AA81" s="4">
        <f t="shared" si="11"/>
        <v>0</v>
      </c>
      <c r="AB81" s="279">
        <v>1.49</v>
      </c>
      <c r="AC81" s="310"/>
      <c r="AD81" s="310"/>
      <c r="AE81" s="4"/>
      <c r="AF81" s="4">
        <f t="shared" si="12"/>
        <v>0</v>
      </c>
      <c r="AG81" s="279">
        <v>1.41</v>
      </c>
      <c r="AH81" s="310"/>
      <c r="AI81" s="310"/>
      <c r="AJ81" s="4"/>
      <c r="AK81" s="4">
        <f t="shared" si="13"/>
        <v>0</v>
      </c>
      <c r="AL81" s="279">
        <v>1.38</v>
      </c>
      <c r="AM81" s="310"/>
      <c r="AN81" s="310"/>
      <c r="AO81" s="4"/>
      <c r="AP81" s="4">
        <f t="shared" si="14"/>
        <v>0</v>
      </c>
    </row>
    <row r="82" spans="1:42" ht="15.75" customHeight="1" x14ac:dyDescent="0.25">
      <c r="A82" s="277"/>
      <c r="B82" s="278" t="s">
        <v>534</v>
      </c>
      <c r="C82" s="279">
        <v>2.86</v>
      </c>
      <c r="D82" s="310"/>
      <c r="E82" s="310"/>
      <c r="F82" s="4"/>
      <c r="G82" s="4">
        <f t="shared" si="0"/>
        <v>0</v>
      </c>
      <c r="H82" s="279">
        <v>3.23</v>
      </c>
      <c r="I82" s="310"/>
      <c r="J82" s="310"/>
      <c r="K82" s="4"/>
      <c r="L82" s="4">
        <f t="shared" si="8"/>
        <v>0</v>
      </c>
      <c r="M82" s="279">
        <v>3.28</v>
      </c>
      <c r="N82" s="310"/>
      <c r="O82" s="310"/>
      <c r="P82" s="4"/>
      <c r="Q82" s="4">
        <f t="shared" si="9"/>
        <v>0</v>
      </c>
      <c r="R82" s="279">
        <v>3.28</v>
      </c>
      <c r="S82" s="310"/>
      <c r="T82" s="310"/>
      <c r="U82" s="4"/>
      <c r="V82" s="4">
        <f t="shared" si="10"/>
        <v>0</v>
      </c>
      <c r="W82" s="279">
        <v>1</v>
      </c>
      <c r="X82" s="310"/>
      <c r="Y82" s="310"/>
      <c r="Z82" s="4"/>
      <c r="AA82" s="4">
        <f t="shared" si="11"/>
        <v>0</v>
      </c>
      <c r="AB82" s="279">
        <v>2.41</v>
      </c>
      <c r="AC82" s="310"/>
      <c r="AD82" s="310"/>
      <c r="AE82" s="4"/>
      <c r="AF82" s="4">
        <f t="shared" si="12"/>
        <v>0</v>
      </c>
      <c r="AG82" s="279">
        <v>2.2999999999999998</v>
      </c>
      <c r="AH82" s="310"/>
      <c r="AI82" s="310"/>
      <c r="AJ82" s="4"/>
      <c r="AK82" s="4">
        <f t="shared" si="13"/>
        <v>0</v>
      </c>
      <c r="AL82" s="279">
        <v>2.3199999999999998</v>
      </c>
      <c r="AM82" s="310"/>
      <c r="AN82" s="310"/>
      <c r="AO82" s="4"/>
      <c r="AP82" s="4">
        <f t="shared" si="14"/>
        <v>0</v>
      </c>
    </row>
    <row r="83" spans="1:42" ht="15.75" x14ac:dyDescent="0.25">
      <c r="A83" s="4">
        <v>8</v>
      </c>
      <c r="B83" s="280" t="s">
        <v>405</v>
      </c>
      <c r="C83" s="279"/>
      <c r="D83" s="310"/>
      <c r="E83" s="310"/>
      <c r="F83" s="4"/>
      <c r="G83" s="4">
        <f t="shared" si="0"/>
        <v>0</v>
      </c>
      <c r="H83" s="279"/>
      <c r="I83" s="310"/>
      <c r="J83" s="310"/>
      <c r="K83" s="4"/>
      <c r="L83" s="4">
        <f t="shared" si="8"/>
        <v>0</v>
      </c>
      <c r="M83" s="279"/>
      <c r="N83" s="310"/>
      <c r="O83" s="310"/>
      <c r="P83" s="4"/>
      <c r="Q83" s="4">
        <f t="shared" si="9"/>
        <v>0</v>
      </c>
      <c r="R83" s="279"/>
      <c r="S83" s="310"/>
      <c r="T83" s="310"/>
      <c r="U83" s="4"/>
      <c r="V83" s="4">
        <f t="shared" si="10"/>
        <v>0</v>
      </c>
      <c r="W83" s="279"/>
      <c r="X83" s="310"/>
      <c r="Y83" s="310"/>
      <c r="Z83" s="4"/>
      <c r="AA83" s="4">
        <f t="shared" si="11"/>
        <v>0</v>
      </c>
      <c r="AB83" s="279"/>
      <c r="AC83" s="310"/>
      <c r="AD83" s="310"/>
      <c r="AE83" s="4"/>
      <c r="AF83" s="4">
        <f t="shared" si="12"/>
        <v>0</v>
      </c>
      <c r="AG83" s="279"/>
      <c r="AH83" s="310"/>
      <c r="AI83" s="310"/>
      <c r="AJ83" s="4"/>
      <c r="AK83" s="4">
        <f t="shared" si="13"/>
        <v>0</v>
      </c>
      <c r="AL83" s="279"/>
      <c r="AM83" s="310"/>
      <c r="AN83" s="310"/>
      <c r="AO83" s="4"/>
      <c r="AP83" s="4">
        <f t="shared" si="14"/>
        <v>0</v>
      </c>
    </row>
    <row r="84" spans="1:42" ht="15.75" x14ac:dyDescent="0.25">
      <c r="A84" s="4"/>
      <c r="B84" s="280" t="s">
        <v>406</v>
      </c>
      <c r="C84" s="279"/>
      <c r="D84" s="310"/>
      <c r="E84" s="310"/>
      <c r="F84" s="4"/>
      <c r="G84" s="4">
        <f t="shared" si="0"/>
        <v>0</v>
      </c>
      <c r="H84" s="279"/>
      <c r="I84" s="310"/>
      <c r="J84" s="310"/>
      <c r="K84" s="4"/>
      <c r="L84" s="4">
        <f t="shared" si="8"/>
        <v>0</v>
      </c>
      <c r="M84" s="279"/>
      <c r="N84" s="310"/>
      <c r="O84" s="310"/>
      <c r="P84" s="4"/>
      <c r="Q84" s="4">
        <f t="shared" si="9"/>
        <v>0</v>
      </c>
      <c r="R84" s="279"/>
      <c r="S84" s="310"/>
      <c r="T84" s="310"/>
      <c r="U84" s="4"/>
      <c r="V84" s="4">
        <f t="shared" si="10"/>
        <v>0</v>
      </c>
      <c r="W84" s="279"/>
      <c r="X84" s="310"/>
      <c r="Y84" s="310"/>
      <c r="Z84" s="4"/>
      <c r="AA84" s="4">
        <f t="shared" si="11"/>
        <v>0</v>
      </c>
      <c r="AB84" s="279"/>
      <c r="AC84" s="310"/>
      <c r="AD84" s="310"/>
      <c r="AE84" s="4"/>
      <c r="AF84" s="4">
        <f t="shared" si="12"/>
        <v>0</v>
      </c>
      <c r="AG84" s="279"/>
      <c r="AH84" s="310"/>
      <c r="AI84" s="310"/>
      <c r="AJ84" s="4"/>
      <c r="AK84" s="4">
        <f t="shared" si="13"/>
        <v>0</v>
      </c>
      <c r="AL84" s="279"/>
      <c r="AM84" s="310"/>
      <c r="AN84" s="310"/>
      <c r="AO84" s="4"/>
      <c r="AP84" s="4">
        <f t="shared" si="14"/>
        <v>0</v>
      </c>
    </row>
    <row r="85" spans="1:42" ht="15.75" x14ac:dyDescent="0.25">
      <c r="A85" s="277"/>
      <c r="B85" s="278" t="s">
        <v>417</v>
      </c>
      <c r="C85" s="279">
        <v>1.18</v>
      </c>
      <c r="D85" s="309">
        <f>MAX(C85:C101)</f>
        <v>11.23</v>
      </c>
      <c r="E85" s="310">
        <f>MIN(C85:C101)</f>
        <v>0.52</v>
      </c>
      <c r="F85" s="4"/>
      <c r="G85" s="4">
        <f t="shared" si="0"/>
        <v>0</v>
      </c>
      <c r="H85" s="279">
        <v>0.9</v>
      </c>
      <c r="I85" s="309">
        <f>MAX(H85:H101)</f>
        <v>8.56</v>
      </c>
      <c r="J85" s="310">
        <f>MIN(H85:H101)</f>
        <v>0.4</v>
      </c>
      <c r="K85" s="4"/>
      <c r="L85" s="4">
        <f t="shared" si="8"/>
        <v>0</v>
      </c>
      <c r="M85" s="279">
        <v>0.98</v>
      </c>
      <c r="N85" s="309">
        <f>MAX(M85:M101)</f>
        <v>9.31</v>
      </c>
      <c r="O85" s="310">
        <f>MIN(M85:M101)</f>
        <v>0.43</v>
      </c>
      <c r="P85" s="4"/>
      <c r="Q85" s="4">
        <f t="shared" si="9"/>
        <v>0</v>
      </c>
      <c r="R85" s="279">
        <v>0.7</v>
      </c>
      <c r="S85" s="309">
        <f>MAX(R85:R101)</f>
        <v>6.64</v>
      </c>
      <c r="T85" s="310">
        <f>MIN(R85:R101)</f>
        <v>0.31</v>
      </c>
      <c r="U85" s="4"/>
      <c r="V85" s="4">
        <f t="shared" si="10"/>
        <v>0</v>
      </c>
      <c r="W85" s="279">
        <v>0.33</v>
      </c>
      <c r="X85" s="309">
        <f>MAX(W85:W101)</f>
        <v>3.12</v>
      </c>
      <c r="Y85" s="310">
        <f>MIN(W85:W101)</f>
        <v>0.15</v>
      </c>
      <c r="Z85" s="4"/>
      <c r="AA85" s="4">
        <f t="shared" si="11"/>
        <v>0</v>
      </c>
      <c r="AB85" s="279">
        <v>0.65</v>
      </c>
      <c r="AC85" s="309">
        <f>MAX(AB85:AB101)</f>
        <v>3.1</v>
      </c>
      <c r="AD85" s="310">
        <f>MIN(AB85:AB101)</f>
        <v>0.49</v>
      </c>
      <c r="AE85" s="4"/>
      <c r="AF85" s="4">
        <f t="shared" si="12"/>
        <v>0</v>
      </c>
      <c r="AG85" s="279">
        <v>0.8</v>
      </c>
      <c r="AH85" s="309">
        <f>MAX(AG85:AG101)</f>
        <v>7.64</v>
      </c>
      <c r="AI85" s="310">
        <f>MIN(AG85:AG101)</f>
        <v>0.36</v>
      </c>
      <c r="AJ85" s="4"/>
      <c r="AK85" s="4">
        <f t="shared" si="13"/>
        <v>0</v>
      </c>
      <c r="AL85" s="279">
        <v>1.25</v>
      </c>
      <c r="AM85" s="309">
        <f>MAX(AL85:AL101)</f>
        <v>11.87</v>
      </c>
      <c r="AN85" s="310">
        <f>MIN(AL85:AL101)</f>
        <v>0.55000000000000004</v>
      </c>
      <c r="AO85" s="4"/>
      <c r="AP85" s="4">
        <f t="shared" si="14"/>
        <v>0</v>
      </c>
    </row>
    <row r="86" spans="1:42" ht="15.75" x14ac:dyDescent="0.25">
      <c r="A86" s="277"/>
      <c r="B86" s="278" t="s">
        <v>418</v>
      </c>
      <c r="C86" s="279">
        <v>1.59</v>
      </c>
      <c r="D86" s="310"/>
      <c r="E86" s="310"/>
      <c r="F86" s="4"/>
      <c r="G86" s="4">
        <f t="shared" si="0"/>
        <v>0</v>
      </c>
      <c r="H86" s="279">
        <v>1.21</v>
      </c>
      <c r="I86" s="310"/>
      <c r="J86" s="310"/>
      <c r="K86" s="4"/>
      <c r="L86" s="4">
        <f t="shared" si="8"/>
        <v>0</v>
      </c>
      <c r="M86" s="279">
        <v>1.32</v>
      </c>
      <c r="N86" s="310"/>
      <c r="O86" s="310"/>
      <c r="P86" s="4"/>
      <c r="Q86" s="4">
        <f t="shared" si="9"/>
        <v>0</v>
      </c>
      <c r="R86" s="279">
        <v>0.94</v>
      </c>
      <c r="S86" s="310"/>
      <c r="T86" s="310"/>
      <c r="U86" s="4"/>
      <c r="V86" s="4">
        <f t="shared" si="10"/>
        <v>0</v>
      </c>
      <c r="W86" s="279">
        <v>0.44</v>
      </c>
      <c r="X86" s="310"/>
      <c r="Y86" s="310"/>
      <c r="Z86" s="4"/>
      <c r="AA86" s="4">
        <f t="shared" si="11"/>
        <v>0</v>
      </c>
      <c r="AB86" s="279">
        <v>0.75</v>
      </c>
      <c r="AC86" s="310"/>
      <c r="AD86" s="310"/>
      <c r="AE86" s="4"/>
      <c r="AF86" s="4">
        <f t="shared" si="12"/>
        <v>0</v>
      </c>
      <c r="AG86" s="279">
        <v>1.08</v>
      </c>
      <c r="AH86" s="310"/>
      <c r="AI86" s="310"/>
      <c r="AJ86" s="4"/>
      <c r="AK86" s="4">
        <f t="shared" si="13"/>
        <v>0</v>
      </c>
      <c r="AL86" s="279">
        <v>1.68</v>
      </c>
      <c r="AM86" s="310"/>
      <c r="AN86" s="310"/>
      <c r="AO86" s="4"/>
      <c r="AP86" s="4">
        <f t="shared" si="14"/>
        <v>0</v>
      </c>
    </row>
    <row r="87" spans="1:42" ht="15.75" x14ac:dyDescent="0.25">
      <c r="A87" s="277"/>
      <c r="B87" s="278" t="s">
        <v>419</v>
      </c>
      <c r="C87" s="279">
        <v>0.52</v>
      </c>
      <c r="D87" s="310"/>
      <c r="E87" s="310"/>
      <c r="F87" s="4"/>
      <c r="G87" s="4">
        <f t="shared" si="0"/>
        <v>0</v>
      </c>
      <c r="H87" s="279">
        <v>0.4</v>
      </c>
      <c r="I87" s="310"/>
      <c r="J87" s="310"/>
      <c r="K87" s="4"/>
      <c r="L87" s="4">
        <f t="shared" si="8"/>
        <v>0</v>
      </c>
      <c r="M87" s="279">
        <v>0.43</v>
      </c>
      <c r="N87" s="310"/>
      <c r="O87" s="310"/>
      <c r="P87" s="4"/>
      <c r="Q87" s="4">
        <f t="shared" si="9"/>
        <v>0</v>
      </c>
      <c r="R87" s="279">
        <v>0.31</v>
      </c>
      <c r="S87" s="310"/>
      <c r="T87" s="310"/>
      <c r="U87" s="4"/>
      <c r="V87" s="4">
        <f t="shared" si="10"/>
        <v>0</v>
      </c>
      <c r="W87" s="279">
        <v>0.15</v>
      </c>
      <c r="X87" s="310"/>
      <c r="Y87" s="310"/>
      <c r="Z87" s="4"/>
      <c r="AA87" s="4">
        <f t="shared" si="11"/>
        <v>0</v>
      </c>
      <c r="AB87" s="279">
        <v>0.49</v>
      </c>
      <c r="AC87" s="310"/>
      <c r="AD87" s="310"/>
      <c r="AE87" s="4"/>
      <c r="AF87" s="4">
        <f t="shared" si="12"/>
        <v>0</v>
      </c>
      <c r="AG87" s="279">
        <v>0.36</v>
      </c>
      <c r="AH87" s="310"/>
      <c r="AI87" s="310"/>
      <c r="AJ87" s="4"/>
      <c r="AK87" s="4">
        <f t="shared" si="13"/>
        <v>0</v>
      </c>
      <c r="AL87" s="279">
        <v>0.55000000000000004</v>
      </c>
      <c r="AM87" s="310"/>
      <c r="AN87" s="310"/>
      <c r="AO87" s="4"/>
      <c r="AP87" s="4">
        <f t="shared" si="14"/>
        <v>0</v>
      </c>
    </row>
    <row r="88" spans="1:42" ht="15.75" x14ac:dyDescent="0.25">
      <c r="A88" s="277"/>
      <c r="B88" s="278" t="s">
        <v>420</v>
      </c>
      <c r="C88" s="279">
        <v>0.67</v>
      </c>
      <c r="D88" s="310"/>
      <c r="E88" s="310"/>
      <c r="F88" s="4"/>
      <c r="G88" s="4">
        <f t="shared" si="0"/>
        <v>0</v>
      </c>
      <c r="H88" s="279">
        <v>0.51</v>
      </c>
      <c r="I88" s="310"/>
      <c r="J88" s="310"/>
      <c r="K88" s="4"/>
      <c r="L88" s="4">
        <f t="shared" si="8"/>
        <v>0</v>
      </c>
      <c r="M88" s="279">
        <v>0.56000000000000005</v>
      </c>
      <c r="N88" s="310"/>
      <c r="O88" s="310"/>
      <c r="P88" s="4"/>
      <c r="Q88" s="4">
        <f t="shared" si="9"/>
        <v>0</v>
      </c>
      <c r="R88" s="279">
        <v>0.4</v>
      </c>
      <c r="S88" s="310"/>
      <c r="T88" s="310"/>
      <c r="U88" s="4"/>
      <c r="V88" s="4">
        <f t="shared" si="10"/>
        <v>0</v>
      </c>
      <c r="W88" s="279">
        <v>0.19</v>
      </c>
      <c r="X88" s="310"/>
      <c r="Y88" s="310"/>
      <c r="Z88" s="4"/>
      <c r="AA88" s="4">
        <f t="shared" si="11"/>
        <v>0</v>
      </c>
      <c r="AB88" s="279">
        <v>0.52</v>
      </c>
      <c r="AC88" s="310"/>
      <c r="AD88" s="310"/>
      <c r="AE88" s="4"/>
      <c r="AF88" s="4">
        <f t="shared" si="12"/>
        <v>0</v>
      </c>
      <c r="AG88" s="279">
        <v>0.46</v>
      </c>
      <c r="AH88" s="310"/>
      <c r="AI88" s="310"/>
      <c r="AJ88" s="4"/>
      <c r="AK88" s="4">
        <f t="shared" si="13"/>
        <v>0</v>
      </c>
      <c r="AL88" s="279">
        <v>0.71</v>
      </c>
      <c r="AM88" s="310"/>
      <c r="AN88" s="310"/>
      <c r="AO88" s="4"/>
      <c r="AP88" s="4">
        <f t="shared" si="14"/>
        <v>0</v>
      </c>
    </row>
    <row r="89" spans="1:42" ht="15.75" x14ac:dyDescent="0.25">
      <c r="A89" s="277"/>
      <c r="B89" s="278" t="s">
        <v>421</v>
      </c>
      <c r="C89" s="279">
        <v>0.84</v>
      </c>
      <c r="D89" s="310"/>
      <c r="E89" s="310"/>
      <c r="F89" s="4"/>
      <c r="G89" s="4">
        <f t="shared" si="0"/>
        <v>0</v>
      </c>
      <c r="H89" s="279">
        <v>0.64</v>
      </c>
      <c r="I89" s="310"/>
      <c r="J89" s="310"/>
      <c r="K89" s="4"/>
      <c r="L89" s="4">
        <f t="shared" si="8"/>
        <v>0</v>
      </c>
      <c r="M89" s="279">
        <v>0.7</v>
      </c>
      <c r="N89" s="310"/>
      <c r="O89" s="310"/>
      <c r="P89" s="4"/>
      <c r="Q89" s="4">
        <f t="shared" si="9"/>
        <v>0</v>
      </c>
      <c r="R89" s="279">
        <v>0.5</v>
      </c>
      <c r="S89" s="310"/>
      <c r="T89" s="310"/>
      <c r="U89" s="4"/>
      <c r="V89" s="4">
        <f t="shared" si="10"/>
        <v>0</v>
      </c>
      <c r="W89" s="279">
        <v>0.23</v>
      </c>
      <c r="X89" s="310"/>
      <c r="Y89" s="310"/>
      <c r="Z89" s="4"/>
      <c r="AA89" s="4">
        <f t="shared" si="11"/>
        <v>0</v>
      </c>
      <c r="AB89" s="279">
        <v>0.56000000000000005</v>
      </c>
      <c r="AC89" s="310"/>
      <c r="AD89" s="310"/>
      <c r="AE89" s="4"/>
      <c r="AF89" s="4">
        <f t="shared" si="12"/>
        <v>0</v>
      </c>
      <c r="AG89" s="279">
        <v>0.56999999999999995</v>
      </c>
      <c r="AH89" s="310"/>
      <c r="AI89" s="310"/>
      <c r="AJ89" s="4"/>
      <c r="AK89" s="4">
        <f t="shared" si="13"/>
        <v>0</v>
      </c>
      <c r="AL89" s="279">
        <v>0.89</v>
      </c>
      <c r="AM89" s="310"/>
      <c r="AN89" s="310"/>
      <c r="AO89" s="4"/>
      <c r="AP89" s="4">
        <f t="shared" si="14"/>
        <v>0</v>
      </c>
    </row>
    <row r="90" spans="1:42" ht="31.5" x14ac:dyDescent="0.25">
      <c r="A90" s="277"/>
      <c r="B90" s="278" t="s">
        <v>422</v>
      </c>
      <c r="C90" s="279">
        <v>4.07</v>
      </c>
      <c r="D90" s="310"/>
      <c r="E90" s="310"/>
      <c r="F90" s="4"/>
      <c r="G90" s="4">
        <f t="shared" si="0"/>
        <v>0</v>
      </c>
      <c r="H90" s="279">
        <v>3.1</v>
      </c>
      <c r="I90" s="310"/>
      <c r="J90" s="310"/>
      <c r="K90" s="4"/>
      <c r="L90" s="4">
        <f t="shared" si="8"/>
        <v>0</v>
      </c>
      <c r="M90" s="279">
        <v>3.38</v>
      </c>
      <c r="N90" s="310"/>
      <c r="O90" s="310"/>
      <c r="P90" s="4"/>
      <c r="Q90" s="4">
        <f t="shared" si="9"/>
        <v>0</v>
      </c>
      <c r="R90" s="279">
        <v>2.41</v>
      </c>
      <c r="S90" s="310"/>
      <c r="T90" s="310"/>
      <c r="U90" s="4"/>
      <c r="V90" s="4">
        <f t="shared" si="10"/>
        <v>0</v>
      </c>
      <c r="W90" s="279">
        <v>1.1299999999999999</v>
      </c>
      <c r="X90" s="310"/>
      <c r="Y90" s="310"/>
      <c r="Z90" s="4"/>
      <c r="AA90" s="4">
        <f t="shared" si="11"/>
        <v>0</v>
      </c>
      <c r="AB90" s="279">
        <v>1.35</v>
      </c>
      <c r="AC90" s="310"/>
      <c r="AD90" s="310"/>
      <c r="AE90" s="4"/>
      <c r="AF90" s="4">
        <f t="shared" si="12"/>
        <v>0</v>
      </c>
      <c r="AG90" s="279">
        <v>2.77</v>
      </c>
      <c r="AH90" s="310"/>
      <c r="AI90" s="310"/>
      <c r="AJ90" s="4"/>
      <c r="AK90" s="4">
        <f t="shared" si="13"/>
        <v>0</v>
      </c>
      <c r="AL90" s="279">
        <v>4.3099999999999996</v>
      </c>
      <c r="AM90" s="310"/>
      <c r="AN90" s="310"/>
      <c r="AO90" s="4"/>
      <c r="AP90" s="4">
        <f t="shared" si="14"/>
        <v>0</v>
      </c>
    </row>
    <row r="91" spans="1:42" ht="15.75" x14ac:dyDescent="0.25">
      <c r="A91" s="277"/>
      <c r="B91" s="278" t="s">
        <v>423</v>
      </c>
      <c r="C91" s="279">
        <v>7.73</v>
      </c>
      <c r="D91" s="310"/>
      <c r="E91" s="310"/>
      <c r="F91" s="4"/>
      <c r="G91" s="4">
        <f t="shared" si="0"/>
        <v>0</v>
      </c>
      <c r="H91" s="279">
        <v>5.89</v>
      </c>
      <c r="I91" s="310"/>
      <c r="J91" s="310"/>
      <c r="K91" s="4"/>
      <c r="L91" s="4">
        <f t="shared" si="8"/>
        <v>0</v>
      </c>
      <c r="M91" s="279">
        <v>6.41</v>
      </c>
      <c r="N91" s="310"/>
      <c r="O91" s="310"/>
      <c r="P91" s="4"/>
      <c r="Q91" s="4">
        <f t="shared" si="9"/>
        <v>0</v>
      </c>
      <c r="R91" s="279">
        <v>4.57</v>
      </c>
      <c r="S91" s="310"/>
      <c r="T91" s="310"/>
      <c r="U91" s="4"/>
      <c r="V91" s="4">
        <f t="shared" si="10"/>
        <v>0</v>
      </c>
      <c r="W91" s="279">
        <v>2.15</v>
      </c>
      <c r="X91" s="310"/>
      <c r="Y91" s="310"/>
      <c r="Z91" s="4"/>
      <c r="AA91" s="4">
        <f t="shared" si="11"/>
        <v>0</v>
      </c>
      <c r="AB91" s="279">
        <v>2.2400000000000002</v>
      </c>
      <c r="AC91" s="310"/>
      <c r="AD91" s="310"/>
      <c r="AE91" s="4"/>
      <c r="AF91" s="4">
        <f t="shared" si="12"/>
        <v>0</v>
      </c>
      <c r="AG91" s="279">
        <v>5.26</v>
      </c>
      <c r="AH91" s="310"/>
      <c r="AI91" s="310"/>
      <c r="AJ91" s="4"/>
      <c r="AK91" s="4">
        <f t="shared" si="13"/>
        <v>0</v>
      </c>
      <c r="AL91" s="279">
        <v>8.17</v>
      </c>
      <c r="AM91" s="310"/>
      <c r="AN91" s="310"/>
      <c r="AO91" s="4"/>
      <c r="AP91" s="4">
        <f t="shared" si="14"/>
        <v>0</v>
      </c>
    </row>
    <row r="92" spans="1:42" ht="31.5" x14ac:dyDescent="0.25">
      <c r="A92" s="277"/>
      <c r="B92" s="278" t="s">
        <v>407</v>
      </c>
      <c r="C92" s="279">
        <v>6.35</v>
      </c>
      <c r="D92" s="310"/>
      <c r="E92" s="310"/>
      <c r="F92" s="4"/>
      <c r="G92" s="4">
        <f t="shared" si="0"/>
        <v>0</v>
      </c>
      <c r="H92" s="279">
        <v>4.84</v>
      </c>
      <c r="I92" s="310"/>
      <c r="J92" s="310"/>
      <c r="K92" s="4"/>
      <c r="L92" s="4">
        <f t="shared" si="8"/>
        <v>0</v>
      </c>
      <c r="M92" s="279">
        <v>5.26</v>
      </c>
      <c r="N92" s="310"/>
      <c r="O92" s="310"/>
      <c r="P92" s="4"/>
      <c r="Q92" s="4">
        <f t="shared" si="9"/>
        <v>0</v>
      </c>
      <c r="R92" s="279">
        <v>3.75</v>
      </c>
      <c r="S92" s="310"/>
      <c r="T92" s="310"/>
      <c r="U92" s="4"/>
      <c r="V92" s="4">
        <f t="shared" si="10"/>
        <v>0</v>
      </c>
      <c r="W92" s="279">
        <v>1.77</v>
      </c>
      <c r="X92" s="310"/>
      <c r="Y92" s="310"/>
      <c r="Z92" s="4"/>
      <c r="AA92" s="4">
        <f t="shared" si="11"/>
        <v>0</v>
      </c>
      <c r="AB92" s="279">
        <v>1.91</v>
      </c>
      <c r="AC92" s="310"/>
      <c r="AD92" s="310"/>
      <c r="AE92" s="4"/>
      <c r="AF92" s="4">
        <f t="shared" si="12"/>
        <v>0</v>
      </c>
      <c r="AG92" s="279">
        <v>4.32</v>
      </c>
      <c r="AH92" s="310"/>
      <c r="AI92" s="310"/>
      <c r="AJ92" s="4"/>
      <c r="AK92" s="4">
        <f t="shared" si="13"/>
        <v>0</v>
      </c>
      <c r="AL92" s="279">
        <v>6.71</v>
      </c>
      <c r="AM92" s="310"/>
      <c r="AN92" s="310"/>
      <c r="AO92" s="4"/>
      <c r="AP92" s="4">
        <f t="shared" si="14"/>
        <v>0</v>
      </c>
    </row>
    <row r="93" spans="1:42" ht="31.5" x14ac:dyDescent="0.25">
      <c r="A93" s="277"/>
      <c r="B93" s="278" t="s">
        <v>408</v>
      </c>
      <c r="C93" s="279">
        <v>4</v>
      </c>
      <c r="D93" s="310"/>
      <c r="E93" s="310"/>
      <c r="F93" s="4"/>
      <c r="G93" s="4">
        <f t="shared" si="0"/>
        <v>0</v>
      </c>
      <c r="H93" s="279">
        <v>3.05</v>
      </c>
      <c r="I93" s="310"/>
      <c r="J93" s="310"/>
      <c r="K93" s="4"/>
      <c r="L93" s="4">
        <f t="shared" si="8"/>
        <v>0</v>
      </c>
      <c r="M93" s="279">
        <v>3.32</v>
      </c>
      <c r="N93" s="310"/>
      <c r="O93" s="310"/>
      <c r="P93" s="4"/>
      <c r="Q93" s="4">
        <f t="shared" si="9"/>
        <v>0</v>
      </c>
      <c r="R93" s="279">
        <v>2.37</v>
      </c>
      <c r="S93" s="310"/>
      <c r="T93" s="310"/>
      <c r="U93" s="4"/>
      <c r="V93" s="4">
        <f t="shared" si="10"/>
        <v>0</v>
      </c>
      <c r="W93" s="279">
        <v>1.1100000000000001</v>
      </c>
      <c r="X93" s="310"/>
      <c r="Y93" s="310"/>
      <c r="Z93" s="4"/>
      <c r="AA93" s="4">
        <f t="shared" si="11"/>
        <v>0</v>
      </c>
      <c r="AB93" s="279">
        <v>1.33</v>
      </c>
      <c r="AC93" s="310"/>
      <c r="AD93" s="310"/>
      <c r="AE93" s="4"/>
      <c r="AF93" s="4">
        <f t="shared" si="12"/>
        <v>0</v>
      </c>
      <c r="AG93" s="279">
        <v>2.72</v>
      </c>
      <c r="AH93" s="310"/>
      <c r="AI93" s="310"/>
      <c r="AJ93" s="4"/>
      <c r="AK93" s="4">
        <f t="shared" si="13"/>
        <v>0</v>
      </c>
      <c r="AL93" s="279">
        <v>4.2300000000000004</v>
      </c>
      <c r="AM93" s="310"/>
      <c r="AN93" s="310"/>
      <c r="AO93" s="4"/>
      <c r="AP93" s="4">
        <f t="shared" si="14"/>
        <v>0</v>
      </c>
    </row>
    <row r="94" spans="1:42" ht="31.5" x14ac:dyDescent="0.25">
      <c r="A94" s="277"/>
      <c r="B94" s="278" t="s">
        <v>409</v>
      </c>
      <c r="C94" s="279">
        <v>2.95</v>
      </c>
      <c r="D94" s="310"/>
      <c r="E94" s="310"/>
      <c r="F94" s="4"/>
      <c r="G94" s="4">
        <f t="shared" si="0"/>
        <v>0</v>
      </c>
      <c r="H94" s="279">
        <v>2.25</v>
      </c>
      <c r="I94" s="310"/>
      <c r="J94" s="310"/>
      <c r="K94" s="4"/>
      <c r="L94" s="4">
        <f t="shared" si="8"/>
        <v>0</v>
      </c>
      <c r="M94" s="279">
        <v>2.4500000000000002</v>
      </c>
      <c r="N94" s="310"/>
      <c r="O94" s="310"/>
      <c r="P94" s="4"/>
      <c r="Q94" s="4">
        <f t="shared" si="9"/>
        <v>0</v>
      </c>
      <c r="R94" s="279">
        <v>1.75</v>
      </c>
      <c r="S94" s="310"/>
      <c r="T94" s="310"/>
      <c r="U94" s="4"/>
      <c r="V94" s="4">
        <f t="shared" si="10"/>
        <v>0</v>
      </c>
      <c r="W94" s="279">
        <v>0.82</v>
      </c>
      <c r="X94" s="310"/>
      <c r="Y94" s="310"/>
      <c r="Z94" s="4"/>
      <c r="AA94" s="4">
        <f t="shared" si="11"/>
        <v>0</v>
      </c>
      <c r="AB94" s="279">
        <v>1.08</v>
      </c>
      <c r="AC94" s="310"/>
      <c r="AD94" s="310"/>
      <c r="AE94" s="4"/>
      <c r="AF94" s="4">
        <f t="shared" si="12"/>
        <v>0</v>
      </c>
      <c r="AG94" s="279">
        <v>2.0099999999999998</v>
      </c>
      <c r="AH94" s="310"/>
      <c r="AI94" s="310"/>
      <c r="AJ94" s="4"/>
      <c r="AK94" s="4">
        <f t="shared" si="13"/>
        <v>0</v>
      </c>
      <c r="AL94" s="279">
        <v>3.12</v>
      </c>
      <c r="AM94" s="310"/>
      <c r="AN94" s="310"/>
      <c r="AO94" s="4"/>
      <c r="AP94" s="4">
        <f t="shared" si="14"/>
        <v>0</v>
      </c>
    </row>
    <row r="95" spans="1:42" ht="31.5" x14ac:dyDescent="0.25">
      <c r="A95" s="277"/>
      <c r="B95" s="278" t="s">
        <v>410</v>
      </c>
      <c r="C95" s="279">
        <v>2.91</v>
      </c>
      <c r="D95" s="310"/>
      <c r="E95" s="310"/>
      <c r="F95" s="4"/>
      <c r="G95" s="4">
        <f t="shared" si="0"/>
        <v>0</v>
      </c>
      <c r="H95" s="279">
        <v>2.2200000000000002</v>
      </c>
      <c r="I95" s="310"/>
      <c r="J95" s="310"/>
      <c r="K95" s="4"/>
      <c r="L95" s="4">
        <f t="shared" si="8"/>
        <v>0</v>
      </c>
      <c r="M95" s="279">
        <v>2.41</v>
      </c>
      <c r="N95" s="310"/>
      <c r="O95" s="310"/>
      <c r="P95" s="4"/>
      <c r="Q95" s="4">
        <f t="shared" si="9"/>
        <v>0</v>
      </c>
      <c r="R95" s="279">
        <v>1.72</v>
      </c>
      <c r="S95" s="310"/>
      <c r="T95" s="310"/>
      <c r="U95" s="4"/>
      <c r="V95" s="4">
        <f t="shared" si="10"/>
        <v>0</v>
      </c>
      <c r="W95" s="279">
        <v>0.81</v>
      </c>
      <c r="X95" s="310"/>
      <c r="Y95" s="310"/>
      <c r="Z95" s="4"/>
      <c r="AA95" s="4">
        <f t="shared" si="11"/>
        <v>0</v>
      </c>
      <c r="AB95" s="279">
        <v>1.07</v>
      </c>
      <c r="AC95" s="310"/>
      <c r="AD95" s="310"/>
      <c r="AE95" s="4"/>
      <c r="AF95" s="4">
        <f t="shared" si="12"/>
        <v>0</v>
      </c>
      <c r="AG95" s="279">
        <v>1.98</v>
      </c>
      <c r="AH95" s="310"/>
      <c r="AI95" s="310"/>
      <c r="AJ95" s="4"/>
      <c r="AK95" s="4">
        <f t="shared" si="13"/>
        <v>0</v>
      </c>
      <c r="AL95" s="279">
        <v>3.08</v>
      </c>
      <c r="AM95" s="310"/>
      <c r="AN95" s="310"/>
      <c r="AO95" s="4"/>
      <c r="AP95" s="4">
        <f t="shared" si="14"/>
        <v>0</v>
      </c>
    </row>
    <row r="96" spans="1:42" ht="31.5" x14ac:dyDescent="0.25">
      <c r="A96" s="277"/>
      <c r="B96" s="278" t="s">
        <v>411</v>
      </c>
      <c r="C96" s="279">
        <v>0.94</v>
      </c>
      <c r="D96" s="310"/>
      <c r="E96" s="310"/>
      <c r="F96" s="4"/>
      <c r="G96" s="4">
        <f t="shared" si="0"/>
        <v>0</v>
      </c>
      <c r="H96" s="279">
        <v>0.71</v>
      </c>
      <c r="I96" s="310"/>
      <c r="J96" s="310"/>
      <c r="K96" s="4"/>
      <c r="L96" s="4">
        <f t="shared" si="8"/>
        <v>0</v>
      </c>
      <c r="M96" s="279">
        <v>0.78</v>
      </c>
      <c r="N96" s="310"/>
      <c r="O96" s="310"/>
      <c r="P96" s="4"/>
      <c r="Q96" s="4">
        <f t="shared" si="9"/>
        <v>0</v>
      </c>
      <c r="R96" s="279">
        <v>0.55000000000000004</v>
      </c>
      <c r="S96" s="310"/>
      <c r="T96" s="310"/>
      <c r="U96" s="4"/>
      <c r="V96" s="4">
        <f t="shared" si="10"/>
        <v>0</v>
      </c>
      <c r="W96" s="279">
        <v>0.26</v>
      </c>
      <c r="X96" s="310"/>
      <c r="Y96" s="310"/>
      <c r="Z96" s="4"/>
      <c r="AA96" s="4">
        <f t="shared" si="11"/>
        <v>0</v>
      </c>
      <c r="AB96" s="279">
        <v>0.59</v>
      </c>
      <c r="AC96" s="310"/>
      <c r="AD96" s="310"/>
      <c r="AE96" s="4"/>
      <c r="AF96" s="4">
        <f t="shared" si="12"/>
        <v>0</v>
      </c>
      <c r="AG96" s="279">
        <v>0.64</v>
      </c>
      <c r="AH96" s="310"/>
      <c r="AI96" s="310"/>
      <c r="AJ96" s="4"/>
      <c r="AK96" s="4">
        <f t="shared" si="13"/>
        <v>0</v>
      </c>
      <c r="AL96" s="279">
        <v>0.99</v>
      </c>
      <c r="AM96" s="310"/>
      <c r="AN96" s="310"/>
      <c r="AO96" s="4"/>
      <c r="AP96" s="4">
        <f t="shared" si="14"/>
        <v>0</v>
      </c>
    </row>
    <row r="97" spans="1:42" ht="31.5" x14ac:dyDescent="0.25">
      <c r="A97" s="277"/>
      <c r="B97" s="278" t="s">
        <v>412</v>
      </c>
      <c r="C97" s="279">
        <v>1.25</v>
      </c>
      <c r="D97" s="310"/>
      <c r="E97" s="310"/>
      <c r="F97" s="4"/>
      <c r="G97" s="4">
        <f t="shared" si="0"/>
        <v>0</v>
      </c>
      <c r="H97" s="279">
        <v>0.96</v>
      </c>
      <c r="I97" s="310"/>
      <c r="J97" s="310"/>
      <c r="K97" s="4"/>
      <c r="L97" s="4">
        <f t="shared" si="8"/>
        <v>0</v>
      </c>
      <c r="M97" s="279">
        <v>1.04</v>
      </c>
      <c r="N97" s="310"/>
      <c r="O97" s="310"/>
      <c r="P97" s="4"/>
      <c r="Q97" s="4">
        <f t="shared" si="9"/>
        <v>0</v>
      </c>
      <c r="R97" s="279">
        <v>0.74</v>
      </c>
      <c r="S97" s="310"/>
      <c r="T97" s="310"/>
      <c r="U97" s="4"/>
      <c r="V97" s="4">
        <f t="shared" si="10"/>
        <v>0</v>
      </c>
      <c r="W97" s="279">
        <v>0.35</v>
      </c>
      <c r="X97" s="310"/>
      <c r="Y97" s="310"/>
      <c r="Z97" s="4"/>
      <c r="AA97" s="4">
        <f t="shared" si="11"/>
        <v>0</v>
      </c>
      <c r="AB97" s="279">
        <v>0.66</v>
      </c>
      <c r="AC97" s="310"/>
      <c r="AD97" s="310"/>
      <c r="AE97" s="4"/>
      <c r="AF97" s="4">
        <f t="shared" si="12"/>
        <v>0</v>
      </c>
      <c r="AG97" s="279">
        <v>0.85</v>
      </c>
      <c r="AH97" s="310"/>
      <c r="AI97" s="310"/>
      <c r="AJ97" s="4"/>
      <c r="AK97" s="4">
        <f t="shared" si="13"/>
        <v>0</v>
      </c>
      <c r="AL97" s="279">
        <v>1.32</v>
      </c>
      <c r="AM97" s="310"/>
      <c r="AN97" s="310"/>
      <c r="AO97" s="4"/>
      <c r="AP97" s="4">
        <f t="shared" si="14"/>
        <v>0</v>
      </c>
    </row>
    <row r="98" spans="1:42" ht="15.75" x14ac:dyDescent="0.25">
      <c r="A98" s="277"/>
      <c r="B98" s="278" t="s">
        <v>413</v>
      </c>
      <c r="C98" s="279">
        <v>7.09</v>
      </c>
      <c r="D98" s="310"/>
      <c r="E98" s="310"/>
      <c r="F98" s="4"/>
      <c r="G98" s="4">
        <f t="shared" si="0"/>
        <v>0</v>
      </c>
      <c r="H98" s="279">
        <v>5.4</v>
      </c>
      <c r="I98" s="310"/>
      <c r="J98" s="310"/>
      <c r="K98" s="4"/>
      <c r="L98" s="4">
        <f t="shared" si="8"/>
        <v>0</v>
      </c>
      <c r="M98" s="279">
        <v>5.87</v>
      </c>
      <c r="N98" s="310"/>
      <c r="O98" s="310"/>
      <c r="P98" s="4"/>
      <c r="Q98" s="4">
        <f t="shared" si="9"/>
        <v>0</v>
      </c>
      <c r="R98" s="279">
        <v>4.1900000000000004</v>
      </c>
      <c r="S98" s="310"/>
      <c r="T98" s="310"/>
      <c r="U98" s="4"/>
      <c r="V98" s="4">
        <f t="shared" si="10"/>
        <v>0</v>
      </c>
      <c r="W98" s="279">
        <v>1.97</v>
      </c>
      <c r="X98" s="310"/>
      <c r="Y98" s="310"/>
      <c r="Z98" s="4"/>
      <c r="AA98" s="4">
        <f t="shared" si="11"/>
        <v>0</v>
      </c>
      <c r="AB98" s="279">
        <v>2.09</v>
      </c>
      <c r="AC98" s="310"/>
      <c r="AD98" s="310"/>
      <c r="AE98" s="4"/>
      <c r="AF98" s="4">
        <f t="shared" si="12"/>
        <v>0</v>
      </c>
      <c r="AG98" s="279">
        <v>4.82</v>
      </c>
      <c r="AH98" s="310"/>
      <c r="AI98" s="310"/>
      <c r="AJ98" s="4"/>
      <c r="AK98" s="4">
        <f t="shared" si="13"/>
        <v>0</v>
      </c>
      <c r="AL98" s="279">
        <v>7.49</v>
      </c>
      <c r="AM98" s="310"/>
      <c r="AN98" s="310"/>
      <c r="AO98" s="4"/>
      <c r="AP98" s="4">
        <f t="shared" si="14"/>
        <v>0</v>
      </c>
    </row>
    <row r="99" spans="1:42" ht="15.75" x14ac:dyDescent="0.25">
      <c r="A99" s="277"/>
      <c r="B99" s="278" t="s">
        <v>414</v>
      </c>
      <c r="C99" s="279">
        <v>9.77</v>
      </c>
      <c r="D99" s="310"/>
      <c r="E99" s="310"/>
      <c r="F99" s="4"/>
      <c r="G99" s="4">
        <f t="shared" si="0"/>
        <v>0</v>
      </c>
      <c r="H99" s="279">
        <v>7.44</v>
      </c>
      <c r="I99" s="310"/>
      <c r="J99" s="310"/>
      <c r="K99" s="4"/>
      <c r="L99" s="4">
        <f t="shared" si="8"/>
        <v>0</v>
      </c>
      <c r="M99" s="279">
        <v>8.09</v>
      </c>
      <c r="N99" s="310"/>
      <c r="O99" s="310"/>
      <c r="P99" s="4"/>
      <c r="Q99" s="4">
        <f t="shared" si="9"/>
        <v>0</v>
      </c>
      <c r="R99" s="279">
        <v>5.78</v>
      </c>
      <c r="S99" s="310"/>
      <c r="T99" s="310"/>
      <c r="U99" s="4"/>
      <c r="V99" s="4">
        <f t="shared" si="10"/>
        <v>0</v>
      </c>
      <c r="W99" s="279">
        <v>2.72</v>
      </c>
      <c r="X99" s="310"/>
      <c r="Y99" s="310"/>
      <c r="Z99" s="4"/>
      <c r="AA99" s="4">
        <f t="shared" si="11"/>
        <v>0</v>
      </c>
      <c r="AB99" s="279">
        <v>2.74</v>
      </c>
      <c r="AC99" s="310"/>
      <c r="AD99" s="310"/>
      <c r="AE99" s="4"/>
      <c r="AF99" s="4">
        <f t="shared" si="12"/>
        <v>0</v>
      </c>
      <c r="AG99" s="279">
        <v>6.65</v>
      </c>
      <c r="AH99" s="310"/>
      <c r="AI99" s="310"/>
      <c r="AJ99" s="4"/>
      <c r="AK99" s="4">
        <f t="shared" si="13"/>
        <v>0</v>
      </c>
      <c r="AL99" s="279">
        <v>10.32</v>
      </c>
      <c r="AM99" s="310"/>
      <c r="AN99" s="310"/>
      <c r="AO99" s="4"/>
      <c r="AP99" s="4">
        <f t="shared" si="14"/>
        <v>0</v>
      </c>
    </row>
    <row r="100" spans="1:42" ht="15.75" x14ac:dyDescent="0.25">
      <c r="A100" s="277"/>
      <c r="B100" s="278" t="s">
        <v>415</v>
      </c>
      <c r="C100" s="279">
        <v>11.23</v>
      </c>
      <c r="D100" s="310"/>
      <c r="E100" s="310"/>
      <c r="F100" s="4"/>
      <c r="G100" s="4">
        <f t="shared" si="0"/>
        <v>0</v>
      </c>
      <c r="H100" s="279">
        <v>8.56</v>
      </c>
      <c r="I100" s="310"/>
      <c r="J100" s="310"/>
      <c r="K100" s="4"/>
      <c r="L100" s="4">
        <f t="shared" si="8"/>
        <v>0</v>
      </c>
      <c r="M100" s="279">
        <v>9.31</v>
      </c>
      <c r="N100" s="310"/>
      <c r="O100" s="310"/>
      <c r="P100" s="4"/>
      <c r="Q100" s="4">
        <f t="shared" si="9"/>
        <v>0</v>
      </c>
      <c r="R100" s="279">
        <v>6.64</v>
      </c>
      <c r="S100" s="310"/>
      <c r="T100" s="310"/>
      <c r="U100" s="4"/>
      <c r="V100" s="4">
        <f t="shared" si="10"/>
        <v>0</v>
      </c>
      <c r="W100" s="279">
        <v>3.12</v>
      </c>
      <c r="X100" s="310"/>
      <c r="Y100" s="310"/>
      <c r="Z100" s="4"/>
      <c r="AA100" s="4">
        <f t="shared" si="11"/>
        <v>0</v>
      </c>
      <c r="AB100" s="279">
        <v>3.1</v>
      </c>
      <c r="AC100" s="310"/>
      <c r="AD100" s="310"/>
      <c r="AE100" s="4"/>
      <c r="AF100" s="4">
        <f t="shared" si="12"/>
        <v>0</v>
      </c>
      <c r="AG100" s="279">
        <v>7.64</v>
      </c>
      <c r="AH100" s="310"/>
      <c r="AI100" s="310"/>
      <c r="AJ100" s="4"/>
      <c r="AK100" s="4">
        <f t="shared" si="13"/>
        <v>0</v>
      </c>
      <c r="AL100" s="279">
        <v>11.87</v>
      </c>
      <c r="AM100" s="310"/>
      <c r="AN100" s="310"/>
      <c r="AO100" s="4"/>
      <c r="AP100" s="4">
        <f t="shared" si="14"/>
        <v>0</v>
      </c>
    </row>
    <row r="101" spans="1:42" ht="15.75" x14ac:dyDescent="0.25">
      <c r="A101" s="277"/>
      <c r="B101" s="278" t="s">
        <v>424</v>
      </c>
      <c r="C101" s="279">
        <v>10.51</v>
      </c>
      <c r="D101" s="310"/>
      <c r="E101" s="310"/>
      <c r="F101" s="4"/>
      <c r="G101" s="4">
        <f t="shared" si="0"/>
        <v>0</v>
      </c>
      <c r="H101" s="279">
        <v>8.01</v>
      </c>
      <c r="I101" s="310"/>
      <c r="J101" s="310"/>
      <c r="K101" s="4"/>
      <c r="L101" s="4">
        <f t="shared" si="8"/>
        <v>0</v>
      </c>
      <c r="M101" s="279">
        <v>8.7100000000000009</v>
      </c>
      <c r="N101" s="310"/>
      <c r="O101" s="310"/>
      <c r="P101" s="4"/>
      <c r="Q101" s="4">
        <f t="shared" si="9"/>
        <v>0</v>
      </c>
      <c r="R101" s="279">
        <v>6.22</v>
      </c>
      <c r="S101" s="310"/>
      <c r="T101" s="310"/>
      <c r="U101" s="4"/>
      <c r="V101" s="4">
        <f t="shared" si="10"/>
        <v>0</v>
      </c>
      <c r="W101" s="279">
        <v>2.92</v>
      </c>
      <c r="X101" s="310"/>
      <c r="Y101" s="310"/>
      <c r="Z101" s="4"/>
      <c r="AA101" s="4">
        <f t="shared" si="11"/>
        <v>0</v>
      </c>
      <c r="AB101" s="279">
        <v>2.92</v>
      </c>
      <c r="AC101" s="310"/>
      <c r="AD101" s="310"/>
      <c r="AE101" s="4"/>
      <c r="AF101" s="4">
        <f t="shared" si="12"/>
        <v>0</v>
      </c>
      <c r="AG101" s="279">
        <v>7.15</v>
      </c>
      <c r="AH101" s="310"/>
      <c r="AI101" s="310"/>
      <c r="AJ101" s="4"/>
      <c r="AK101" s="4">
        <f t="shared" si="13"/>
        <v>0</v>
      </c>
      <c r="AL101" s="279">
        <v>11.11</v>
      </c>
      <c r="AM101" s="310"/>
      <c r="AN101" s="310"/>
      <c r="AO101" s="4"/>
      <c r="AP101" s="4">
        <f t="shared" si="14"/>
        <v>0</v>
      </c>
    </row>
    <row r="102" spans="1:42" ht="15.75" x14ac:dyDescent="0.25">
      <c r="A102" s="282"/>
      <c r="B102" s="280" t="s">
        <v>425</v>
      </c>
      <c r="C102" s="279"/>
      <c r="D102" s="310"/>
      <c r="E102" s="310"/>
      <c r="F102" s="4"/>
      <c r="G102" s="4">
        <f t="shared" si="0"/>
        <v>0</v>
      </c>
      <c r="H102" s="279"/>
      <c r="I102" s="310"/>
      <c r="J102" s="310"/>
      <c r="K102" s="4"/>
      <c r="L102" s="4">
        <f t="shared" si="8"/>
        <v>0</v>
      </c>
      <c r="M102" s="279"/>
      <c r="N102" s="310"/>
      <c r="O102" s="310"/>
      <c r="P102" s="4"/>
      <c r="Q102" s="4">
        <f t="shared" si="9"/>
        <v>0</v>
      </c>
      <c r="R102" s="279"/>
      <c r="S102" s="310"/>
      <c r="T102" s="310"/>
      <c r="U102" s="4"/>
      <c r="V102" s="4">
        <f t="shared" si="10"/>
        <v>0</v>
      </c>
      <c r="W102" s="279"/>
      <c r="X102" s="310"/>
      <c r="Y102" s="310"/>
      <c r="Z102" s="4"/>
      <c r="AA102" s="4">
        <f t="shared" si="11"/>
        <v>0</v>
      </c>
      <c r="AB102" s="279"/>
      <c r="AC102" s="310"/>
      <c r="AD102" s="310"/>
      <c r="AE102" s="4"/>
      <c r="AF102" s="4">
        <f t="shared" si="12"/>
        <v>0</v>
      </c>
      <c r="AG102" s="279"/>
      <c r="AH102" s="310"/>
      <c r="AI102" s="310"/>
      <c r="AJ102" s="4"/>
      <c r="AK102" s="4">
        <f t="shared" si="13"/>
        <v>0</v>
      </c>
      <c r="AL102" s="279"/>
      <c r="AM102" s="310"/>
      <c r="AN102" s="310"/>
      <c r="AO102" s="4"/>
      <c r="AP102" s="4">
        <f t="shared" si="14"/>
        <v>0</v>
      </c>
    </row>
    <row r="103" spans="1:42" ht="15.75" x14ac:dyDescent="0.25">
      <c r="A103" s="277"/>
      <c r="B103" s="278" t="s">
        <v>426</v>
      </c>
      <c r="C103" s="279">
        <v>0.55000000000000004</v>
      </c>
      <c r="D103" s="309">
        <f>MAX(C103:C127)</f>
        <v>5.2</v>
      </c>
      <c r="E103" s="310">
        <f>MIN(C103:C127)</f>
        <v>0.24</v>
      </c>
      <c r="F103" s="4"/>
      <c r="G103" s="4">
        <f t="shared" si="0"/>
        <v>0</v>
      </c>
      <c r="H103" s="279">
        <v>0.23</v>
      </c>
      <c r="I103" s="309">
        <f>MAX(H103:H127)</f>
        <v>2.2400000000000002</v>
      </c>
      <c r="J103" s="310">
        <f>MIN(H103:H127)</f>
        <v>0.1</v>
      </c>
      <c r="K103" s="4"/>
      <c r="L103" s="4">
        <f t="shared" si="8"/>
        <v>0</v>
      </c>
      <c r="M103" s="279">
        <v>0.24</v>
      </c>
      <c r="N103" s="309">
        <f>MAX(M103:M127)</f>
        <v>2.25</v>
      </c>
      <c r="O103" s="310">
        <f>MIN(M103:M127)</f>
        <v>0.11</v>
      </c>
      <c r="P103" s="4"/>
      <c r="Q103" s="4">
        <f t="shared" si="9"/>
        <v>0</v>
      </c>
      <c r="R103" s="279">
        <v>0.2</v>
      </c>
      <c r="S103" s="309">
        <f>MAX(R103:R127)</f>
        <v>1.87</v>
      </c>
      <c r="T103" s="310">
        <f>MIN(R103:R127)</f>
        <v>0.09</v>
      </c>
      <c r="U103" s="4"/>
      <c r="V103" s="4">
        <f t="shared" si="10"/>
        <v>0</v>
      </c>
      <c r="W103" s="279">
        <v>0.1</v>
      </c>
      <c r="X103" s="309">
        <f>MAX(W103:W127)</f>
        <v>0.97</v>
      </c>
      <c r="Y103" s="310">
        <f>MIN(W103:W127)</f>
        <v>0.05</v>
      </c>
      <c r="Z103" s="4"/>
      <c r="AA103" s="4">
        <f t="shared" si="11"/>
        <v>0</v>
      </c>
      <c r="AB103" s="279">
        <v>0.16</v>
      </c>
      <c r="AC103" s="309">
        <f>MAX(AB103:AB127)</f>
        <v>1.1399999999999999</v>
      </c>
      <c r="AD103" s="310">
        <f>MIN(AB103:AB127)</f>
        <v>0.09</v>
      </c>
      <c r="AE103" s="4"/>
      <c r="AF103" s="4">
        <f t="shared" si="12"/>
        <v>0</v>
      </c>
      <c r="AG103" s="279">
        <v>0.12</v>
      </c>
      <c r="AH103" s="309">
        <f>MAX(AG103:AG127)</f>
        <v>0.87</v>
      </c>
      <c r="AI103" s="310">
        <f>MIN(AG103:AG127)</f>
        <v>0.08</v>
      </c>
      <c r="AJ103" s="4"/>
      <c r="AK103" s="4">
        <f t="shared" si="13"/>
        <v>0</v>
      </c>
      <c r="AL103" s="279">
        <v>0.11</v>
      </c>
      <c r="AM103" s="309">
        <f>MAX(AL103:AL127)</f>
        <v>1.04</v>
      </c>
      <c r="AN103" s="310">
        <f>MIN(AL103:AL127)</f>
        <v>0.05</v>
      </c>
      <c r="AO103" s="4"/>
      <c r="AP103" s="4">
        <f t="shared" si="14"/>
        <v>0</v>
      </c>
    </row>
    <row r="104" spans="1:42" ht="31.5" x14ac:dyDescent="0.25">
      <c r="A104" s="277"/>
      <c r="B104" s="278" t="s">
        <v>427</v>
      </c>
      <c r="C104" s="279">
        <v>0.74</v>
      </c>
      <c r="D104" s="310"/>
      <c r="E104" s="310"/>
      <c r="F104" s="4"/>
      <c r="G104" s="4">
        <f t="shared" si="0"/>
        <v>0</v>
      </c>
      <c r="H104" s="279">
        <v>0.32</v>
      </c>
      <c r="I104" s="310"/>
      <c r="J104" s="310"/>
      <c r="K104" s="4"/>
      <c r="L104" s="4">
        <f t="shared" si="8"/>
        <v>0</v>
      </c>
      <c r="M104" s="279">
        <v>0.32</v>
      </c>
      <c r="N104" s="310"/>
      <c r="O104" s="310"/>
      <c r="P104" s="4"/>
      <c r="Q104" s="4">
        <f t="shared" si="9"/>
        <v>0</v>
      </c>
      <c r="R104" s="279">
        <v>0.26</v>
      </c>
      <c r="S104" s="310"/>
      <c r="T104" s="310"/>
      <c r="U104" s="4"/>
      <c r="V104" s="4">
        <f t="shared" si="10"/>
        <v>0</v>
      </c>
      <c r="W104" s="279">
        <v>0.14000000000000001</v>
      </c>
      <c r="X104" s="310"/>
      <c r="Y104" s="310"/>
      <c r="Z104" s="4"/>
      <c r="AA104" s="4">
        <f t="shared" si="11"/>
        <v>0</v>
      </c>
      <c r="AB104" s="279">
        <v>0.2</v>
      </c>
      <c r="AC104" s="310"/>
      <c r="AD104" s="310"/>
      <c r="AE104" s="4"/>
      <c r="AF104" s="4">
        <f t="shared" si="12"/>
        <v>0</v>
      </c>
      <c r="AG104" s="279">
        <v>0.15</v>
      </c>
      <c r="AH104" s="310"/>
      <c r="AI104" s="310"/>
      <c r="AJ104" s="4"/>
      <c r="AK104" s="4">
        <f t="shared" si="13"/>
        <v>0</v>
      </c>
      <c r="AL104" s="279">
        <v>0.15</v>
      </c>
      <c r="AM104" s="310"/>
      <c r="AN104" s="310"/>
      <c r="AO104" s="4"/>
      <c r="AP104" s="4">
        <f t="shared" si="14"/>
        <v>0</v>
      </c>
    </row>
    <row r="105" spans="1:42" ht="15.75" x14ac:dyDescent="0.25">
      <c r="A105" s="277"/>
      <c r="B105" s="278" t="s">
        <v>428</v>
      </c>
      <c r="C105" s="279">
        <v>0.24</v>
      </c>
      <c r="D105" s="310"/>
      <c r="E105" s="310"/>
      <c r="F105" s="4"/>
      <c r="G105" s="4">
        <f t="shared" si="0"/>
        <v>0</v>
      </c>
      <c r="H105" s="279">
        <v>0.1</v>
      </c>
      <c r="I105" s="310"/>
      <c r="J105" s="310"/>
      <c r="K105" s="4"/>
      <c r="L105" s="4">
        <f t="shared" si="8"/>
        <v>0</v>
      </c>
      <c r="M105" s="279">
        <v>0.11</v>
      </c>
      <c r="N105" s="310"/>
      <c r="O105" s="310"/>
      <c r="P105" s="4"/>
      <c r="Q105" s="4">
        <f t="shared" si="9"/>
        <v>0</v>
      </c>
      <c r="R105" s="279">
        <v>0.09</v>
      </c>
      <c r="S105" s="310"/>
      <c r="T105" s="310"/>
      <c r="U105" s="4"/>
      <c r="V105" s="4">
        <f t="shared" si="10"/>
        <v>0</v>
      </c>
      <c r="W105" s="279">
        <v>0.05</v>
      </c>
      <c r="X105" s="310"/>
      <c r="Y105" s="310"/>
      <c r="Z105" s="4"/>
      <c r="AA105" s="4">
        <f t="shared" si="11"/>
        <v>0</v>
      </c>
      <c r="AB105" s="279">
        <v>0.09</v>
      </c>
      <c r="AC105" s="310"/>
      <c r="AD105" s="310"/>
      <c r="AE105" s="4"/>
      <c r="AF105" s="4">
        <f t="shared" si="12"/>
        <v>0</v>
      </c>
      <c r="AG105" s="279">
        <v>0.08</v>
      </c>
      <c r="AH105" s="310"/>
      <c r="AI105" s="310"/>
      <c r="AJ105" s="4"/>
      <c r="AK105" s="4">
        <f t="shared" si="13"/>
        <v>0</v>
      </c>
      <c r="AL105" s="279">
        <v>0.05</v>
      </c>
      <c r="AM105" s="310"/>
      <c r="AN105" s="310"/>
      <c r="AO105" s="4"/>
      <c r="AP105" s="4">
        <f t="shared" si="14"/>
        <v>0</v>
      </c>
    </row>
    <row r="106" spans="1:42" ht="15.75" x14ac:dyDescent="0.25">
      <c r="A106" s="277"/>
      <c r="B106" s="278" t="s">
        <v>429</v>
      </c>
      <c r="C106" s="279">
        <v>0.31</v>
      </c>
      <c r="D106" s="310"/>
      <c r="E106" s="310"/>
      <c r="F106" s="4"/>
      <c r="G106" s="4">
        <f t="shared" si="0"/>
        <v>0</v>
      </c>
      <c r="H106" s="279">
        <v>0.13</v>
      </c>
      <c r="I106" s="310"/>
      <c r="J106" s="310"/>
      <c r="K106" s="4"/>
      <c r="L106" s="4">
        <f t="shared" si="8"/>
        <v>0</v>
      </c>
      <c r="M106" s="279">
        <v>0.14000000000000001</v>
      </c>
      <c r="N106" s="310"/>
      <c r="O106" s="310"/>
      <c r="P106" s="4"/>
      <c r="Q106" s="4">
        <f t="shared" si="9"/>
        <v>0</v>
      </c>
      <c r="R106" s="279">
        <v>0.11</v>
      </c>
      <c r="S106" s="310"/>
      <c r="T106" s="310"/>
      <c r="U106" s="4"/>
      <c r="V106" s="4">
        <f t="shared" si="10"/>
        <v>0</v>
      </c>
      <c r="W106" s="279">
        <v>0.06</v>
      </c>
      <c r="X106" s="310"/>
      <c r="Y106" s="310"/>
      <c r="Z106" s="4"/>
      <c r="AA106" s="4">
        <f t="shared" si="11"/>
        <v>0</v>
      </c>
      <c r="AB106" s="279">
        <v>0.11</v>
      </c>
      <c r="AC106" s="310"/>
      <c r="AD106" s="310"/>
      <c r="AE106" s="4"/>
      <c r="AF106" s="4">
        <f t="shared" si="12"/>
        <v>0</v>
      </c>
      <c r="AG106" s="279">
        <v>0.09</v>
      </c>
      <c r="AH106" s="310"/>
      <c r="AI106" s="310"/>
      <c r="AJ106" s="4"/>
      <c r="AK106" s="4">
        <f t="shared" si="13"/>
        <v>0</v>
      </c>
      <c r="AL106" s="279">
        <v>0.06</v>
      </c>
      <c r="AM106" s="310"/>
      <c r="AN106" s="310"/>
      <c r="AO106" s="4"/>
      <c r="AP106" s="4">
        <f t="shared" si="14"/>
        <v>0</v>
      </c>
    </row>
    <row r="107" spans="1:42" ht="31.5" x14ac:dyDescent="0.25">
      <c r="A107" s="277"/>
      <c r="B107" s="278" t="s">
        <v>537</v>
      </c>
      <c r="C107" s="279">
        <v>3.81</v>
      </c>
      <c r="D107" s="310"/>
      <c r="E107" s="310"/>
      <c r="F107" s="4"/>
      <c r="G107" s="4">
        <f t="shared" si="0"/>
        <v>0</v>
      </c>
      <c r="H107" s="279">
        <v>1.64</v>
      </c>
      <c r="I107" s="310"/>
      <c r="J107" s="310"/>
      <c r="K107" s="4"/>
      <c r="L107" s="4">
        <f t="shared" si="8"/>
        <v>0</v>
      </c>
      <c r="M107" s="279">
        <v>1.65</v>
      </c>
      <c r="N107" s="310"/>
      <c r="O107" s="310"/>
      <c r="P107" s="4"/>
      <c r="Q107" s="4">
        <f t="shared" si="9"/>
        <v>0</v>
      </c>
      <c r="R107" s="279">
        <v>1.37</v>
      </c>
      <c r="S107" s="310"/>
      <c r="T107" s="310"/>
      <c r="U107" s="4"/>
      <c r="V107" s="4">
        <f t="shared" si="10"/>
        <v>0</v>
      </c>
      <c r="W107" s="279">
        <v>0.71</v>
      </c>
      <c r="X107" s="310"/>
      <c r="Y107" s="310"/>
      <c r="Z107" s="4"/>
      <c r="AA107" s="4">
        <f t="shared" si="11"/>
        <v>0</v>
      </c>
      <c r="AB107" s="279">
        <v>0.85</v>
      </c>
      <c r="AC107" s="310"/>
      <c r="AD107" s="310"/>
      <c r="AE107" s="4"/>
      <c r="AF107" s="4">
        <f t="shared" si="12"/>
        <v>0</v>
      </c>
      <c r="AG107" s="279">
        <v>0.65</v>
      </c>
      <c r="AH107" s="310"/>
      <c r="AI107" s="310"/>
      <c r="AJ107" s="4"/>
      <c r="AK107" s="4">
        <f t="shared" si="13"/>
        <v>0</v>
      </c>
      <c r="AL107" s="279">
        <v>0.76</v>
      </c>
      <c r="AM107" s="310"/>
      <c r="AN107" s="310"/>
      <c r="AO107" s="4"/>
      <c r="AP107" s="4">
        <f t="shared" si="14"/>
        <v>0</v>
      </c>
    </row>
    <row r="108" spans="1:42" ht="31.5" x14ac:dyDescent="0.25">
      <c r="A108" s="277"/>
      <c r="B108" s="278" t="s">
        <v>536</v>
      </c>
      <c r="C108" s="279">
        <v>3.5</v>
      </c>
      <c r="D108" s="310"/>
      <c r="E108" s="310"/>
      <c r="F108" s="4"/>
      <c r="G108" s="4">
        <f t="shared" si="0"/>
        <v>0</v>
      </c>
      <c r="H108" s="279">
        <v>1.5</v>
      </c>
      <c r="I108" s="310"/>
      <c r="J108" s="310"/>
      <c r="K108" s="4"/>
      <c r="L108" s="4">
        <f t="shared" si="8"/>
        <v>0</v>
      </c>
      <c r="M108" s="279">
        <v>1.51</v>
      </c>
      <c r="N108" s="310"/>
      <c r="O108" s="310"/>
      <c r="P108" s="4"/>
      <c r="Q108" s="4">
        <f t="shared" si="9"/>
        <v>0</v>
      </c>
      <c r="R108" s="279">
        <v>1.25</v>
      </c>
      <c r="S108" s="310"/>
      <c r="T108" s="310"/>
      <c r="U108" s="4"/>
      <c r="V108" s="4">
        <f t="shared" si="10"/>
        <v>0</v>
      </c>
      <c r="W108" s="279">
        <v>0.65</v>
      </c>
      <c r="X108" s="310"/>
      <c r="Y108" s="310"/>
      <c r="Z108" s="4"/>
      <c r="AA108" s="4">
        <f t="shared" si="11"/>
        <v>0</v>
      </c>
      <c r="AB108" s="279">
        <v>0.78</v>
      </c>
      <c r="AC108" s="310"/>
      <c r="AD108" s="310"/>
      <c r="AE108" s="4"/>
      <c r="AF108" s="4">
        <f t="shared" si="12"/>
        <v>0</v>
      </c>
      <c r="AG108" s="279">
        <v>0.6</v>
      </c>
      <c r="AH108" s="310"/>
      <c r="AI108" s="310"/>
      <c r="AJ108" s="4"/>
      <c r="AK108" s="4">
        <f t="shared" si="13"/>
        <v>0</v>
      </c>
      <c r="AL108" s="279">
        <v>0.7</v>
      </c>
      <c r="AM108" s="310"/>
      <c r="AN108" s="310"/>
      <c r="AO108" s="4"/>
      <c r="AP108" s="4">
        <f t="shared" si="14"/>
        <v>0</v>
      </c>
    </row>
    <row r="109" spans="1:42" ht="31.5" x14ac:dyDescent="0.25">
      <c r="A109" s="277"/>
      <c r="B109" s="278" t="s">
        <v>538</v>
      </c>
      <c r="C109" s="279">
        <v>3.5</v>
      </c>
      <c r="D109" s="310"/>
      <c r="E109" s="310"/>
      <c r="F109" s="4"/>
      <c r="G109" s="4">
        <f t="shared" si="0"/>
        <v>0</v>
      </c>
      <c r="H109" s="279">
        <v>1.5</v>
      </c>
      <c r="I109" s="310"/>
      <c r="J109" s="310"/>
      <c r="K109" s="4"/>
      <c r="L109" s="4">
        <f t="shared" si="8"/>
        <v>0</v>
      </c>
      <c r="M109" s="279">
        <v>1.51</v>
      </c>
      <c r="N109" s="310"/>
      <c r="O109" s="310"/>
      <c r="P109" s="4"/>
      <c r="Q109" s="4">
        <f t="shared" si="9"/>
        <v>0</v>
      </c>
      <c r="R109" s="279">
        <v>1.25</v>
      </c>
      <c r="S109" s="310"/>
      <c r="T109" s="310"/>
      <c r="U109" s="4"/>
      <c r="V109" s="4">
        <f t="shared" si="10"/>
        <v>0</v>
      </c>
      <c r="W109" s="279">
        <v>0.65</v>
      </c>
      <c r="X109" s="310"/>
      <c r="Y109" s="310"/>
      <c r="Z109" s="4"/>
      <c r="AA109" s="4">
        <f t="shared" si="11"/>
        <v>0</v>
      </c>
      <c r="AB109" s="279">
        <v>0.78</v>
      </c>
      <c r="AC109" s="310"/>
      <c r="AD109" s="310"/>
      <c r="AE109" s="4"/>
      <c r="AF109" s="4">
        <f t="shared" si="12"/>
        <v>0</v>
      </c>
      <c r="AG109" s="279">
        <v>0.6</v>
      </c>
      <c r="AH109" s="310"/>
      <c r="AI109" s="310"/>
      <c r="AJ109" s="4"/>
      <c r="AK109" s="4">
        <f t="shared" si="13"/>
        <v>0</v>
      </c>
      <c r="AL109" s="279">
        <v>0.7</v>
      </c>
      <c r="AM109" s="310"/>
      <c r="AN109" s="310"/>
      <c r="AO109" s="4"/>
      <c r="AP109" s="4">
        <f t="shared" si="14"/>
        <v>0</v>
      </c>
    </row>
    <row r="110" spans="1:42" ht="31.5" x14ac:dyDescent="0.25">
      <c r="A110" s="277"/>
      <c r="B110" s="278" t="s">
        <v>539</v>
      </c>
      <c r="C110" s="279">
        <v>0.39</v>
      </c>
      <c r="D110" s="310"/>
      <c r="E110" s="310"/>
      <c r="F110" s="4"/>
      <c r="G110" s="4">
        <f t="shared" si="0"/>
        <v>0</v>
      </c>
      <c r="H110" s="279">
        <v>0.17</v>
      </c>
      <c r="I110" s="310"/>
      <c r="J110" s="310"/>
      <c r="K110" s="4"/>
      <c r="L110" s="4">
        <f t="shared" si="8"/>
        <v>0</v>
      </c>
      <c r="M110" s="279">
        <v>0.17</v>
      </c>
      <c r="N110" s="310"/>
      <c r="O110" s="310"/>
      <c r="P110" s="4"/>
      <c r="Q110" s="4">
        <f t="shared" si="9"/>
        <v>0</v>
      </c>
      <c r="R110" s="279">
        <v>0.14000000000000001</v>
      </c>
      <c r="S110" s="310"/>
      <c r="T110" s="310"/>
      <c r="U110" s="4"/>
      <c r="V110" s="4">
        <f t="shared" si="10"/>
        <v>0</v>
      </c>
      <c r="W110" s="279">
        <v>7.0000000000000007E-2</v>
      </c>
      <c r="X110" s="310"/>
      <c r="Y110" s="310"/>
      <c r="Z110" s="4"/>
      <c r="AA110" s="4">
        <f t="shared" si="11"/>
        <v>0</v>
      </c>
      <c r="AB110" s="279">
        <v>0.12</v>
      </c>
      <c r="AC110" s="310"/>
      <c r="AD110" s="310"/>
      <c r="AE110" s="4"/>
      <c r="AF110" s="4">
        <f t="shared" si="12"/>
        <v>0</v>
      </c>
      <c r="AG110" s="279">
        <v>0.1</v>
      </c>
      <c r="AH110" s="310"/>
      <c r="AI110" s="310"/>
      <c r="AJ110" s="4"/>
      <c r="AK110" s="4">
        <f t="shared" si="13"/>
        <v>0</v>
      </c>
      <c r="AL110" s="279">
        <v>0.08</v>
      </c>
      <c r="AM110" s="310"/>
      <c r="AN110" s="310"/>
      <c r="AO110" s="4"/>
      <c r="AP110" s="4">
        <f t="shared" si="14"/>
        <v>0</v>
      </c>
    </row>
    <row r="111" spans="1:42" ht="15.75" x14ac:dyDescent="0.25">
      <c r="A111" s="277"/>
      <c r="B111" s="278" t="s">
        <v>540</v>
      </c>
      <c r="C111" s="279">
        <v>0.55000000000000004</v>
      </c>
      <c r="D111" s="310"/>
      <c r="E111" s="310"/>
      <c r="F111" s="4"/>
      <c r="G111" s="4">
        <f t="shared" si="0"/>
        <v>0</v>
      </c>
      <c r="H111" s="279">
        <v>0.23</v>
      </c>
      <c r="I111" s="310"/>
      <c r="J111" s="310"/>
      <c r="K111" s="4"/>
      <c r="L111" s="4">
        <f t="shared" si="8"/>
        <v>0</v>
      </c>
      <c r="M111" s="279">
        <v>0.24</v>
      </c>
      <c r="N111" s="310"/>
      <c r="O111" s="310"/>
      <c r="P111" s="4"/>
      <c r="Q111" s="4">
        <f t="shared" si="9"/>
        <v>0</v>
      </c>
      <c r="R111" s="279">
        <v>0.2</v>
      </c>
      <c r="S111" s="310"/>
      <c r="T111" s="310"/>
      <c r="U111" s="4"/>
      <c r="V111" s="4">
        <f t="shared" si="10"/>
        <v>0</v>
      </c>
      <c r="W111" s="279">
        <v>0.1</v>
      </c>
      <c r="X111" s="310"/>
      <c r="Y111" s="310"/>
      <c r="Z111" s="4"/>
      <c r="AA111" s="4">
        <f t="shared" si="11"/>
        <v>0</v>
      </c>
      <c r="AB111" s="279">
        <v>0.16</v>
      </c>
      <c r="AC111" s="310"/>
      <c r="AD111" s="310"/>
      <c r="AE111" s="4"/>
      <c r="AF111" s="4">
        <f t="shared" si="12"/>
        <v>0</v>
      </c>
      <c r="AG111" s="279">
        <v>0.12</v>
      </c>
      <c r="AH111" s="310"/>
      <c r="AI111" s="310"/>
      <c r="AJ111" s="4"/>
      <c r="AK111" s="4">
        <f t="shared" si="13"/>
        <v>0</v>
      </c>
      <c r="AL111" s="279">
        <v>0.11</v>
      </c>
      <c r="AM111" s="310"/>
      <c r="AN111" s="310"/>
      <c r="AO111" s="4"/>
      <c r="AP111" s="4">
        <f t="shared" si="14"/>
        <v>0</v>
      </c>
    </row>
    <row r="112" spans="1:42" ht="15.75" x14ac:dyDescent="0.25">
      <c r="A112" s="277"/>
      <c r="B112" s="278" t="s">
        <v>541</v>
      </c>
      <c r="C112" s="279">
        <v>0.74</v>
      </c>
      <c r="D112" s="310"/>
      <c r="E112" s="310"/>
      <c r="F112" s="4"/>
      <c r="G112" s="4">
        <f t="shared" si="0"/>
        <v>0</v>
      </c>
      <c r="H112" s="279">
        <v>0.32</v>
      </c>
      <c r="I112" s="310"/>
      <c r="J112" s="310"/>
      <c r="K112" s="4"/>
      <c r="L112" s="4">
        <f t="shared" si="8"/>
        <v>0</v>
      </c>
      <c r="M112" s="279">
        <v>0.32</v>
      </c>
      <c r="N112" s="310"/>
      <c r="O112" s="310"/>
      <c r="P112" s="4"/>
      <c r="Q112" s="4">
        <f t="shared" si="9"/>
        <v>0</v>
      </c>
      <c r="R112" s="279">
        <v>0.26</v>
      </c>
      <c r="S112" s="310"/>
      <c r="T112" s="310"/>
      <c r="U112" s="4"/>
      <c r="V112" s="4">
        <f t="shared" si="10"/>
        <v>0</v>
      </c>
      <c r="W112" s="279">
        <v>0.14000000000000001</v>
      </c>
      <c r="X112" s="310"/>
      <c r="Y112" s="310"/>
      <c r="Z112" s="4"/>
      <c r="AA112" s="4">
        <f t="shared" si="11"/>
        <v>0</v>
      </c>
      <c r="AB112" s="279">
        <v>0.2</v>
      </c>
      <c r="AC112" s="310"/>
      <c r="AD112" s="310"/>
      <c r="AE112" s="4"/>
      <c r="AF112" s="4">
        <f t="shared" si="12"/>
        <v>0</v>
      </c>
      <c r="AG112" s="279">
        <v>0.15</v>
      </c>
      <c r="AH112" s="310"/>
      <c r="AI112" s="310"/>
      <c r="AJ112" s="4"/>
      <c r="AK112" s="4">
        <f t="shared" si="13"/>
        <v>0</v>
      </c>
      <c r="AL112" s="279">
        <v>0.15</v>
      </c>
      <c r="AM112" s="310"/>
      <c r="AN112" s="310"/>
      <c r="AO112" s="4"/>
      <c r="AP112" s="4">
        <f t="shared" si="14"/>
        <v>0</v>
      </c>
    </row>
    <row r="113" spans="1:42" ht="31.5" x14ac:dyDescent="0.25">
      <c r="A113" s="277"/>
      <c r="B113" s="278" t="s">
        <v>542</v>
      </c>
      <c r="C113" s="279">
        <v>1.89</v>
      </c>
      <c r="D113" s="310"/>
      <c r="E113" s="310"/>
      <c r="F113" s="4"/>
      <c r="G113" s="4">
        <f t="shared" si="0"/>
        <v>0</v>
      </c>
      <c r="H113" s="279">
        <v>0.81</v>
      </c>
      <c r="I113" s="310"/>
      <c r="J113" s="310"/>
      <c r="K113" s="4"/>
      <c r="L113" s="4">
        <f t="shared" si="8"/>
        <v>0</v>
      </c>
      <c r="M113" s="279">
        <v>0.82</v>
      </c>
      <c r="N113" s="310"/>
      <c r="O113" s="310"/>
      <c r="P113" s="4"/>
      <c r="Q113" s="4">
        <f t="shared" si="9"/>
        <v>0</v>
      </c>
      <c r="R113" s="279">
        <v>0.68</v>
      </c>
      <c r="S113" s="310"/>
      <c r="T113" s="310"/>
      <c r="U113" s="4"/>
      <c r="V113" s="4">
        <f t="shared" si="10"/>
        <v>0</v>
      </c>
      <c r="W113" s="279">
        <v>0.35</v>
      </c>
      <c r="X113" s="310"/>
      <c r="Y113" s="310"/>
      <c r="Z113" s="4"/>
      <c r="AA113" s="4">
        <f t="shared" si="11"/>
        <v>0</v>
      </c>
      <c r="AB113" s="279">
        <v>0.44</v>
      </c>
      <c r="AC113" s="310"/>
      <c r="AD113" s="310"/>
      <c r="AE113" s="4"/>
      <c r="AF113" s="4">
        <f t="shared" si="12"/>
        <v>0</v>
      </c>
      <c r="AG113" s="279">
        <v>0.34</v>
      </c>
      <c r="AH113" s="310"/>
      <c r="AI113" s="310"/>
      <c r="AJ113" s="4"/>
      <c r="AK113" s="4">
        <f t="shared" si="13"/>
        <v>0</v>
      </c>
      <c r="AL113" s="279">
        <v>0.38</v>
      </c>
      <c r="AM113" s="310"/>
      <c r="AN113" s="310"/>
      <c r="AO113" s="4"/>
      <c r="AP113" s="4">
        <f t="shared" si="14"/>
        <v>0</v>
      </c>
    </row>
    <row r="114" spans="1:42" ht="15.75" x14ac:dyDescent="0.25">
      <c r="A114" s="277"/>
      <c r="B114" s="278" t="s">
        <v>543</v>
      </c>
      <c r="C114" s="279">
        <v>3.58</v>
      </c>
      <c r="D114" s="310"/>
      <c r="E114" s="310"/>
      <c r="F114" s="4"/>
      <c r="G114" s="4">
        <f t="shared" si="0"/>
        <v>0</v>
      </c>
      <c r="H114" s="279">
        <v>1.54</v>
      </c>
      <c r="I114" s="310"/>
      <c r="J114" s="310"/>
      <c r="K114" s="4"/>
      <c r="L114" s="4">
        <f t="shared" si="8"/>
        <v>0</v>
      </c>
      <c r="M114" s="279">
        <v>1.55</v>
      </c>
      <c r="N114" s="310"/>
      <c r="O114" s="310"/>
      <c r="P114" s="4"/>
      <c r="Q114" s="4">
        <f t="shared" si="9"/>
        <v>0</v>
      </c>
      <c r="R114" s="279">
        <v>1.28</v>
      </c>
      <c r="S114" s="310"/>
      <c r="T114" s="310"/>
      <c r="U114" s="4"/>
      <c r="V114" s="4">
        <f t="shared" si="10"/>
        <v>0</v>
      </c>
      <c r="W114" s="279">
        <v>0.67</v>
      </c>
      <c r="X114" s="310"/>
      <c r="Y114" s="310"/>
      <c r="Z114" s="4"/>
      <c r="AA114" s="4">
        <f t="shared" si="11"/>
        <v>0</v>
      </c>
      <c r="AB114" s="279">
        <v>0.8</v>
      </c>
      <c r="AC114" s="310"/>
      <c r="AD114" s="310"/>
      <c r="AE114" s="4"/>
      <c r="AF114" s="4">
        <f t="shared" si="12"/>
        <v>0</v>
      </c>
      <c r="AG114" s="279">
        <v>0.61</v>
      </c>
      <c r="AH114" s="310"/>
      <c r="AI114" s="310"/>
      <c r="AJ114" s="4"/>
      <c r="AK114" s="4">
        <f t="shared" si="13"/>
        <v>0</v>
      </c>
      <c r="AL114" s="279">
        <v>0.71</v>
      </c>
      <c r="AM114" s="310"/>
      <c r="AN114" s="310"/>
      <c r="AO114" s="4"/>
      <c r="AP114" s="4">
        <f t="shared" si="14"/>
        <v>0</v>
      </c>
    </row>
    <row r="115" spans="1:42" ht="31.5" x14ac:dyDescent="0.25">
      <c r="A115" s="277"/>
      <c r="B115" s="278" t="s">
        <v>544</v>
      </c>
      <c r="C115" s="279">
        <v>2.94</v>
      </c>
      <c r="D115" s="310"/>
      <c r="E115" s="310"/>
      <c r="F115" s="4"/>
      <c r="G115" s="4">
        <f t="shared" si="0"/>
        <v>0</v>
      </c>
      <c r="H115" s="279">
        <v>1.26</v>
      </c>
      <c r="I115" s="310"/>
      <c r="J115" s="310"/>
      <c r="K115" s="4"/>
      <c r="L115" s="4">
        <f t="shared" si="8"/>
        <v>0</v>
      </c>
      <c r="M115" s="279">
        <v>1.27</v>
      </c>
      <c r="N115" s="310"/>
      <c r="O115" s="310"/>
      <c r="P115" s="4"/>
      <c r="Q115" s="4">
        <f t="shared" si="9"/>
        <v>0</v>
      </c>
      <c r="R115" s="279">
        <v>1.06</v>
      </c>
      <c r="S115" s="310"/>
      <c r="T115" s="310"/>
      <c r="U115" s="4"/>
      <c r="V115" s="4">
        <f t="shared" si="10"/>
        <v>0</v>
      </c>
      <c r="W115" s="279">
        <v>0.55000000000000004</v>
      </c>
      <c r="X115" s="310"/>
      <c r="Y115" s="310"/>
      <c r="Z115" s="4"/>
      <c r="AA115" s="4">
        <f t="shared" si="11"/>
        <v>0</v>
      </c>
      <c r="AB115" s="279">
        <v>0.66</v>
      </c>
      <c r="AC115" s="310"/>
      <c r="AD115" s="310"/>
      <c r="AE115" s="4"/>
      <c r="AF115" s="4">
        <f t="shared" si="12"/>
        <v>0</v>
      </c>
      <c r="AG115" s="279">
        <v>0.51</v>
      </c>
      <c r="AH115" s="310"/>
      <c r="AI115" s="310"/>
      <c r="AJ115" s="4"/>
      <c r="AK115" s="4">
        <f t="shared" si="13"/>
        <v>0</v>
      </c>
      <c r="AL115" s="279">
        <v>0.59</v>
      </c>
      <c r="AM115" s="310"/>
      <c r="AN115" s="310"/>
      <c r="AO115" s="4"/>
      <c r="AP115" s="4">
        <f t="shared" si="14"/>
        <v>0</v>
      </c>
    </row>
    <row r="116" spans="1:42" ht="15.75" x14ac:dyDescent="0.25">
      <c r="A116" s="277"/>
      <c r="B116" s="278" t="s">
        <v>545</v>
      </c>
      <c r="C116" s="279">
        <v>1.85</v>
      </c>
      <c r="D116" s="310"/>
      <c r="E116" s="310"/>
      <c r="F116" s="4"/>
      <c r="G116" s="4">
        <f t="shared" si="0"/>
        <v>0</v>
      </c>
      <c r="H116" s="279">
        <v>0.8</v>
      </c>
      <c r="I116" s="310"/>
      <c r="J116" s="310"/>
      <c r="K116" s="4"/>
      <c r="L116" s="4">
        <f t="shared" si="8"/>
        <v>0</v>
      </c>
      <c r="M116" s="279">
        <v>0.8</v>
      </c>
      <c r="N116" s="310"/>
      <c r="O116" s="310"/>
      <c r="P116" s="4"/>
      <c r="Q116" s="4">
        <f t="shared" si="9"/>
        <v>0</v>
      </c>
      <c r="R116" s="279">
        <v>0.66</v>
      </c>
      <c r="S116" s="310"/>
      <c r="T116" s="310"/>
      <c r="U116" s="4"/>
      <c r="V116" s="4">
        <f t="shared" si="10"/>
        <v>0</v>
      </c>
      <c r="W116" s="279">
        <v>0.34</v>
      </c>
      <c r="X116" s="310"/>
      <c r="Y116" s="310"/>
      <c r="Z116" s="4"/>
      <c r="AA116" s="4">
        <f t="shared" si="11"/>
        <v>0</v>
      </c>
      <c r="AB116" s="279">
        <v>0.43</v>
      </c>
      <c r="AC116" s="310"/>
      <c r="AD116" s="310"/>
      <c r="AE116" s="4"/>
      <c r="AF116" s="4">
        <f t="shared" si="12"/>
        <v>0</v>
      </c>
      <c r="AG116" s="279">
        <v>0.33</v>
      </c>
      <c r="AH116" s="310"/>
      <c r="AI116" s="310"/>
      <c r="AJ116" s="4"/>
      <c r="AK116" s="4">
        <f t="shared" si="13"/>
        <v>0</v>
      </c>
      <c r="AL116" s="279">
        <v>0.37</v>
      </c>
      <c r="AM116" s="310"/>
      <c r="AN116" s="310"/>
      <c r="AO116" s="4"/>
      <c r="AP116" s="4">
        <f t="shared" si="14"/>
        <v>0</v>
      </c>
    </row>
    <row r="117" spans="1:42" ht="31.5" x14ac:dyDescent="0.25">
      <c r="A117" s="277"/>
      <c r="B117" s="278" t="s">
        <v>546</v>
      </c>
      <c r="C117" s="279">
        <v>1.37</v>
      </c>
      <c r="D117" s="310"/>
      <c r="E117" s="310"/>
      <c r="F117" s="4"/>
      <c r="G117" s="4">
        <f t="shared" si="0"/>
        <v>0</v>
      </c>
      <c r="H117" s="279">
        <v>0.59</v>
      </c>
      <c r="I117" s="310"/>
      <c r="J117" s="310"/>
      <c r="K117" s="4"/>
      <c r="L117" s="4">
        <f t="shared" si="8"/>
        <v>0</v>
      </c>
      <c r="M117" s="279">
        <v>0.59</v>
      </c>
      <c r="N117" s="310"/>
      <c r="O117" s="310"/>
      <c r="P117" s="4"/>
      <c r="Q117" s="4">
        <f t="shared" si="9"/>
        <v>0</v>
      </c>
      <c r="R117" s="279">
        <v>0.49</v>
      </c>
      <c r="S117" s="310"/>
      <c r="T117" s="310"/>
      <c r="U117" s="4"/>
      <c r="V117" s="4">
        <f t="shared" si="10"/>
        <v>0</v>
      </c>
      <c r="W117" s="279">
        <v>0.25</v>
      </c>
      <c r="X117" s="310"/>
      <c r="Y117" s="310"/>
      <c r="Z117" s="4"/>
      <c r="AA117" s="4">
        <f t="shared" si="11"/>
        <v>0</v>
      </c>
      <c r="AB117" s="279">
        <v>0.33</v>
      </c>
      <c r="AC117" s="310"/>
      <c r="AD117" s="310"/>
      <c r="AE117" s="4"/>
      <c r="AF117" s="4">
        <f t="shared" si="12"/>
        <v>0</v>
      </c>
      <c r="AG117" s="279">
        <v>0.26</v>
      </c>
      <c r="AH117" s="310"/>
      <c r="AI117" s="310"/>
      <c r="AJ117" s="4"/>
      <c r="AK117" s="4">
        <f t="shared" si="13"/>
        <v>0</v>
      </c>
      <c r="AL117" s="279">
        <v>0.27</v>
      </c>
      <c r="AM117" s="310"/>
      <c r="AN117" s="310"/>
      <c r="AO117" s="4"/>
      <c r="AP117" s="4">
        <f t="shared" si="14"/>
        <v>0</v>
      </c>
    </row>
    <row r="118" spans="1:42" ht="31.5" x14ac:dyDescent="0.25">
      <c r="A118" s="277"/>
      <c r="B118" s="278" t="s">
        <v>547</v>
      </c>
      <c r="C118" s="279">
        <v>1.35</v>
      </c>
      <c r="D118" s="310"/>
      <c r="E118" s="310"/>
      <c r="F118" s="4"/>
      <c r="G118" s="4">
        <f t="shared" si="0"/>
        <v>0</v>
      </c>
      <c r="H118" s="279">
        <v>0.57999999999999996</v>
      </c>
      <c r="I118" s="310"/>
      <c r="J118" s="310"/>
      <c r="K118" s="4"/>
      <c r="L118" s="4">
        <f t="shared" si="8"/>
        <v>0</v>
      </c>
      <c r="M118" s="279">
        <v>0.57999999999999996</v>
      </c>
      <c r="N118" s="310"/>
      <c r="O118" s="310"/>
      <c r="P118" s="4"/>
      <c r="Q118" s="4">
        <f t="shared" si="9"/>
        <v>0</v>
      </c>
      <c r="R118" s="279">
        <v>0.48</v>
      </c>
      <c r="S118" s="310"/>
      <c r="T118" s="310"/>
      <c r="U118" s="4"/>
      <c r="V118" s="4">
        <f t="shared" si="10"/>
        <v>0</v>
      </c>
      <c r="W118" s="279">
        <v>0.25</v>
      </c>
      <c r="X118" s="310"/>
      <c r="Y118" s="310"/>
      <c r="Z118" s="4"/>
      <c r="AA118" s="4">
        <f t="shared" si="11"/>
        <v>0</v>
      </c>
      <c r="AB118" s="279">
        <v>0.33</v>
      </c>
      <c r="AC118" s="310"/>
      <c r="AD118" s="310"/>
      <c r="AE118" s="4"/>
      <c r="AF118" s="4">
        <f t="shared" si="12"/>
        <v>0</v>
      </c>
      <c r="AG118" s="279">
        <v>0.25</v>
      </c>
      <c r="AH118" s="310"/>
      <c r="AI118" s="310"/>
      <c r="AJ118" s="4"/>
      <c r="AK118" s="4">
        <f t="shared" si="13"/>
        <v>0</v>
      </c>
      <c r="AL118" s="279">
        <v>0.27</v>
      </c>
      <c r="AM118" s="310"/>
      <c r="AN118" s="310"/>
      <c r="AO118" s="4"/>
      <c r="AP118" s="4">
        <f t="shared" si="14"/>
        <v>0</v>
      </c>
    </row>
    <row r="119" spans="1:42" ht="31.5" x14ac:dyDescent="0.25">
      <c r="A119" s="277"/>
      <c r="B119" s="278" t="s">
        <v>548</v>
      </c>
      <c r="C119" s="279">
        <v>0.43</v>
      </c>
      <c r="D119" s="310"/>
      <c r="E119" s="310"/>
      <c r="F119" s="4"/>
      <c r="G119" s="4">
        <f t="shared" si="0"/>
        <v>0</v>
      </c>
      <c r="H119" s="279">
        <v>0.19</v>
      </c>
      <c r="I119" s="310"/>
      <c r="J119" s="310"/>
      <c r="K119" s="4"/>
      <c r="L119" s="4">
        <f t="shared" si="8"/>
        <v>0</v>
      </c>
      <c r="M119" s="279">
        <v>0.19</v>
      </c>
      <c r="N119" s="310"/>
      <c r="O119" s="310"/>
      <c r="P119" s="4"/>
      <c r="Q119" s="4">
        <f t="shared" si="9"/>
        <v>0</v>
      </c>
      <c r="R119" s="279">
        <v>0.16</v>
      </c>
      <c r="S119" s="310"/>
      <c r="T119" s="310"/>
      <c r="U119" s="4"/>
      <c r="V119" s="4">
        <f t="shared" si="10"/>
        <v>0</v>
      </c>
      <c r="W119" s="279">
        <v>0.08</v>
      </c>
      <c r="X119" s="310"/>
      <c r="Y119" s="310"/>
      <c r="Z119" s="4"/>
      <c r="AA119" s="4">
        <f t="shared" si="11"/>
        <v>0</v>
      </c>
      <c r="AB119" s="279">
        <v>0.13</v>
      </c>
      <c r="AC119" s="310"/>
      <c r="AD119" s="310"/>
      <c r="AE119" s="4"/>
      <c r="AF119" s="4">
        <f t="shared" si="12"/>
        <v>0</v>
      </c>
      <c r="AG119" s="279">
        <v>0.11</v>
      </c>
      <c r="AH119" s="310"/>
      <c r="AI119" s="310"/>
      <c r="AJ119" s="4"/>
      <c r="AK119" s="4">
        <f t="shared" si="13"/>
        <v>0</v>
      </c>
      <c r="AL119" s="279">
        <v>0.09</v>
      </c>
      <c r="AM119" s="310"/>
      <c r="AN119" s="310"/>
      <c r="AO119" s="4"/>
      <c r="AP119" s="4">
        <f t="shared" si="14"/>
        <v>0</v>
      </c>
    </row>
    <row r="120" spans="1:42" ht="31.5" x14ac:dyDescent="0.25">
      <c r="A120" s="277"/>
      <c r="B120" s="278" t="s">
        <v>549</v>
      </c>
      <c r="C120" s="279">
        <v>0.57999999999999996</v>
      </c>
      <c r="D120" s="310"/>
      <c r="E120" s="310"/>
      <c r="F120" s="4"/>
      <c r="G120" s="4">
        <f t="shared" si="0"/>
        <v>0</v>
      </c>
      <c r="H120" s="279">
        <v>0.25</v>
      </c>
      <c r="I120" s="310"/>
      <c r="J120" s="310"/>
      <c r="K120" s="4"/>
      <c r="L120" s="4">
        <f t="shared" si="8"/>
        <v>0</v>
      </c>
      <c r="M120" s="279">
        <v>0.25</v>
      </c>
      <c r="N120" s="310"/>
      <c r="O120" s="310"/>
      <c r="P120" s="4"/>
      <c r="Q120" s="4">
        <f t="shared" si="9"/>
        <v>0</v>
      </c>
      <c r="R120" s="279">
        <v>0.21</v>
      </c>
      <c r="S120" s="310"/>
      <c r="T120" s="310"/>
      <c r="U120" s="4"/>
      <c r="V120" s="4">
        <f t="shared" si="10"/>
        <v>0</v>
      </c>
      <c r="W120" s="279">
        <v>0.11</v>
      </c>
      <c r="X120" s="310"/>
      <c r="Y120" s="310"/>
      <c r="Z120" s="4"/>
      <c r="AA120" s="4">
        <f t="shared" si="11"/>
        <v>0</v>
      </c>
      <c r="AB120" s="279">
        <v>0.16</v>
      </c>
      <c r="AC120" s="310"/>
      <c r="AD120" s="310"/>
      <c r="AE120" s="4"/>
      <c r="AF120" s="4">
        <f t="shared" si="12"/>
        <v>0</v>
      </c>
      <c r="AG120" s="279">
        <v>0.13</v>
      </c>
      <c r="AH120" s="310"/>
      <c r="AI120" s="310"/>
      <c r="AJ120" s="4"/>
      <c r="AK120" s="4">
        <f t="shared" si="13"/>
        <v>0</v>
      </c>
      <c r="AL120" s="279">
        <v>0.12</v>
      </c>
      <c r="AM120" s="310"/>
      <c r="AN120" s="310"/>
      <c r="AO120" s="4"/>
      <c r="AP120" s="4">
        <f t="shared" si="14"/>
        <v>0</v>
      </c>
    </row>
    <row r="121" spans="1:42" ht="15.75" x14ac:dyDescent="0.25">
      <c r="A121" s="277"/>
      <c r="B121" s="278" t="s">
        <v>550</v>
      </c>
      <c r="C121" s="279">
        <v>3.28</v>
      </c>
      <c r="D121" s="310"/>
      <c r="E121" s="310"/>
      <c r="F121" s="4"/>
      <c r="G121" s="4">
        <f t="shared" si="0"/>
        <v>0</v>
      </c>
      <c r="H121" s="279">
        <v>1.41</v>
      </c>
      <c r="I121" s="310"/>
      <c r="J121" s="310"/>
      <c r="K121" s="4"/>
      <c r="L121" s="4">
        <f t="shared" si="8"/>
        <v>0</v>
      </c>
      <c r="M121" s="279">
        <v>1.42</v>
      </c>
      <c r="N121" s="310"/>
      <c r="O121" s="310"/>
      <c r="P121" s="4"/>
      <c r="Q121" s="4">
        <f t="shared" si="9"/>
        <v>0</v>
      </c>
      <c r="R121" s="279">
        <v>1.18</v>
      </c>
      <c r="S121" s="310"/>
      <c r="T121" s="310"/>
      <c r="U121" s="4"/>
      <c r="V121" s="4">
        <f t="shared" si="10"/>
        <v>0</v>
      </c>
      <c r="W121" s="279">
        <v>0.61</v>
      </c>
      <c r="X121" s="310"/>
      <c r="Y121" s="310"/>
      <c r="Z121" s="4"/>
      <c r="AA121" s="4">
        <f t="shared" si="11"/>
        <v>0</v>
      </c>
      <c r="AB121" s="279">
        <v>0.74</v>
      </c>
      <c r="AC121" s="310"/>
      <c r="AD121" s="310"/>
      <c r="AE121" s="4"/>
      <c r="AF121" s="4">
        <f t="shared" si="12"/>
        <v>0</v>
      </c>
      <c r="AG121" s="279">
        <v>0.56000000000000005</v>
      </c>
      <c r="AH121" s="310"/>
      <c r="AI121" s="310"/>
      <c r="AJ121" s="4"/>
      <c r="AK121" s="4">
        <f t="shared" si="13"/>
        <v>0</v>
      </c>
      <c r="AL121" s="279">
        <v>0.65</v>
      </c>
      <c r="AM121" s="310"/>
      <c r="AN121" s="310"/>
      <c r="AO121" s="4"/>
      <c r="AP121" s="4">
        <f t="shared" si="14"/>
        <v>0</v>
      </c>
    </row>
    <row r="122" spans="1:42" ht="15.75" x14ac:dyDescent="0.25">
      <c r="A122" s="277"/>
      <c r="B122" s="278" t="s">
        <v>551</v>
      </c>
      <c r="C122" s="279">
        <v>4.5199999999999996</v>
      </c>
      <c r="D122" s="310"/>
      <c r="E122" s="310"/>
      <c r="F122" s="4"/>
      <c r="G122" s="4">
        <f t="shared" si="0"/>
        <v>0</v>
      </c>
      <c r="H122" s="279">
        <v>1.94</v>
      </c>
      <c r="I122" s="310"/>
      <c r="J122" s="310"/>
      <c r="K122" s="4"/>
      <c r="L122" s="4">
        <f t="shared" si="8"/>
        <v>0</v>
      </c>
      <c r="M122" s="279">
        <v>1.96</v>
      </c>
      <c r="N122" s="310"/>
      <c r="O122" s="310"/>
      <c r="P122" s="4"/>
      <c r="Q122" s="4">
        <f t="shared" si="9"/>
        <v>0</v>
      </c>
      <c r="R122" s="279">
        <v>1.62</v>
      </c>
      <c r="S122" s="310"/>
      <c r="T122" s="310"/>
      <c r="U122" s="4"/>
      <c r="V122" s="4">
        <f t="shared" si="10"/>
        <v>0</v>
      </c>
      <c r="W122" s="279">
        <v>0.84</v>
      </c>
      <c r="X122" s="310"/>
      <c r="Y122" s="310"/>
      <c r="Z122" s="4"/>
      <c r="AA122" s="4">
        <f t="shared" si="11"/>
        <v>0</v>
      </c>
      <c r="AB122" s="279">
        <v>1</v>
      </c>
      <c r="AC122" s="310"/>
      <c r="AD122" s="310"/>
      <c r="AE122" s="4"/>
      <c r="AF122" s="4">
        <f t="shared" si="12"/>
        <v>0</v>
      </c>
      <c r="AG122" s="279">
        <v>0.76</v>
      </c>
      <c r="AH122" s="310"/>
      <c r="AI122" s="310"/>
      <c r="AJ122" s="4"/>
      <c r="AK122" s="4">
        <f t="shared" si="13"/>
        <v>0</v>
      </c>
      <c r="AL122" s="279">
        <v>0.9</v>
      </c>
      <c r="AM122" s="310"/>
      <c r="AN122" s="310"/>
      <c r="AO122" s="4"/>
      <c r="AP122" s="4">
        <f t="shared" si="14"/>
        <v>0</v>
      </c>
    </row>
    <row r="123" spans="1:42" ht="15.75" x14ac:dyDescent="0.25">
      <c r="A123" s="277"/>
      <c r="B123" s="278" t="s">
        <v>552</v>
      </c>
      <c r="C123" s="279">
        <v>5.2</v>
      </c>
      <c r="D123" s="310"/>
      <c r="E123" s="310"/>
      <c r="F123" s="4"/>
      <c r="G123" s="4">
        <f t="shared" si="0"/>
        <v>0</v>
      </c>
      <c r="H123" s="279">
        <v>2.2400000000000002</v>
      </c>
      <c r="I123" s="310"/>
      <c r="J123" s="310"/>
      <c r="K123" s="4"/>
      <c r="L123" s="4">
        <f t="shared" si="8"/>
        <v>0</v>
      </c>
      <c r="M123" s="279">
        <v>2.25</v>
      </c>
      <c r="N123" s="310"/>
      <c r="O123" s="310"/>
      <c r="P123" s="4"/>
      <c r="Q123" s="4">
        <f t="shared" si="9"/>
        <v>0</v>
      </c>
      <c r="R123" s="279">
        <v>1.87</v>
      </c>
      <c r="S123" s="310"/>
      <c r="T123" s="310"/>
      <c r="U123" s="4"/>
      <c r="V123" s="4">
        <f t="shared" si="10"/>
        <v>0</v>
      </c>
      <c r="W123" s="279">
        <v>0.97</v>
      </c>
      <c r="X123" s="310"/>
      <c r="Y123" s="310"/>
      <c r="Z123" s="4"/>
      <c r="AA123" s="4">
        <f t="shared" si="11"/>
        <v>0</v>
      </c>
      <c r="AB123" s="279">
        <v>1.1399999999999999</v>
      </c>
      <c r="AC123" s="310"/>
      <c r="AD123" s="310"/>
      <c r="AE123" s="4"/>
      <c r="AF123" s="4">
        <f t="shared" si="12"/>
        <v>0</v>
      </c>
      <c r="AG123" s="279">
        <v>0.87</v>
      </c>
      <c r="AH123" s="310"/>
      <c r="AI123" s="310"/>
      <c r="AJ123" s="4"/>
      <c r="AK123" s="4">
        <f t="shared" si="13"/>
        <v>0</v>
      </c>
      <c r="AL123" s="279">
        <v>1.04</v>
      </c>
      <c r="AM123" s="310"/>
      <c r="AN123" s="310"/>
      <c r="AO123" s="4"/>
      <c r="AP123" s="4">
        <f t="shared" si="14"/>
        <v>0</v>
      </c>
    </row>
    <row r="124" spans="1:42" ht="15.75" x14ac:dyDescent="0.25">
      <c r="A124" s="277"/>
      <c r="B124" s="278" t="s">
        <v>553</v>
      </c>
      <c r="C124" s="279">
        <v>4.87</v>
      </c>
      <c r="D124" s="310"/>
      <c r="E124" s="310"/>
      <c r="F124" s="4"/>
      <c r="G124" s="4">
        <f t="shared" si="0"/>
        <v>0</v>
      </c>
      <c r="H124" s="279">
        <v>2.09</v>
      </c>
      <c r="I124" s="310"/>
      <c r="J124" s="310"/>
      <c r="K124" s="4"/>
      <c r="L124" s="4">
        <f t="shared" si="8"/>
        <v>0</v>
      </c>
      <c r="M124" s="279">
        <v>2.11</v>
      </c>
      <c r="N124" s="310"/>
      <c r="O124" s="310"/>
      <c r="P124" s="4"/>
      <c r="Q124" s="4">
        <f t="shared" si="9"/>
        <v>0</v>
      </c>
      <c r="R124" s="279">
        <v>1.75</v>
      </c>
      <c r="S124" s="310"/>
      <c r="T124" s="310"/>
      <c r="U124" s="4"/>
      <c r="V124" s="4">
        <f t="shared" si="10"/>
        <v>0</v>
      </c>
      <c r="W124" s="279">
        <v>0.91</v>
      </c>
      <c r="X124" s="310"/>
      <c r="Y124" s="310"/>
      <c r="Z124" s="4"/>
      <c r="AA124" s="4">
        <f t="shared" si="11"/>
        <v>0</v>
      </c>
      <c r="AB124" s="279">
        <v>1.07</v>
      </c>
      <c r="AC124" s="310"/>
      <c r="AD124" s="310"/>
      <c r="AE124" s="4"/>
      <c r="AF124" s="4">
        <f t="shared" si="12"/>
        <v>0</v>
      </c>
      <c r="AG124" s="279">
        <v>0.82</v>
      </c>
      <c r="AH124" s="310"/>
      <c r="AI124" s="310"/>
      <c r="AJ124" s="4"/>
      <c r="AK124" s="4">
        <f t="shared" si="13"/>
        <v>0</v>
      </c>
      <c r="AL124" s="279">
        <v>0.97</v>
      </c>
      <c r="AM124" s="310"/>
      <c r="AN124" s="310"/>
      <c r="AO124" s="4"/>
      <c r="AP124" s="4">
        <f t="shared" si="14"/>
        <v>0</v>
      </c>
    </row>
    <row r="125" spans="1:42" s="298" customFormat="1" ht="15.75" x14ac:dyDescent="0.25">
      <c r="A125" s="277"/>
      <c r="B125" s="278" t="s">
        <v>554</v>
      </c>
      <c r="C125" s="296">
        <v>0.95</v>
      </c>
      <c r="D125" s="310"/>
      <c r="E125" s="310"/>
      <c r="F125" s="297"/>
      <c r="G125" s="297">
        <f t="shared" si="0"/>
        <v>0</v>
      </c>
      <c r="H125" s="296">
        <v>0.39</v>
      </c>
      <c r="I125" s="310"/>
      <c r="J125" s="310"/>
      <c r="K125" s="297"/>
      <c r="L125" s="297">
        <f t="shared" si="8"/>
        <v>0</v>
      </c>
      <c r="M125" s="296">
        <v>0.4</v>
      </c>
      <c r="N125" s="310"/>
      <c r="O125" s="310"/>
      <c r="P125" s="297"/>
      <c r="Q125" s="297">
        <f t="shared" si="9"/>
        <v>0</v>
      </c>
      <c r="R125" s="296">
        <v>0.33</v>
      </c>
      <c r="S125" s="310"/>
      <c r="T125" s="310"/>
      <c r="U125" s="297"/>
      <c r="V125" s="297">
        <f t="shared" si="10"/>
        <v>0</v>
      </c>
      <c r="W125" s="296">
        <v>0.17</v>
      </c>
      <c r="X125" s="310"/>
      <c r="Y125" s="310"/>
      <c r="Z125" s="297"/>
      <c r="AA125" s="297">
        <f t="shared" si="11"/>
        <v>0</v>
      </c>
      <c r="AB125" s="296">
        <v>0.23</v>
      </c>
      <c r="AC125" s="310"/>
      <c r="AD125" s="310"/>
      <c r="AE125" s="297"/>
      <c r="AF125" s="297">
        <f t="shared" si="12"/>
        <v>0</v>
      </c>
      <c r="AG125" s="296">
        <v>0.18</v>
      </c>
      <c r="AH125" s="310"/>
      <c r="AI125" s="310"/>
      <c r="AJ125" s="297"/>
      <c r="AK125" s="297">
        <f t="shared" si="13"/>
        <v>0</v>
      </c>
      <c r="AL125" s="296">
        <v>0.18</v>
      </c>
      <c r="AM125" s="310"/>
      <c r="AN125" s="310"/>
      <c r="AO125" s="297"/>
      <c r="AP125" s="297">
        <f t="shared" si="14"/>
        <v>0</v>
      </c>
    </row>
    <row r="126" spans="1:42" s="298" customFormat="1" ht="15.75" x14ac:dyDescent="0.25">
      <c r="A126" s="277"/>
      <c r="B126" s="278" t="s">
        <v>562</v>
      </c>
      <c r="C126" s="296">
        <v>0.95</v>
      </c>
      <c r="D126" s="310"/>
      <c r="E126" s="310"/>
      <c r="F126" s="297"/>
      <c r="G126" s="297">
        <f>$C126*F126/100</f>
        <v>0</v>
      </c>
      <c r="H126" s="296">
        <v>0.39</v>
      </c>
      <c r="I126" s="310"/>
      <c r="J126" s="310"/>
      <c r="K126" s="297"/>
      <c r="L126" s="297">
        <f t="shared" si="8"/>
        <v>0</v>
      </c>
      <c r="M126" s="296">
        <v>0.4</v>
      </c>
      <c r="N126" s="310"/>
      <c r="O126" s="310"/>
      <c r="P126" s="297"/>
      <c r="Q126" s="297">
        <f t="shared" si="9"/>
        <v>0</v>
      </c>
      <c r="R126" s="296">
        <v>0.33</v>
      </c>
      <c r="S126" s="310"/>
      <c r="T126" s="310"/>
      <c r="U126" s="297"/>
      <c r="V126" s="297">
        <f t="shared" si="10"/>
        <v>0</v>
      </c>
      <c r="W126" s="296">
        <v>0.17</v>
      </c>
      <c r="X126" s="310"/>
      <c r="Y126" s="310"/>
      <c r="Z126" s="297"/>
      <c r="AA126" s="297">
        <f t="shared" si="11"/>
        <v>0</v>
      </c>
      <c r="AB126" s="296">
        <v>0.23</v>
      </c>
      <c r="AC126" s="310"/>
      <c r="AD126" s="310"/>
      <c r="AE126" s="297"/>
      <c r="AF126" s="297">
        <f t="shared" si="12"/>
        <v>0</v>
      </c>
      <c r="AG126" s="296">
        <v>0.18</v>
      </c>
      <c r="AH126" s="310"/>
      <c r="AI126" s="310"/>
      <c r="AJ126" s="297"/>
      <c r="AK126" s="297">
        <f t="shared" si="13"/>
        <v>0</v>
      </c>
      <c r="AL126" s="296">
        <v>0.18</v>
      </c>
      <c r="AM126" s="310"/>
      <c r="AN126" s="310"/>
      <c r="AO126" s="297"/>
      <c r="AP126" s="297">
        <f t="shared" si="14"/>
        <v>0</v>
      </c>
    </row>
    <row r="127" spans="1:42" ht="15.75" x14ac:dyDescent="0.25">
      <c r="A127" s="277"/>
      <c r="B127" s="278" t="s">
        <v>563</v>
      </c>
      <c r="C127" s="279">
        <v>1.36</v>
      </c>
      <c r="D127" s="310"/>
      <c r="E127" s="310"/>
      <c r="F127" s="4"/>
      <c r="G127" s="4">
        <f t="shared" si="0"/>
        <v>0</v>
      </c>
      <c r="H127" s="279">
        <v>0.59</v>
      </c>
      <c r="I127" s="310"/>
      <c r="J127" s="310"/>
      <c r="K127" s="4"/>
      <c r="L127" s="4">
        <f t="shared" ref="L127:L162" si="15">$H127*K127/100</f>
        <v>0</v>
      </c>
      <c r="M127" s="279">
        <v>0.59</v>
      </c>
      <c r="N127" s="310"/>
      <c r="O127" s="310"/>
      <c r="P127" s="4"/>
      <c r="Q127" s="4">
        <f t="shared" ref="Q127:Q163" si="16">$M127*P127/100</f>
        <v>0</v>
      </c>
      <c r="R127" s="279">
        <v>0.49</v>
      </c>
      <c r="S127" s="310"/>
      <c r="T127" s="310"/>
      <c r="U127" s="4"/>
      <c r="V127" s="4">
        <f t="shared" ref="V127:V163" si="17">$R127*U127/100</f>
        <v>0</v>
      </c>
      <c r="W127" s="279">
        <v>0.25</v>
      </c>
      <c r="X127" s="310"/>
      <c r="Y127" s="310"/>
      <c r="Z127" s="4"/>
      <c r="AA127" s="4">
        <f t="shared" ref="AA127:AA163" si="18">$W127*Z127/100</f>
        <v>0</v>
      </c>
      <c r="AB127" s="279">
        <v>0.33</v>
      </c>
      <c r="AC127" s="310"/>
      <c r="AD127" s="310"/>
      <c r="AE127" s="4"/>
      <c r="AF127" s="4">
        <f t="shared" ref="AF127:AF162" si="19">$AB127*AE127/100</f>
        <v>0</v>
      </c>
      <c r="AG127" s="279">
        <v>0.26</v>
      </c>
      <c r="AH127" s="310"/>
      <c r="AI127" s="310"/>
      <c r="AJ127" s="4"/>
      <c r="AK127" s="4">
        <f t="shared" ref="AK127:AK163" si="20">$AG127*AJ127/100</f>
        <v>0</v>
      </c>
      <c r="AL127" s="279">
        <v>0.27</v>
      </c>
      <c r="AM127" s="310"/>
      <c r="AN127" s="310"/>
      <c r="AO127" s="4"/>
      <c r="AP127" s="4">
        <f t="shared" ref="AP127:AP163" si="21">$AL127*AO127/100</f>
        <v>0</v>
      </c>
    </row>
    <row r="128" spans="1:42" ht="15.75" x14ac:dyDescent="0.25">
      <c r="A128" s="4">
        <v>9</v>
      </c>
      <c r="B128" s="280" t="s">
        <v>313</v>
      </c>
      <c r="C128" s="279"/>
      <c r="D128" s="310"/>
      <c r="E128" s="310"/>
      <c r="F128" s="4"/>
      <c r="G128" s="4">
        <f t="shared" si="0"/>
        <v>0</v>
      </c>
      <c r="H128" s="279"/>
      <c r="I128" s="310"/>
      <c r="J128" s="310"/>
      <c r="K128" s="4"/>
      <c r="L128" s="4">
        <f t="shared" si="15"/>
        <v>0</v>
      </c>
      <c r="M128" s="279"/>
      <c r="N128" s="310"/>
      <c r="O128" s="310"/>
      <c r="P128" s="4"/>
      <c r="Q128" s="4">
        <f t="shared" si="16"/>
        <v>0</v>
      </c>
      <c r="R128" s="279"/>
      <c r="S128" s="310"/>
      <c r="T128" s="310"/>
      <c r="U128" s="4"/>
      <c r="V128" s="4">
        <f t="shared" si="17"/>
        <v>0</v>
      </c>
      <c r="W128" s="279"/>
      <c r="X128" s="310"/>
      <c r="Y128" s="310"/>
      <c r="Z128" s="4"/>
      <c r="AA128" s="4">
        <f t="shared" si="18"/>
        <v>0</v>
      </c>
      <c r="AB128" s="279"/>
      <c r="AC128" s="310"/>
      <c r="AD128" s="310"/>
      <c r="AE128" s="4"/>
      <c r="AF128" s="4">
        <f t="shared" si="19"/>
        <v>0</v>
      </c>
      <c r="AG128" s="279"/>
      <c r="AH128" s="310"/>
      <c r="AI128" s="310"/>
      <c r="AJ128" s="4"/>
      <c r="AK128" s="4">
        <f t="shared" si="20"/>
        <v>0</v>
      </c>
      <c r="AL128" s="279"/>
      <c r="AM128" s="310"/>
      <c r="AN128" s="310"/>
      <c r="AO128" s="4"/>
      <c r="AP128" s="4">
        <f t="shared" si="21"/>
        <v>0</v>
      </c>
    </row>
    <row r="129" spans="1:42" ht="35.25" customHeight="1" x14ac:dyDescent="0.25">
      <c r="A129" s="277"/>
      <c r="B129" s="278" t="s">
        <v>454</v>
      </c>
      <c r="C129" s="279">
        <v>0.83</v>
      </c>
      <c r="D129" s="309">
        <f>MAX(C129:C148)</f>
        <v>5.89</v>
      </c>
      <c r="E129" s="310">
        <f>MIN(C129:C148)</f>
        <v>0.64</v>
      </c>
      <c r="F129" s="4"/>
      <c r="G129" s="4">
        <f t="shared" si="0"/>
        <v>0</v>
      </c>
      <c r="H129" s="279">
        <v>0.36</v>
      </c>
      <c r="I129" s="309">
        <f>MAX(H129:H148)</f>
        <v>4.37</v>
      </c>
      <c r="J129" s="310">
        <f>MIN(H129:H148)</f>
        <v>0.22</v>
      </c>
      <c r="K129" s="4"/>
      <c r="L129" s="4">
        <f t="shared" si="15"/>
        <v>0</v>
      </c>
      <c r="M129" s="279">
        <v>1.23</v>
      </c>
      <c r="N129" s="309">
        <f>MAX(M129:M148)</f>
        <v>6.44</v>
      </c>
      <c r="O129" s="310">
        <f>MIN(M129:M148)</f>
        <v>1.03</v>
      </c>
      <c r="P129" s="4"/>
      <c r="Q129" s="4">
        <f t="shared" si="16"/>
        <v>0</v>
      </c>
      <c r="R129" s="279">
        <v>0.66</v>
      </c>
      <c r="S129" s="309">
        <f>MAX(R129:R148)</f>
        <v>4.47</v>
      </c>
      <c r="T129" s="310">
        <f>MIN(R129:R148)</f>
        <v>0.54</v>
      </c>
      <c r="U129" s="4"/>
      <c r="V129" s="4">
        <f t="shared" si="17"/>
        <v>0</v>
      </c>
      <c r="W129" s="279">
        <v>0.96</v>
      </c>
      <c r="X129" s="309">
        <f>MAX(W129:W148)</f>
        <v>4.29</v>
      </c>
      <c r="Y129" s="310">
        <f>MIN(W129:W148)</f>
        <v>0.84</v>
      </c>
      <c r="Z129" s="4"/>
      <c r="AA129" s="4">
        <f t="shared" si="18"/>
        <v>0</v>
      </c>
      <c r="AB129" s="279">
        <v>0.62</v>
      </c>
      <c r="AC129" s="309">
        <f>MAX(AB129:AB148)</f>
        <v>3.1</v>
      </c>
      <c r="AD129" s="310">
        <f>MIN(AB129:AB148)</f>
        <v>0.53</v>
      </c>
      <c r="AE129" s="4"/>
      <c r="AF129" s="4">
        <f t="shared" si="19"/>
        <v>0</v>
      </c>
      <c r="AG129" s="279">
        <v>0.56000000000000005</v>
      </c>
      <c r="AH129" s="309">
        <f>MAX(AG129:AG148)</f>
        <v>4.76</v>
      </c>
      <c r="AI129" s="310">
        <f>MIN(AG129:AG148)</f>
        <v>0.4</v>
      </c>
      <c r="AJ129" s="4"/>
      <c r="AK129" s="4">
        <f t="shared" si="20"/>
        <v>0</v>
      </c>
      <c r="AL129" s="279">
        <v>0.64</v>
      </c>
      <c r="AM129" s="309">
        <f>MAX(AL129:AL148)</f>
        <v>3.91</v>
      </c>
      <c r="AN129" s="310">
        <f>MIN(AL129:AL148)</f>
        <v>0.52</v>
      </c>
      <c r="AO129" s="4"/>
      <c r="AP129" s="4">
        <f t="shared" si="21"/>
        <v>0</v>
      </c>
    </row>
    <row r="130" spans="1:42" ht="35.25" customHeight="1" x14ac:dyDescent="0.25">
      <c r="A130" s="277"/>
      <c r="B130" s="278" t="s">
        <v>455</v>
      </c>
      <c r="C130" s="279">
        <v>1.2</v>
      </c>
      <c r="D130" s="310"/>
      <c r="E130" s="310"/>
      <c r="F130" s="4"/>
      <c r="G130" s="4">
        <f t="shared" si="0"/>
        <v>0</v>
      </c>
      <c r="H130" s="279">
        <v>0.66</v>
      </c>
      <c r="I130" s="310"/>
      <c r="J130" s="310"/>
      <c r="K130" s="4"/>
      <c r="L130" s="4">
        <f t="shared" si="15"/>
        <v>0</v>
      </c>
      <c r="M130" s="279">
        <v>1.61</v>
      </c>
      <c r="N130" s="310"/>
      <c r="O130" s="310"/>
      <c r="P130" s="4"/>
      <c r="Q130" s="4">
        <f t="shared" si="16"/>
        <v>0</v>
      </c>
      <c r="R130" s="279">
        <v>0.91</v>
      </c>
      <c r="S130" s="310"/>
      <c r="T130" s="310"/>
      <c r="U130" s="4"/>
      <c r="V130" s="4">
        <f t="shared" si="17"/>
        <v>0</v>
      </c>
      <c r="W130" s="279">
        <v>1.21</v>
      </c>
      <c r="X130" s="310"/>
      <c r="Y130" s="310"/>
      <c r="Z130" s="4"/>
      <c r="AA130" s="4">
        <f t="shared" si="18"/>
        <v>0</v>
      </c>
      <c r="AB130" s="279">
        <v>0.8</v>
      </c>
      <c r="AC130" s="310"/>
      <c r="AD130" s="310"/>
      <c r="AE130" s="4"/>
      <c r="AF130" s="4">
        <f t="shared" si="19"/>
        <v>0</v>
      </c>
      <c r="AG130" s="279">
        <v>0.87</v>
      </c>
      <c r="AH130" s="310"/>
      <c r="AI130" s="310"/>
      <c r="AJ130" s="4"/>
      <c r="AK130" s="4">
        <f t="shared" si="20"/>
        <v>0</v>
      </c>
      <c r="AL130" s="279">
        <v>0.88</v>
      </c>
      <c r="AM130" s="310"/>
      <c r="AN130" s="310"/>
      <c r="AO130" s="4"/>
      <c r="AP130" s="4">
        <f t="shared" si="21"/>
        <v>0</v>
      </c>
    </row>
    <row r="131" spans="1:42" ht="35.25" customHeight="1" x14ac:dyDescent="0.25">
      <c r="A131" s="277"/>
      <c r="B131" s="278" t="s">
        <v>456</v>
      </c>
      <c r="C131" s="279">
        <v>0.66</v>
      </c>
      <c r="D131" s="310"/>
      <c r="E131" s="310"/>
      <c r="F131" s="4"/>
      <c r="G131" s="4">
        <f t="shared" si="0"/>
        <v>0</v>
      </c>
      <c r="H131" s="279">
        <v>0.23</v>
      </c>
      <c r="I131" s="310"/>
      <c r="J131" s="310"/>
      <c r="K131" s="4"/>
      <c r="L131" s="4">
        <f t="shared" si="15"/>
        <v>0</v>
      </c>
      <c r="M131" s="279">
        <v>1.05</v>
      </c>
      <c r="N131" s="310"/>
      <c r="O131" s="310"/>
      <c r="P131" s="4"/>
      <c r="Q131" s="4">
        <f t="shared" si="16"/>
        <v>0</v>
      </c>
      <c r="R131" s="279">
        <v>0.55000000000000004</v>
      </c>
      <c r="S131" s="310"/>
      <c r="T131" s="310"/>
      <c r="U131" s="4"/>
      <c r="V131" s="4">
        <f t="shared" si="17"/>
        <v>0</v>
      </c>
      <c r="W131" s="279">
        <v>0.85</v>
      </c>
      <c r="X131" s="310"/>
      <c r="Y131" s="310"/>
      <c r="Z131" s="4"/>
      <c r="AA131" s="4">
        <f t="shared" si="18"/>
        <v>0</v>
      </c>
      <c r="AB131" s="279">
        <v>0.54</v>
      </c>
      <c r="AC131" s="310"/>
      <c r="AD131" s="310"/>
      <c r="AE131" s="4"/>
      <c r="AF131" s="4">
        <f t="shared" si="19"/>
        <v>0</v>
      </c>
      <c r="AG131" s="279">
        <v>0.42</v>
      </c>
      <c r="AH131" s="310"/>
      <c r="AI131" s="310"/>
      <c r="AJ131" s="4"/>
      <c r="AK131" s="4">
        <f t="shared" si="20"/>
        <v>0</v>
      </c>
      <c r="AL131" s="279">
        <v>0.53</v>
      </c>
      <c r="AM131" s="310"/>
      <c r="AN131" s="310"/>
      <c r="AO131" s="4"/>
      <c r="AP131" s="4">
        <f t="shared" si="21"/>
        <v>0</v>
      </c>
    </row>
    <row r="132" spans="1:42" ht="35.25" customHeight="1" x14ac:dyDescent="0.25">
      <c r="A132" s="277"/>
      <c r="B132" s="278" t="s">
        <v>457</v>
      </c>
      <c r="C132" s="279">
        <v>1.04</v>
      </c>
      <c r="D132" s="310"/>
      <c r="E132" s="310"/>
      <c r="F132" s="4"/>
      <c r="G132" s="4">
        <f t="shared" si="0"/>
        <v>0</v>
      </c>
      <c r="H132" s="279">
        <v>0.53</v>
      </c>
      <c r="I132" s="310"/>
      <c r="J132" s="310"/>
      <c r="K132" s="4"/>
      <c r="L132" s="4">
        <f t="shared" si="15"/>
        <v>0</v>
      </c>
      <c r="M132" s="279">
        <v>1.44</v>
      </c>
      <c r="N132" s="310"/>
      <c r="O132" s="310"/>
      <c r="P132" s="4"/>
      <c r="Q132" s="4">
        <f t="shared" si="16"/>
        <v>0</v>
      </c>
      <c r="R132" s="279">
        <v>0.8</v>
      </c>
      <c r="S132" s="310"/>
      <c r="T132" s="310"/>
      <c r="U132" s="4"/>
      <c r="V132" s="4">
        <f t="shared" si="17"/>
        <v>0</v>
      </c>
      <c r="W132" s="279">
        <v>1.1000000000000001</v>
      </c>
      <c r="X132" s="310"/>
      <c r="Y132" s="310"/>
      <c r="Z132" s="4"/>
      <c r="AA132" s="4">
        <f t="shared" si="18"/>
        <v>0</v>
      </c>
      <c r="AB132" s="279">
        <v>0.72</v>
      </c>
      <c r="AC132" s="310"/>
      <c r="AD132" s="310"/>
      <c r="AE132" s="4"/>
      <c r="AF132" s="4">
        <f t="shared" si="19"/>
        <v>0</v>
      </c>
      <c r="AG132" s="279">
        <v>0.73</v>
      </c>
      <c r="AH132" s="310"/>
      <c r="AI132" s="310"/>
      <c r="AJ132" s="4"/>
      <c r="AK132" s="4">
        <f t="shared" si="20"/>
        <v>0</v>
      </c>
      <c r="AL132" s="279">
        <v>0.77</v>
      </c>
      <c r="AM132" s="310"/>
      <c r="AN132" s="310"/>
      <c r="AO132" s="4"/>
      <c r="AP132" s="4">
        <f t="shared" si="21"/>
        <v>0</v>
      </c>
    </row>
    <row r="133" spans="1:42" ht="35.25" customHeight="1" x14ac:dyDescent="0.25">
      <c r="A133" s="277"/>
      <c r="B133" s="278" t="s">
        <v>458</v>
      </c>
      <c r="C133" s="279">
        <v>1.01</v>
      </c>
      <c r="D133" s="310"/>
      <c r="E133" s="310"/>
      <c r="F133" s="4"/>
      <c r="G133" s="4">
        <f t="shared" si="0"/>
        <v>0</v>
      </c>
      <c r="H133" s="279">
        <v>0.51</v>
      </c>
      <c r="I133" s="310"/>
      <c r="J133" s="310"/>
      <c r="K133" s="4"/>
      <c r="L133" s="4">
        <f t="shared" si="15"/>
        <v>0</v>
      </c>
      <c r="M133" s="279">
        <v>1.41</v>
      </c>
      <c r="N133" s="310"/>
      <c r="O133" s="310"/>
      <c r="P133" s="4"/>
      <c r="Q133" s="4">
        <f t="shared" si="16"/>
        <v>0</v>
      </c>
      <c r="R133" s="279">
        <v>0.78</v>
      </c>
      <c r="S133" s="310"/>
      <c r="T133" s="310"/>
      <c r="U133" s="4"/>
      <c r="V133" s="4">
        <f t="shared" si="17"/>
        <v>0</v>
      </c>
      <c r="W133" s="279">
        <v>1.08</v>
      </c>
      <c r="X133" s="310"/>
      <c r="Y133" s="310"/>
      <c r="Z133" s="4"/>
      <c r="AA133" s="4">
        <f t="shared" si="18"/>
        <v>0</v>
      </c>
      <c r="AB133" s="279">
        <v>0.71</v>
      </c>
      <c r="AC133" s="310"/>
      <c r="AD133" s="310"/>
      <c r="AE133" s="4"/>
      <c r="AF133" s="4">
        <f t="shared" si="19"/>
        <v>0</v>
      </c>
      <c r="AG133" s="279">
        <v>0.71</v>
      </c>
      <c r="AH133" s="310"/>
      <c r="AI133" s="310"/>
      <c r="AJ133" s="4"/>
      <c r="AK133" s="4">
        <f t="shared" si="20"/>
        <v>0</v>
      </c>
      <c r="AL133" s="279">
        <v>0.76</v>
      </c>
      <c r="AM133" s="310"/>
      <c r="AN133" s="310"/>
      <c r="AO133" s="4"/>
      <c r="AP133" s="4">
        <f t="shared" si="21"/>
        <v>0</v>
      </c>
    </row>
    <row r="134" spans="1:42" ht="35.25" customHeight="1" x14ac:dyDescent="0.25">
      <c r="A134" s="277"/>
      <c r="B134" s="278" t="s">
        <v>459</v>
      </c>
      <c r="C134" s="279">
        <v>1.18</v>
      </c>
      <c r="D134" s="310"/>
      <c r="E134" s="310"/>
      <c r="F134" s="4"/>
      <c r="G134" s="4">
        <f t="shared" si="0"/>
        <v>0</v>
      </c>
      <c r="H134" s="279">
        <v>0.64</v>
      </c>
      <c r="I134" s="310"/>
      <c r="J134" s="310"/>
      <c r="K134" s="4"/>
      <c r="L134" s="4">
        <f t="shared" si="15"/>
        <v>0</v>
      </c>
      <c r="M134" s="279">
        <v>1.59</v>
      </c>
      <c r="N134" s="310"/>
      <c r="O134" s="310"/>
      <c r="P134" s="4"/>
      <c r="Q134" s="4">
        <f t="shared" si="16"/>
        <v>0</v>
      </c>
      <c r="R134" s="279">
        <v>0.89</v>
      </c>
      <c r="S134" s="310"/>
      <c r="T134" s="310"/>
      <c r="U134" s="4"/>
      <c r="V134" s="4">
        <f t="shared" si="17"/>
        <v>0</v>
      </c>
      <c r="W134" s="279">
        <v>1.19</v>
      </c>
      <c r="X134" s="310"/>
      <c r="Y134" s="310"/>
      <c r="Z134" s="4"/>
      <c r="AA134" s="4">
        <f t="shared" si="18"/>
        <v>0</v>
      </c>
      <c r="AB134" s="279">
        <v>0.79</v>
      </c>
      <c r="AC134" s="310"/>
      <c r="AD134" s="310"/>
      <c r="AE134" s="4"/>
      <c r="AF134" s="4">
        <f t="shared" si="19"/>
        <v>0</v>
      </c>
      <c r="AG134" s="279">
        <v>0.85</v>
      </c>
      <c r="AH134" s="310"/>
      <c r="AI134" s="310"/>
      <c r="AJ134" s="4"/>
      <c r="AK134" s="4">
        <f t="shared" si="20"/>
        <v>0</v>
      </c>
      <c r="AL134" s="279">
        <v>0.87</v>
      </c>
      <c r="AM134" s="310"/>
      <c r="AN134" s="310"/>
      <c r="AO134" s="4"/>
      <c r="AP134" s="4">
        <f t="shared" si="21"/>
        <v>0</v>
      </c>
    </row>
    <row r="135" spans="1:42" ht="35.25" customHeight="1" x14ac:dyDescent="0.25">
      <c r="A135" s="277"/>
      <c r="B135" s="278" t="s">
        <v>460</v>
      </c>
      <c r="C135" s="279">
        <v>2.2400000000000002</v>
      </c>
      <c r="D135" s="310"/>
      <c r="E135" s="310"/>
      <c r="F135" s="4"/>
      <c r="G135" s="4">
        <f t="shared" si="0"/>
        <v>0</v>
      </c>
      <c r="H135" s="279">
        <v>1.48</v>
      </c>
      <c r="I135" s="310"/>
      <c r="J135" s="310"/>
      <c r="K135" s="4"/>
      <c r="L135" s="4">
        <f t="shared" si="15"/>
        <v>0</v>
      </c>
      <c r="M135" s="279">
        <v>2.68</v>
      </c>
      <c r="N135" s="310"/>
      <c r="O135" s="310"/>
      <c r="P135" s="4"/>
      <c r="Q135" s="4">
        <f t="shared" si="16"/>
        <v>0</v>
      </c>
      <c r="R135" s="279">
        <v>1.6</v>
      </c>
      <c r="S135" s="310"/>
      <c r="T135" s="310"/>
      <c r="U135" s="4"/>
      <c r="V135" s="4">
        <f t="shared" si="17"/>
        <v>0</v>
      </c>
      <c r="W135" s="279">
        <v>1.89</v>
      </c>
      <c r="X135" s="310"/>
      <c r="Y135" s="310"/>
      <c r="Z135" s="4"/>
      <c r="AA135" s="4">
        <f t="shared" si="18"/>
        <v>0</v>
      </c>
      <c r="AB135" s="279">
        <v>1.31</v>
      </c>
      <c r="AC135" s="310"/>
      <c r="AD135" s="310"/>
      <c r="AE135" s="4"/>
      <c r="AF135" s="4">
        <f t="shared" si="19"/>
        <v>0</v>
      </c>
      <c r="AG135" s="279">
        <v>1.73</v>
      </c>
      <c r="AH135" s="310"/>
      <c r="AI135" s="310"/>
      <c r="AJ135" s="4"/>
      <c r="AK135" s="4">
        <f t="shared" si="20"/>
        <v>0</v>
      </c>
      <c r="AL135" s="296">
        <v>0.55000000000000004</v>
      </c>
      <c r="AM135" s="310"/>
      <c r="AN135" s="310"/>
      <c r="AO135" s="4"/>
      <c r="AP135" s="4">
        <f t="shared" si="21"/>
        <v>0</v>
      </c>
    </row>
    <row r="136" spans="1:42" ht="35.25" customHeight="1" x14ac:dyDescent="0.25">
      <c r="A136" s="277"/>
      <c r="B136" s="278" t="s">
        <v>555</v>
      </c>
      <c r="C136" s="279">
        <v>1.59</v>
      </c>
      <c r="D136" s="310"/>
      <c r="E136" s="310"/>
      <c r="F136" s="4"/>
      <c r="G136" s="4">
        <f t="shared" si="0"/>
        <v>0</v>
      </c>
      <c r="H136" s="279">
        <v>0.92</v>
      </c>
      <c r="I136" s="310"/>
      <c r="J136" s="310"/>
      <c r="K136" s="4"/>
      <c r="L136" s="4">
        <f t="shared" si="15"/>
        <v>0</v>
      </c>
      <c r="M136" s="279">
        <v>1.95</v>
      </c>
      <c r="N136" s="310"/>
      <c r="O136" s="310"/>
      <c r="P136" s="4"/>
      <c r="Q136" s="4">
        <f t="shared" si="16"/>
        <v>0</v>
      </c>
      <c r="R136" s="279">
        <v>1.1299999999999999</v>
      </c>
      <c r="S136" s="310"/>
      <c r="T136" s="310"/>
      <c r="U136" s="4"/>
      <c r="V136" s="4">
        <f t="shared" si="17"/>
        <v>0</v>
      </c>
      <c r="W136" s="279">
        <v>1.42</v>
      </c>
      <c r="X136" s="310"/>
      <c r="Y136" s="310"/>
      <c r="Z136" s="4"/>
      <c r="AA136" s="4">
        <f t="shared" si="18"/>
        <v>0</v>
      </c>
      <c r="AB136" s="279">
        <v>0.96</v>
      </c>
      <c r="AC136" s="310"/>
      <c r="AD136" s="310"/>
      <c r="AE136" s="4"/>
      <c r="AF136" s="4">
        <f t="shared" si="19"/>
        <v>0</v>
      </c>
      <c r="AG136" s="279">
        <v>1.1399999999999999</v>
      </c>
      <c r="AH136" s="310"/>
      <c r="AI136" s="310"/>
      <c r="AJ136" s="4"/>
      <c r="AK136" s="4">
        <f t="shared" si="20"/>
        <v>0</v>
      </c>
      <c r="AL136" s="279">
        <v>1.0900000000000001</v>
      </c>
      <c r="AM136" s="310"/>
      <c r="AN136" s="310"/>
      <c r="AO136" s="4"/>
      <c r="AP136" s="4">
        <f t="shared" si="21"/>
        <v>0</v>
      </c>
    </row>
    <row r="137" spans="1:42" ht="35.25" customHeight="1" x14ac:dyDescent="0.25">
      <c r="A137" s="277"/>
      <c r="B137" s="278" t="s">
        <v>462</v>
      </c>
      <c r="C137" s="279">
        <v>1.98</v>
      </c>
      <c r="D137" s="310"/>
      <c r="E137" s="310"/>
      <c r="F137" s="4"/>
      <c r="G137" s="4">
        <f t="shared" si="0"/>
        <v>0</v>
      </c>
      <c r="H137" s="279">
        <v>1.27</v>
      </c>
      <c r="I137" s="310"/>
      <c r="J137" s="310"/>
      <c r="K137" s="4"/>
      <c r="L137" s="4">
        <f t="shared" si="15"/>
        <v>0</v>
      </c>
      <c r="M137" s="279">
        <v>2.41</v>
      </c>
      <c r="N137" s="310"/>
      <c r="O137" s="310"/>
      <c r="P137" s="4"/>
      <c r="Q137" s="4">
        <f t="shared" si="16"/>
        <v>0</v>
      </c>
      <c r="R137" s="279">
        <v>1.43</v>
      </c>
      <c r="S137" s="310"/>
      <c r="T137" s="310"/>
      <c r="U137" s="4"/>
      <c r="V137" s="4">
        <f t="shared" si="17"/>
        <v>0</v>
      </c>
      <c r="W137" s="279">
        <v>1.72</v>
      </c>
      <c r="X137" s="310"/>
      <c r="Y137" s="310"/>
      <c r="Z137" s="4"/>
      <c r="AA137" s="4">
        <f t="shared" si="18"/>
        <v>0</v>
      </c>
      <c r="AB137" s="279">
        <v>1.18</v>
      </c>
      <c r="AC137" s="310"/>
      <c r="AD137" s="310"/>
      <c r="AE137" s="4"/>
      <c r="AF137" s="4">
        <f t="shared" si="19"/>
        <v>0</v>
      </c>
      <c r="AG137" s="279">
        <v>1.51</v>
      </c>
      <c r="AH137" s="310"/>
      <c r="AI137" s="310"/>
      <c r="AJ137" s="4"/>
      <c r="AK137" s="4">
        <f t="shared" si="20"/>
        <v>0</v>
      </c>
      <c r="AL137" s="279">
        <v>1.38</v>
      </c>
      <c r="AM137" s="310"/>
      <c r="AN137" s="310"/>
      <c r="AO137" s="4"/>
      <c r="AP137" s="4">
        <f t="shared" si="21"/>
        <v>0</v>
      </c>
    </row>
    <row r="138" spans="1:42" ht="35.25" customHeight="1" x14ac:dyDescent="0.25">
      <c r="A138" s="277"/>
      <c r="B138" s="278" t="s">
        <v>463</v>
      </c>
      <c r="C138" s="279">
        <v>2.0499999999999998</v>
      </c>
      <c r="D138" s="310"/>
      <c r="E138" s="310"/>
      <c r="F138" s="4"/>
      <c r="G138" s="4">
        <f t="shared" si="0"/>
        <v>0</v>
      </c>
      <c r="H138" s="279">
        <v>1.33</v>
      </c>
      <c r="I138" s="310"/>
      <c r="J138" s="310"/>
      <c r="K138" s="4"/>
      <c r="L138" s="4">
        <f t="shared" si="15"/>
        <v>0</v>
      </c>
      <c r="M138" s="279">
        <v>2.4900000000000002</v>
      </c>
      <c r="N138" s="310"/>
      <c r="O138" s="310"/>
      <c r="P138" s="4"/>
      <c r="Q138" s="4">
        <f t="shared" si="16"/>
        <v>0</v>
      </c>
      <c r="R138" s="279">
        <v>4.47</v>
      </c>
      <c r="S138" s="310"/>
      <c r="T138" s="310"/>
      <c r="U138" s="4"/>
      <c r="V138" s="4">
        <f t="shared" si="17"/>
        <v>0</v>
      </c>
      <c r="W138" s="279">
        <v>1.77</v>
      </c>
      <c r="X138" s="310"/>
      <c r="Y138" s="310"/>
      <c r="Z138" s="4"/>
      <c r="AA138" s="4">
        <f t="shared" si="18"/>
        <v>0</v>
      </c>
      <c r="AB138" s="279">
        <v>1.22</v>
      </c>
      <c r="AC138" s="310"/>
      <c r="AD138" s="310"/>
      <c r="AE138" s="4"/>
      <c r="AF138" s="4">
        <f t="shared" si="19"/>
        <v>0</v>
      </c>
      <c r="AG138" s="279">
        <v>1.57</v>
      </c>
      <c r="AH138" s="310"/>
      <c r="AI138" s="310"/>
      <c r="AJ138" s="4"/>
      <c r="AK138" s="4">
        <f t="shared" si="20"/>
        <v>0</v>
      </c>
      <c r="AL138" s="279">
        <v>1.43</v>
      </c>
      <c r="AM138" s="310"/>
      <c r="AN138" s="310"/>
      <c r="AO138" s="4"/>
      <c r="AP138" s="4">
        <f t="shared" si="21"/>
        <v>0</v>
      </c>
    </row>
    <row r="139" spans="1:42" ht="35.25" customHeight="1" x14ac:dyDescent="0.25">
      <c r="A139" s="277"/>
      <c r="B139" s="278" t="s">
        <v>556</v>
      </c>
      <c r="C139" s="279">
        <v>2.1</v>
      </c>
      <c r="D139" s="310"/>
      <c r="E139" s="310"/>
      <c r="F139" s="4"/>
      <c r="G139" s="4">
        <f t="shared" si="0"/>
        <v>0</v>
      </c>
      <c r="H139" s="279">
        <v>1.37</v>
      </c>
      <c r="I139" s="310"/>
      <c r="J139" s="310"/>
      <c r="K139" s="4"/>
      <c r="L139" s="4">
        <f t="shared" si="15"/>
        <v>0</v>
      </c>
      <c r="M139" s="279">
        <v>2.54</v>
      </c>
      <c r="N139" s="310"/>
      <c r="O139" s="310"/>
      <c r="P139" s="4"/>
      <c r="Q139" s="4">
        <f t="shared" si="16"/>
        <v>0</v>
      </c>
      <c r="R139" s="279">
        <v>1.51</v>
      </c>
      <c r="S139" s="310"/>
      <c r="T139" s="310"/>
      <c r="U139" s="4"/>
      <c r="V139" s="4">
        <f t="shared" si="17"/>
        <v>0</v>
      </c>
      <c r="W139" s="279">
        <v>1.8</v>
      </c>
      <c r="X139" s="310"/>
      <c r="Y139" s="310"/>
      <c r="Z139" s="4"/>
      <c r="AA139" s="4">
        <f t="shared" si="18"/>
        <v>0</v>
      </c>
      <c r="AB139" s="279">
        <v>1.24</v>
      </c>
      <c r="AC139" s="310"/>
      <c r="AD139" s="310"/>
      <c r="AE139" s="4"/>
      <c r="AF139" s="4">
        <f t="shared" si="19"/>
        <v>0</v>
      </c>
      <c r="AG139" s="279">
        <v>1.61</v>
      </c>
      <c r="AH139" s="310"/>
      <c r="AI139" s="310"/>
      <c r="AJ139" s="4"/>
      <c r="AK139" s="4">
        <f t="shared" si="20"/>
        <v>0</v>
      </c>
      <c r="AL139" s="279">
        <v>1.46</v>
      </c>
      <c r="AM139" s="310"/>
      <c r="AN139" s="310"/>
      <c r="AO139" s="4"/>
      <c r="AP139" s="4">
        <f t="shared" si="21"/>
        <v>0</v>
      </c>
    </row>
    <row r="140" spans="1:42" ht="35.25" customHeight="1" x14ac:dyDescent="0.25">
      <c r="A140" s="277"/>
      <c r="B140" s="278" t="s">
        <v>465</v>
      </c>
      <c r="C140" s="279">
        <v>5.89</v>
      </c>
      <c r="D140" s="310"/>
      <c r="E140" s="310"/>
      <c r="F140" s="4"/>
      <c r="G140" s="4">
        <f t="shared" si="0"/>
        <v>0</v>
      </c>
      <c r="H140" s="279">
        <v>4.37</v>
      </c>
      <c r="I140" s="310"/>
      <c r="J140" s="310"/>
      <c r="K140" s="4"/>
      <c r="L140" s="4">
        <f t="shared" si="15"/>
        <v>0</v>
      </c>
      <c r="M140" s="279">
        <v>6.44</v>
      </c>
      <c r="N140" s="310"/>
      <c r="O140" s="310"/>
      <c r="P140" s="4"/>
      <c r="Q140" s="4">
        <f t="shared" si="16"/>
        <v>0</v>
      </c>
      <c r="R140" s="279">
        <v>4.03</v>
      </c>
      <c r="S140" s="310"/>
      <c r="T140" s="310"/>
      <c r="U140" s="4"/>
      <c r="V140" s="4">
        <f t="shared" si="17"/>
        <v>0</v>
      </c>
      <c r="W140" s="279">
        <v>4.29</v>
      </c>
      <c r="X140" s="310"/>
      <c r="Y140" s="310"/>
      <c r="Z140" s="4"/>
      <c r="AA140" s="4">
        <f t="shared" si="18"/>
        <v>0</v>
      </c>
      <c r="AB140" s="279">
        <v>3.1</v>
      </c>
      <c r="AC140" s="310"/>
      <c r="AD140" s="310"/>
      <c r="AE140" s="4"/>
      <c r="AF140" s="4">
        <f t="shared" si="19"/>
        <v>0</v>
      </c>
      <c r="AG140" s="279">
        <v>4.76</v>
      </c>
      <c r="AH140" s="310"/>
      <c r="AI140" s="310"/>
      <c r="AJ140" s="4"/>
      <c r="AK140" s="4">
        <f t="shared" si="20"/>
        <v>0</v>
      </c>
      <c r="AL140" s="279">
        <v>3.91</v>
      </c>
      <c r="AM140" s="310"/>
      <c r="AN140" s="310"/>
      <c r="AO140" s="4"/>
      <c r="AP140" s="4">
        <f t="shared" si="21"/>
        <v>0</v>
      </c>
    </row>
    <row r="141" spans="1:42" ht="35.25" customHeight="1" x14ac:dyDescent="0.25">
      <c r="A141" s="277"/>
      <c r="B141" s="278" t="s">
        <v>466</v>
      </c>
      <c r="C141" s="279">
        <v>2.2200000000000002</v>
      </c>
      <c r="D141" s="310"/>
      <c r="E141" s="310"/>
      <c r="F141" s="4"/>
      <c r="G141" s="4">
        <f t="shared" si="0"/>
        <v>0</v>
      </c>
      <c r="H141" s="279">
        <v>1.46</v>
      </c>
      <c r="I141" s="310"/>
      <c r="J141" s="310"/>
      <c r="K141" s="4"/>
      <c r="L141" s="4">
        <f t="shared" si="15"/>
        <v>0</v>
      </c>
      <c r="M141" s="279">
        <v>2.66</v>
      </c>
      <c r="N141" s="310"/>
      <c r="O141" s="310"/>
      <c r="P141" s="4"/>
      <c r="Q141" s="4">
        <f t="shared" si="16"/>
        <v>0</v>
      </c>
      <c r="R141" s="279">
        <v>1.59</v>
      </c>
      <c r="S141" s="310"/>
      <c r="T141" s="310"/>
      <c r="U141" s="4"/>
      <c r="V141" s="4">
        <f t="shared" si="17"/>
        <v>0</v>
      </c>
      <c r="W141" s="279">
        <v>1.88</v>
      </c>
      <c r="X141" s="310"/>
      <c r="Y141" s="310"/>
      <c r="Z141" s="4"/>
      <c r="AA141" s="4">
        <f t="shared" si="18"/>
        <v>0</v>
      </c>
      <c r="AB141" s="279">
        <v>1.3</v>
      </c>
      <c r="AC141" s="310"/>
      <c r="AD141" s="310"/>
      <c r="AE141" s="4"/>
      <c r="AF141" s="4">
        <f t="shared" si="19"/>
        <v>0</v>
      </c>
      <c r="AG141" s="279">
        <v>1.71</v>
      </c>
      <c r="AH141" s="310"/>
      <c r="AI141" s="310"/>
      <c r="AJ141" s="4"/>
      <c r="AK141" s="4">
        <f t="shared" si="20"/>
        <v>0</v>
      </c>
      <c r="AL141" s="279">
        <v>1.54</v>
      </c>
      <c r="AM141" s="310"/>
      <c r="AN141" s="310"/>
      <c r="AO141" s="4"/>
      <c r="AP141" s="4">
        <f t="shared" si="21"/>
        <v>0</v>
      </c>
    </row>
    <row r="142" spans="1:42" ht="35.25" customHeight="1" x14ac:dyDescent="0.25">
      <c r="A142" s="277"/>
      <c r="B142" s="278" t="s">
        <v>467</v>
      </c>
      <c r="C142" s="279">
        <v>1.95</v>
      </c>
      <c r="D142" s="310"/>
      <c r="E142" s="310"/>
      <c r="F142" s="4"/>
      <c r="G142" s="4">
        <f t="shared" si="0"/>
        <v>0</v>
      </c>
      <c r="H142" s="279">
        <v>1.23</v>
      </c>
      <c r="I142" s="310"/>
      <c r="J142" s="310"/>
      <c r="K142" s="4"/>
      <c r="L142" s="4">
        <f t="shared" si="15"/>
        <v>0</v>
      </c>
      <c r="M142" s="279">
        <v>2.2999999999999998</v>
      </c>
      <c r="N142" s="310"/>
      <c r="O142" s="310"/>
      <c r="P142" s="4"/>
      <c r="Q142" s="4">
        <f t="shared" si="16"/>
        <v>0</v>
      </c>
      <c r="R142" s="279">
        <v>1.35</v>
      </c>
      <c r="S142" s="310"/>
      <c r="T142" s="310"/>
      <c r="U142" s="4"/>
      <c r="V142" s="4">
        <f t="shared" si="17"/>
        <v>0</v>
      </c>
      <c r="W142" s="279">
        <v>1.65</v>
      </c>
      <c r="X142" s="310"/>
      <c r="Y142" s="310"/>
      <c r="Z142" s="4"/>
      <c r="AA142" s="4">
        <f t="shared" si="18"/>
        <v>0</v>
      </c>
      <c r="AB142" s="279">
        <v>1.1299999999999999</v>
      </c>
      <c r="AC142" s="310"/>
      <c r="AD142" s="310"/>
      <c r="AE142" s="4"/>
      <c r="AF142" s="4">
        <f t="shared" si="19"/>
        <v>0</v>
      </c>
      <c r="AG142" s="279">
        <v>1.42</v>
      </c>
      <c r="AH142" s="310"/>
      <c r="AI142" s="310"/>
      <c r="AJ142" s="4"/>
      <c r="AK142" s="4">
        <f t="shared" si="20"/>
        <v>0</v>
      </c>
      <c r="AL142" s="279">
        <v>1.31</v>
      </c>
      <c r="AM142" s="310"/>
      <c r="AN142" s="310"/>
      <c r="AO142" s="4"/>
      <c r="AP142" s="4">
        <f t="shared" si="21"/>
        <v>0</v>
      </c>
    </row>
    <row r="143" spans="1:42" ht="35.25" customHeight="1" x14ac:dyDescent="0.25">
      <c r="A143" s="277"/>
      <c r="B143" s="278" t="s">
        <v>468</v>
      </c>
      <c r="C143" s="279">
        <v>0.86</v>
      </c>
      <c r="D143" s="310"/>
      <c r="E143" s="310"/>
      <c r="F143" s="4"/>
      <c r="G143" s="4">
        <f t="shared" si="0"/>
        <v>0</v>
      </c>
      <c r="H143" s="279">
        <v>0.38</v>
      </c>
      <c r="I143" s="310"/>
      <c r="J143" s="310"/>
      <c r="K143" s="4"/>
      <c r="L143" s="4">
        <f t="shared" si="15"/>
        <v>0</v>
      </c>
      <c r="M143" s="279">
        <v>1.25</v>
      </c>
      <c r="N143" s="310"/>
      <c r="O143" s="310"/>
      <c r="P143" s="4"/>
      <c r="Q143" s="4">
        <f t="shared" si="16"/>
        <v>0</v>
      </c>
      <c r="R143" s="279">
        <v>0.68</v>
      </c>
      <c r="S143" s="310"/>
      <c r="T143" s="310"/>
      <c r="U143" s="4"/>
      <c r="V143" s="4">
        <f t="shared" si="17"/>
        <v>0</v>
      </c>
      <c r="W143" s="279">
        <v>0.98</v>
      </c>
      <c r="X143" s="310"/>
      <c r="Y143" s="310"/>
      <c r="Z143" s="4"/>
      <c r="AA143" s="4">
        <f t="shared" si="18"/>
        <v>0</v>
      </c>
      <c r="AB143" s="279">
        <v>0.63</v>
      </c>
      <c r="AC143" s="310"/>
      <c r="AD143" s="310"/>
      <c r="AE143" s="4"/>
      <c r="AF143" s="4">
        <f t="shared" si="19"/>
        <v>0</v>
      </c>
      <c r="AG143" s="279">
        <v>0.57999999999999996</v>
      </c>
      <c r="AH143" s="310"/>
      <c r="AI143" s="310"/>
      <c r="AJ143" s="4"/>
      <c r="AK143" s="4">
        <f t="shared" si="20"/>
        <v>0</v>
      </c>
      <c r="AL143" s="279">
        <v>0.66</v>
      </c>
      <c r="AM143" s="310"/>
      <c r="AN143" s="310"/>
      <c r="AO143" s="4"/>
      <c r="AP143" s="4">
        <f t="shared" si="21"/>
        <v>0</v>
      </c>
    </row>
    <row r="144" spans="1:42" ht="35.25" customHeight="1" x14ac:dyDescent="0.25">
      <c r="A144" s="277"/>
      <c r="B144" s="278" t="s">
        <v>469</v>
      </c>
      <c r="C144" s="279">
        <v>2.0499999999999998</v>
      </c>
      <c r="D144" s="310"/>
      <c r="E144" s="310"/>
      <c r="F144" s="4"/>
      <c r="G144" s="4">
        <f t="shared" si="0"/>
        <v>0</v>
      </c>
      <c r="H144" s="279">
        <v>1.33</v>
      </c>
      <c r="I144" s="310"/>
      <c r="J144" s="310"/>
      <c r="K144" s="4"/>
      <c r="L144" s="4">
        <f t="shared" si="15"/>
        <v>0</v>
      </c>
      <c r="M144" s="279">
        <v>2.48</v>
      </c>
      <c r="N144" s="310"/>
      <c r="O144" s="310"/>
      <c r="P144" s="4"/>
      <c r="Q144" s="4">
        <f t="shared" si="16"/>
        <v>0</v>
      </c>
      <c r="R144" s="279">
        <v>1.47</v>
      </c>
      <c r="S144" s="310"/>
      <c r="T144" s="310"/>
      <c r="U144" s="4"/>
      <c r="V144" s="4">
        <f t="shared" si="17"/>
        <v>0</v>
      </c>
      <c r="W144" s="279">
        <v>1.76</v>
      </c>
      <c r="X144" s="310"/>
      <c r="Y144" s="310"/>
      <c r="Z144" s="4"/>
      <c r="AA144" s="4">
        <f t="shared" si="18"/>
        <v>0</v>
      </c>
      <c r="AB144" s="279">
        <v>1.22</v>
      </c>
      <c r="AC144" s="310"/>
      <c r="AD144" s="310"/>
      <c r="AE144" s="4"/>
      <c r="AF144" s="4">
        <f t="shared" si="19"/>
        <v>0</v>
      </c>
      <c r="AG144" s="279">
        <v>1.57</v>
      </c>
      <c r="AH144" s="310"/>
      <c r="AI144" s="310"/>
      <c r="AJ144" s="4"/>
      <c r="AK144" s="4">
        <f t="shared" si="20"/>
        <v>0</v>
      </c>
      <c r="AL144" s="279">
        <v>1.43</v>
      </c>
      <c r="AM144" s="310"/>
      <c r="AN144" s="310"/>
      <c r="AO144" s="4"/>
      <c r="AP144" s="4">
        <f t="shared" si="21"/>
        <v>0</v>
      </c>
    </row>
    <row r="145" spans="1:42" ht="35.25" customHeight="1" x14ac:dyDescent="0.25">
      <c r="A145" s="277"/>
      <c r="B145" s="278" t="s">
        <v>470</v>
      </c>
      <c r="C145" s="279">
        <v>1.02</v>
      </c>
      <c r="D145" s="310"/>
      <c r="E145" s="310"/>
      <c r="F145" s="4"/>
      <c r="G145" s="4">
        <f t="shared" si="0"/>
        <v>0</v>
      </c>
      <c r="H145" s="279">
        <v>0.52</v>
      </c>
      <c r="I145" s="310"/>
      <c r="J145" s="310"/>
      <c r="K145" s="4"/>
      <c r="L145" s="4">
        <f t="shared" si="15"/>
        <v>0</v>
      </c>
      <c r="M145" s="279">
        <v>1.43</v>
      </c>
      <c r="N145" s="310"/>
      <c r="O145" s="310"/>
      <c r="P145" s="4"/>
      <c r="Q145" s="4">
        <f t="shared" si="16"/>
        <v>0</v>
      </c>
      <c r="R145" s="279">
        <v>0.79</v>
      </c>
      <c r="S145" s="310"/>
      <c r="T145" s="310"/>
      <c r="U145" s="4"/>
      <c r="V145" s="4">
        <f t="shared" si="17"/>
        <v>0</v>
      </c>
      <c r="W145" s="279">
        <v>1.0900000000000001</v>
      </c>
      <c r="X145" s="310"/>
      <c r="Y145" s="310"/>
      <c r="Z145" s="4"/>
      <c r="AA145" s="4">
        <f t="shared" si="18"/>
        <v>0</v>
      </c>
      <c r="AB145" s="279">
        <v>0.71</v>
      </c>
      <c r="AC145" s="310"/>
      <c r="AD145" s="310"/>
      <c r="AE145" s="4"/>
      <c r="AF145" s="4">
        <f t="shared" si="19"/>
        <v>0</v>
      </c>
      <c r="AG145" s="279">
        <v>0.72</v>
      </c>
      <c r="AH145" s="310"/>
      <c r="AI145" s="310"/>
      <c r="AJ145" s="4"/>
      <c r="AK145" s="4">
        <f t="shared" si="20"/>
        <v>0</v>
      </c>
      <c r="AL145" s="279">
        <v>0.76</v>
      </c>
      <c r="AM145" s="310"/>
      <c r="AN145" s="310"/>
      <c r="AO145" s="4"/>
      <c r="AP145" s="4">
        <f t="shared" si="21"/>
        <v>0</v>
      </c>
    </row>
    <row r="146" spans="1:42" ht="35.25" customHeight="1" x14ac:dyDescent="0.25">
      <c r="A146" s="277"/>
      <c r="B146" s="278" t="s">
        <v>471</v>
      </c>
      <c r="C146" s="279">
        <v>1.1000000000000001</v>
      </c>
      <c r="D146" s="310"/>
      <c r="E146" s="310"/>
      <c r="F146" s="4"/>
      <c r="G146" s="4">
        <f t="shared" si="0"/>
        <v>0</v>
      </c>
      <c r="H146" s="279">
        <v>0.57999999999999996</v>
      </c>
      <c r="I146" s="310"/>
      <c r="J146" s="310"/>
      <c r="K146" s="4"/>
      <c r="L146" s="4">
        <f t="shared" si="15"/>
        <v>0</v>
      </c>
      <c r="M146" s="279">
        <v>1.51</v>
      </c>
      <c r="N146" s="310"/>
      <c r="O146" s="310"/>
      <c r="P146" s="4"/>
      <c r="Q146" s="4">
        <f t="shared" si="16"/>
        <v>0</v>
      </c>
      <c r="R146" s="279">
        <v>0.84</v>
      </c>
      <c r="S146" s="310"/>
      <c r="T146" s="310"/>
      <c r="U146" s="4"/>
      <c r="V146" s="4">
        <f t="shared" si="17"/>
        <v>0</v>
      </c>
      <c r="W146" s="279">
        <v>1.1399999999999999</v>
      </c>
      <c r="X146" s="310"/>
      <c r="Y146" s="310"/>
      <c r="Z146" s="4"/>
      <c r="AA146" s="4">
        <f t="shared" si="18"/>
        <v>0</v>
      </c>
      <c r="AB146" s="279">
        <v>0.75</v>
      </c>
      <c r="AC146" s="310"/>
      <c r="AD146" s="310"/>
      <c r="AE146" s="4"/>
      <c r="AF146" s="4">
        <f t="shared" si="19"/>
        <v>0</v>
      </c>
      <c r="AG146" s="279">
        <v>0.78</v>
      </c>
      <c r="AH146" s="310"/>
      <c r="AI146" s="310"/>
      <c r="AJ146" s="4"/>
      <c r="AK146" s="4">
        <f t="shared" si="20"/>
        <v>0</v>
      </c>
      <c r="AL146" s="279">
        <v>0.81</v>
      </c>
      <c r="AM146" s="310"/>
      <c r="AN146" s="310"/>
      <c r="AO146" s="4"/>
      <c r="AP146" s="4">
        <f t="shared" si="21"/>
        <v>0</v>
      </c>
    </row>
    <row r="147" spans="1:42" ht="35.25" customHeight="1" x14ac:dyDescent="0.25">
      <c r="A147" s="277"/>
      <c r="B147" s="278" t="s">
        <v>472</v>
      </c>
      <c r="C147" s="279">
        <v>1.27</v>
      </c>
      <c r="D147" s="310"/>
      <c r="E147" s="310"/>
      <c r="F147" s="4"/>
      <c r="G147" s="4">
        <f t="shared" si="0"/>
        <v>0</v>
      </c>
      <c r="H147" s="279">
        <v>0.71</v>
      </c>
      <c r="I147" s="310"/>
      <c r="J147" s="310"/>
      <c r="K147" s="4"/>
      <c r="L147" s="4">
        <f t="shared" si="15"/>
        <v>0</v>
      </c>
      <c r="M147" s="279">
        <v>1.68</v>
      </c>
      <c r="N147" s="310"/>
      <c r="O147" s="310"/>
      <c r="P147" s="4"/>
      <c r="Q147" s="4">
        <f t="shared" si="16"/>
        <v>0</v>
      </c>
      <c r="R147" s="279">
        <v>0.95</v>
      </c>
      <c r="S147" s="310"/>
      <c r="T147" s="310"/>
      <c r="U147" s="4"/>
      <c r="V147" s="4">
        <f t="shared" si="17"/>
        <v>0</v>
      </c>
      <c r="W147" s="279">
        <v>1.25</v>
      </c>
      <c r="X147" s="310"/>
      <c r="Y147" s="310"/>
      <c r="Z147" s="4"/>
      <c r="AA147" s="4">
        <f t="shared" si="18"/>
        <v>0</v>
      </c>
      <c r="AB147" s="279">
        <v>0.84</v>
      </c>
      <c r="AC147" s="310"/>
      <c r="AD147" s="310"/>
      <c r="AE147" s="4"/>
      <c r="AF147" s="4">
        <f t="shared" si="19"/>
        <v>0</v>
      </c>
      <c r="AG147" s="279">
        <v>0.92</v>
      </c>
      <c r="AH147" s="310"/>
      <c r="AI147" s="310"/>
      <c r="AJ147" s="4"/>
      <c r="AK147" s="4">
        <f t="shared" si="20"/>
        <v>0</v>
      </c>
      <c r="AL147" s="279">
        <v>0.92</v>
      </c>
      <c r="AM147" s="310"/>
      <c r="AN147" s="310"/>
      <c r="AO147" s="4"/>
      <c r="AP147" s="4">
        <f t="shared" si="21"/>
        <v>0</v>
      </c>
    </row>
    <row r="148" spans="1:42" ht="35.25" customHeight="1" x14ac:dyDescent="0.25">
      <c r="A148" s="277"/>
      <c r="B148" s="278" t="s">
        <v>473</v>
      </c>
      <c r="C148" s="279">
        <v>0.64</v>
      </c>
      <c r="D148" s="310"/>
      <c r="E148" s="310"/>
      <c r="F148" s="4"/>
      <c r="G148" s="4">
        <f t="shared" si="0"/>
        <v>0</v>
      </c>
      <c r="H148" s="279">
        <v>0.22</v>
      </c>
      <c r="I148" s="310"/>
      <c r="J148" s="310"/>
      <c r="K148" s="4"/>
      <c r="L148" s="4">
        <f t="shared" si="15"/>
        <v>0</v>
      </c>
      <c r="M148" s="279">
        <v>1.03</v>
      </c>
      <c r="N148" s="310"/>
      <c r="O148" s="310"/>
      <c r="P148" s="4"/>
      <c r="Q148" s="4">
        <f t="shared" si="16"/>
        <v>0</v>
      </c>
      <c r="R148" s="279">
        <v>0.54</v>
      </c>
      <c r="S148" s="310"/>
      <c r="T148" s="310"/>
      <c r="U148" s="4"/>
      <c r="V148" s="4">
        <f t="shared" si="17"/>
        <v>0</v>
      </c>
      <c r="W148" s="279">
        <v>0.84</v>
      </c>
      <c r="X148" s="310"/>
      <c r="Y148" s="310"/>
      <c r="Z148" s="4"/>
      <c r="AA148" s="4">
        <f t="shared" si="18"/>
        <v>0</v>
      </c>
      <c r="AB148" s="279">
        <v>0.53</v>
      </c>
      <c r="AC148" s="310"/>
      <c r="AD148" s="310"/>
      <c r="AE148" s="4"/>
      <c r="AF148" s="4">
        <f t="shared" si="19"/>
        <v>0</v>
      </c>
      <c r="AG148" s="279">
        <v>0.4</v>
      </c>
      <c r="AH148" s="310"/>
      <c r="AI148" s="310"/>
      <c r="AJ148" s="4"/>
      <c r="AK148" s="4">
        <f t="shared" si="20"/>
        <v>0</v>
      </c>
      <c r="AL148" s="279">
        <v>0.52</v>
      </c>
      <c r="AM148" s="310"/>
      <c r="AN148" s="310"/>
      <c r="AO148" s="4"/>
      <c r="AP148" s="4">
        <f t="shared" si="21"/>
        <v>0</v>
      </c>
    </row>
    <row r="149" spans="1:42" ht="15.75" x14ac:dyDescent="0.25">
      <c r="A149" s="4">
        <v>10</v>
      </c>
      <c r="B149" s="280" t="s">
        <v>557</v>
      </c>
      <c r="C149" s="279"/>
      <c r="D149" s="310"/>
      <c r="E149" s="310"/>
      <c r="F149" s="4"/>
      <c r="G149" s="4"/>
      <c r="H149" s="279"/>
      <c r="I149" s="310"/>
      <c r="J149" s="310"/>
      <c r="K149" s="4"/>
      <c r="L149" s="4">
        <f t="shared" si="15"/>
        <v>0</v>
      </c>
      <c r="M149" s="279"/>
      <c r="N149" s="310"/>
      <c r="O149" s="310"/>
      <c r="P149" s="4"/>
      <c r="Q149" s="4">
        <f t="shared" si="16"/>
        <v>0</v>
      </c>
      <c r="R149" s="279"/>
      <c r="S149" s="310"/>
      <c r="T149" s="310"/>
      <c r="U149" s="4"/>
      <c r="V149" s="4">
        <f t="shared" si="17"/>
        <v>0</v>
      </c>
      <c r="W149" s="279"/>
      <c r="X149" s="310"/>
      <c r="Y149" s="310"/>
      <c r="Z149" s="4"/>
      <c r="AA149" s="4">
        <f t="shared" si="18"/>
        <v>0</v>
      </c>
      <c r="AB149" s="279"/>
      <c r="AC149" s="310"/>
      <c r="AD149" s="310"/>
      <c r="AE149" s="4"/>
      <c r="AF149" s="4">
        <f t="shared" si="19"/>
        <v>0</v>
      </c>
      <c r="AG149" s="279"/>
      <c r="AH149" s="310"/>
      <c r="AI149" s="310"/>
      <c r="AJ149" s="4"/>
      <c r="AK149" s="4">
        <f t="shared" si="20"/>
        <v>0</v>
      </c>
      <c r="AL149" s="279"/>
      <c r="AM149" s="310"/>
      <c r="AN149" s="310"/>
      <c r="AO149" s="4"/>
      <c r="AP149" s="4"/>
    </row>
    <row r="150" spans="1:42" ht="35.25" customHeight="1" x14ac:dyDescent="0.25">
      <c r="A150" s="277"/>
      <c r="B150" s="278" t="s">
        <v>558</v>
      </c>
      <c r="C150" s="4">
        <v>0.72</v>
      </c>
      <c r="D150" s="309">
        <f>MAX(C150:C153)</f>
        <v>1.78</v>
      </c>
      <c r="E150" s="310">
        <f>MIN(C150:C153)</f>
        <v>0.65</v>
      </c>
      <c r="F150" s="4"/>
      <c r="G150" s="4">
        <f t="shared" si="0"/>
        <v>0</v>
      </c>
      <c r="H150" s="279">
        <v>7.0000000000000007E-2</v>
      </c>
      <c r="I150" s="309">
        <f>MAX(H150:H153)</f>
        <v>0.17</v>
      </c>
      <c r="J150" s="310">
        <f>MIN(H150:H153)</f>
        <v>0.06</v>
      </c>
      <c r="K150" s="4"/>
      <c r="L150" s="4">
        <f t="shared" si="15"/>
        <v>0</v>
      </c>
      <c r="M150" s="279">
        <v>0.17</v>
      </c>
      <c r="N150" s="309">
        <f>MAX(M150:M153)</f>
        <v>0.41</v>
      </c>
      <c r="O150" s="310">
        <f>MIN(M150:M153)</f>
        <v>0.15</v>
      </c>
      <c r="P150" s="4"/>
      <c r="Q150" s="4">
        <f t="shared" si="16"/>
        <v>0</v>
      </c>
      <c r="R150" s="279">
        <v>7.0000000000000007E-2</v>
      </c>
      <c r="S150" s="309">
        <f>MAX(R150:R153)</f>
        <v>0.16</v>
      </c>
      <c r="T150" s="310">
        <f>MIN(R150:R153)</f>
        <v>0.06</v>
      </c>
      <c r="U150" s="4"/>
      <c r="V150" s="4">
        <f t="shared" si="17"/>
        <v>0</v>
      </c>
      <c r="W150" s="279">
        <v>0.08</v>
      </c>
      <c r="X150" s="309">
        <f>MAX(W150:W153)</f>
        <v>0.2</v>
      </c>
      <c r="Y150" s="310">
        <f>MIN(W150:W153)</f>
        <v>7.0000000000000007E-2</v>
      </c>
      <c r="Z150" s="4"/>
      <c r="AA150" s="4">
        <f t="shared" si="18"/>
        <v>0</v>
      </c>
      <c r="AB150" s="279">
        <v>0.24</v>
      </c>
      <c r="AC150" s="309">
        <f>MAX(AB150:AB153)</f>
        <v>0.42</v>
      </c>
      <c r="AD150" s="310">
        <f>MIN(AB150:AB153)</f>
        <v>0.23</v>
      </c>
      <c r="AE150" s="4"/>
      <c r="AF150" s="4">
        <f t="shared" si="19"/>
        <v>0</v>
      </c>
      <c r="AG150" s="279">
        <v>0.22</v>
      </c>
      <c r="AH150" s="309">
        <f>MAX(AG150:AG153)</f>
        <v>0.42</v>
      </c>
      <c r="AI150" s="310">
        <f>MIN(AG150:AG153)</f>
        <v>0.21</v>
      </c>
      <c r="AJ150" s="4"/>
      <c r="AK150" s="4">
        <f t="shared" si="20"/>
        <v>0</v>
      </c>
      <c r="AL150" s="279">
        <v>0.03</v>
      </c>
      <c r="AM150" s="309">
        <f>MAX(AL150:AL153)</f>
        <v>0.08</v>
      </c>
      <c r="AN150" s="310">
        <f>MIN(AL150:AL153)</f>
        <v>0.03</v>
      </c>
      <c r="AO150" s="4"/>
      <c r="AP150" s="4">
        <f t="shared" si="21"/>
        <v>0</v>
      </c>
    </row>
    <row r="151" spans="1:42" ht="35.25" customHeight="1" x14ac:dyDescent="0.25">
      <c r="A151" s="277"/>
      <c r="B151" s="278" t="s">
        <v>559</v>
      </c>
      <c r="C151" s="4">
        <v>0.65</v>
      </c>
      <c r="D151" s="311"/>
      <c r="E151" s="311"/>
      <c r="F151" s="4"/>
      <c r="G151" s="4">
        <f t="shared" si="0"/>
        <v>0</v>
      </c>
      <c r="H151" s="279">
        <v>0.06</v>
      </c>
      <c r="I151" s="311"/>
      <c r="J151" s="311"/>
      <c r="K151" s="4"/>
      <c r="L151" s="4">
        <f t="shared" si="15"/>
        <v>0</v>
      </c>
      <c r="M151" s="279">
        <v>0.15</v>
      </c>
      <c r="N151" s="311"/>
      <c r="O151" s="311"/>
      <c r="P151" s="4"/>
      <c r="Q151" s="4">
        <f t="shared" si="16"/>
        <v>0</v>
      </c>
      <c r="R151" s="279">
        <v>0.06</v>
      </c>
      <c r="S151" s="311"/>
      <c r="T151" s="311"/>
      <c r="U151" s="4"/>
      <c r="V151" s="4">
        <f t="shared" si="17"/>
        <v>0</v>
      </c>
      <c r="W151" s="279">
        <v>7.0000000000000007E-2</v>
      </c>
      <c r="X151" s="311"/>
      <c r="Y151" s="311"/>
      <c r="Z151" s="4"/>
      <c r="AA151" s="4">
        <f t="shared" si="18"/>
        <v>0</v>
      </c>
      <c r="AB151" s="279">
        <v>0.23</v>
      </c>
      <c r="AC151" s="311"/>
      <c r="AD151" s="311"/>
      <c r="AE151" s="4"/>
      <c r="AF151" s="4">
        <f t="shared" si="19"/>
        <v>0</v>
      </c>
      <c r="AG151" s="279">
        <v>0.21</v>
      </c>
      <c r="AH151" s="311"/>
      <c r="AI151" s="311"/>
      <c r="AJ151" s="4"/>
      <c r="AK151" s="4">
        <f t="shared" si="20"/>
        <v>0</v>
      </c>
      <c r="AL151" s="279">
        <v>0.03</v>
      </c>
      <c r="AM151" s="311"/>
      <c r="AN151" s="311"/>
      <c r="AO151" s="4"/>
      <c r="AP151" s="4">
        <f t="shared" si="21"/>
        <v>0</v>
      </c>
    </row>
    <row r="152" spans="1:42" ht="35.25" customHeight="1" x14ac:dyDescent="0.25">
      <c r="A152" s="277"/>
      <c r="B152" s="278" t="s">
        <v>560</v>
      </c>
      <c r="C152" s="4">
        <v>1.1299999999999999</v>
      </c>
      <c r="D152" s="311"/>
      <c r="E152" s="311"/>
      <c r="F152" s="4"/>
      <c r="G152" s="4">
        <f t="shared" si="0"/>
        <v>0</v>
      </c>
      <c r="H152" s="279">
        <v>0.11</v>
      </c>
      <c r="I152" s="311"/>
      <c r="J152" s="311"/>
      <c r="K152" s="4"/>
      <c r="L152" s="4">
        <f t="shared" si="15"/>
        <v>0</v>
      </c>
      <c r="M152" s="279">
        <v>0.26</v>
      </c>
      <c r="N152" s="311"/>
      <c r="O152" s="311"/>
      <c r="P152" s="4"/>
      <c r="Q152" s="4">
        <f t="shared" si="16"/>
        <v>0</v>
      </c>
      <c r="R152" s="279">
        <v>0.1</v>
      </c>
      <c r="S152" s="311"/>
      <c r="T152" s="311"/>
      <c r="U152" s="4"/>
      <c r="V152" s="4">
        <f t="shared" si="17"/>
        <v>0</v>
      </c>
      <c r="W152" s="279">
        <v>0.13</v>
      </c>
      <c r="X152" s="311"/>
      <c r="Y152" s="311"/>
      <c r="Z152" s="4"/>
      <c r="AA152" s="4">
        <f t="shared" si="18"/>
        <v>0</v>
      </c>
      <c r="AB152" s="279">
        <v>0.31</v>
      </c>
      <c r="AC152" s="311"/>
      <c r="AD152" s="311"/>
      <c r="AE152" s="4"/>
      <c r="AF152" s="4">
        <f t="shared" si="19"/>
        <v>0</v>
      </c>
      <c r="AG152" s="279">
        <v>0.3</v>
      </c>
      <c r="AH152" s="311"/>
      <c r="AI152" s="311"/>
      <c r="AJ152" s="4"/>
      <c r="AK152" s="4">
        <f t="shared" si="20"/>
        <v>0</v>
      </c>
      <c r="AL152" s="279">
        <v>0.05</v>
      </c>
      <c r="AM152" s="311"/>
      <c r="AN152" s="311"/>
      <c r="AO152" s="4"/>
      <c r="AP152" s="4">
        <f t="shared" si="21"/>
        <v>0</v>
      </c>
    </row>
    <row r="153" spans="1:42" ht="35.25" customHeight="1" x14ac:dyDescent="0.25">
      <c r="A153" s="277"/>
      <c r="B153" s="278" t="s">
        <v>561</v>
      </c>
      <c r="C153" s="4">
        <v>1.78</v>
      </c>
      <c r="D153" s="311"/>
      <c r="E153" s="311"/>
      <c r="F153" s="4"/>
      <c r="G153" s="4">
        <f t="shared" si="0"/>
        <v>0</v>
      </c>
      <c r="H153" s="279">
        <v>0.17</v>
      </c>
      <c r="I153" s="311"/>
      <c r="J153" s="311"/>
      <c r="K153" s="4"/>
      <c r="L153" s="4">
        <f t="shared" si="15"/>
        <v>0</v>
      </c>
      <c r="M153" s="279">
        <v>0.41</v>
      </c>
      <c r="N153" s="311"/>
      <c r="O153" s="311"/>
      <c r="P153" s="4"/>
      <c r="Q153" s="4">
        <f t="shared" si="16"/>
        <v>0</v>
      </c>
      <c r="R153" s="279">
        <v>0.16</v>
      </c>
      <c r="S153" s="311"/>
      <c r="T153" s="311"/>
      <c r="U153" s="4"/>
      <c r="V153" s="4">
        <f t="shared" si="17"/>
        <v>0</v>
      </c>
      <c r="W153" s="279">
        <v>0.2</v>
      </c>
      <c r="X153" s="311"/>
      <c r="Y153" s="311"/>
      <c r="Z153" s="4"/>
      <c r="AA153" s="4">
        <f t="shared" si="18"/>
        <v>0</v>
      </c>
      <c r="AB153" s="279">
        <v>0.42</v>
      </c>
      <c r="AC153" s="311"/>
      <c r="AD153" s="311"/>
      <c r="AE153" s="4"/>
      <c r="AF153" s="4">
        <f t="shared" si="19"/>
        <v>0</v>
      </c>
      <c r="AG153" s="279">
        <v>0.42</v>
      </c>
      <c r="AH153" s="311"/>
      <c r="AI153" s="311"/>
      <c r="AJ153" s="4"/>
      <c r="AK153" s="4">
        <f t="shared" si="20"/>
        <v>0</v>
      </c>
      <c r="AL153" s="279">
        <v>0.08</v>
      </c>
      <c r="AM153" s="311"/>
      <c r="AN153" s="311"/>
      <c r="AO153" s="4"/>
      <c r="AP153" s="4">
        <f t="shared" si="21"/>
        <v>0</v>
      </c>
    </row>
    <row r="154" spans="1:42" ht="15.75" x14ac:dyDescent="0.25">
      <c r="A154" s="4">
        <v>10</v>
      </c>
      <c r="B154" s="280" t="s">
        <v>319</v>
      </c>
      <c r="C154" s="279"/>
      <c r="D154" s="310"/>
      <c r="E154" s="310"/>
      <c r="F154" s="4"/>
      <c r="G154" s="4">
        <f t="shared" si="0"/>
        <v>0</v>
      </c>
      <c r="H154" s="279"/>
      <c r="I154" s="310"/>
      <c r="J154" s="310"/>
      <c r="K154" s="4"/>
      <c r="L154" s="4">
        <f t="shared" si="15"/>
        <v>0</v>
      </c>
      <c r="M154" s="279"/>
      <c r="N154" s="310"/>
      <c r="O154" s="310"/>
      <c r="P154" s="4"/>
      <c r="Q154" s="4">
        <f t="shared" si="16"/>
        <v>0</v>
      </c>
      <c r="R154" s="279"/>
      <c r="S154" s="310"/>
      <c r="T154" s="310"/>
      <c r="U154" s="4"/>
      <c r="V154" s="4">
        <f t="shared" si="17"/>
        <v>0</v>
      </c>
      <c r="W154" s="279"/>
      <c r="X154" s="310"/>
      <c r="Y154" s="310"/>
      <c r="Z154" s="4"/>
      <c r="AA154" s="4">
        <f t="shared" si="18"/>
        <v>0</v>
      </c>
      <c r="AB154" s="279"/>
      <c r="AC154" s="310"/>
      <c r="AD154" s="310"/>
      <c r="AE154" s="4"/>
      <c r="AF154" s="4">
        <f t="shared" si="19"/>
        <v>0</v>
      </c>
      <c r="AG154" s="279"/>
      <c r="AH154" s="310"/>
      <c r="AI154" s="310"/>
      <c r="AJ154" s="4"/>
      <c r="AK154" s="4">
        <f t="shared" si="20"/>
        <v>0</v>
      </c>
      <c r="AL154" s="279"/>
      <c r="AM154" s="310"/>
      <c r="AN154" s="310"/>
      <c r="AO154" s="4"/>
      <c r="AP154" s="4">
        <f t="shared" si="21"/>
        <v>0</v>
      </c>
    </row>
    <row r="155" spans="1:42" ht="15.75" x14ac:dyDescent="0.25">
      <c r="A155" s="277"/>
      <c r="B155" s="278" t="s">
        <v>474</v>
      </c>
      <c r="C155" s="279">
        <v>0.2</v>
      </c>
      <c r="D155" s="309">
        <f>MAX(C155:C158)</f>
        <v>1.06</v>
      </c>
      <c r="E155" s="310">
        <f>MIN(C155:C158)</f>
        <v>0.2</v>
      </c>
      <c r="F155" s="4"/>
      <c r="G155" s="4">
        <f t="shared" si="0"/>
        <v>0</v>
      </c>
      <c r="H155" s="279">
        <v>1.26</v>
      </c>
      <c r="I155" s="309">
        <f>MAX(H155:H158)</f>
        <v>1.44</v>
      </c>
      <c r="J155" s="310">
        <f>MIN(H155:H158)</f>
        <v>1.26</v>
      </c>
      <c r="K155" s="4"/>
      <c r="L155" s="4">
        <f t="shared" si="15"/>
        <v>0</v>
      </c>
      <c r="M155" s="279">
        <v>1.18</v>
      </c>
      <c r="N155" s="309">
        <f>MAX(M155:M158)</f>
        <v>1.49</v>
      </c>
      <c r="O155" s="310">
        <f>MIN(M155:M158)</f>
        <v>1.18</v>
      </c>
      <c r="P155" s="4"/>
      <c r="Q155" s="4">
        <f t="shared" si="16"/>
        <v>0</v>
      </c>
      <c r="R155" s="279">
        <v>0.99</v>
      </c>
      <c r="S155" s="309">
        <f>MAX(R155:R158)</f>
        <v>1.92</v>
      </c>
      <c r="T155" s="310">
        <f>MIN(R155:R158)</f>
        <v>0.99</v>
      </c>
      <c r="U155" s="4"/>
      <c r="V155" s="4">
        <f t="shared" si="17"/>
        <v>0</v>
      </c>
      <c r="W155" s="279">
        <v>3.59</v>
      </c>
      <c r="X155" s="309">
        <f>MAX(W155:W158)</f>
        <v>3.59</v>
      </c>
      <c r="Y155" s="310">
        <f>MIN(W155:W158)</f>
        <v>3.23</v>
      </c>
      <c r="Z155" s="4"/>
      <c r="AA155" s="4">
        <f t="shared" si="18"/>
        <v>0</v>
      </c>
      <c r="AB155" s="279">
        <v>2.87</v>
      </c>
      <c r="AC155" s="309">
        <f>MAX(AB155:AB158)</f>
        <v>2.87</v>
      </c>
      <c r="AD155" s="310">
        <f>MIN(AB155:AB158)</f>
        <v>1.45</v>
      </c>
      <c r="AE155" s="4"/>
      <c r="AF155" s="4">
        <f t="shared" si="19"/>
        <v>0</v>
      </c>
      <c r="AG155" s="279">
        <v>0.77</v>
      </c>
      <c r="AH155" s="309">
        <f>MAX(AG155:AG158)</f>
        <v>0.77</v>
      </c>
      <c r="AI155" s="310">
        <f>MIN(AG155:AG158)</f>
        <v>0.72</v>
      </c>
      <c r="AJ155" s="4"/>
      <c r="AK155" s="4">
        <f t="shared" si="20"/>
        <v>0</v>
      </c>
      <c r="AL155" s="279">
        <v>1.3</v>
      </c>
      <c r="AM155" s="309">
        <f>MAX(AL155:AL158)</f>
        <v>1.3</v>
      </c>
      <c r="AN155" s="310">
        <f>MIN(AL155:AL158)</f>
        <v>0.91</v>
      </c>
      <c r="AO155" s="4"/>
      <c r="AP155" s="4">
        <f t="shared" si="21"/>
        <v>0</v>
      </c>
    </row>
    <row r="156" spans="1:42" ht="15.75" x14ac:dyDescent="0.25">
      <c r="A156" s="277"/>
      <c r="B156" s="278" t="s">
        <v>475</v>
      </c>
      <c r="C156" s="279">
        <v>0.52</v>
      </c>
      <c r="D156" s="310"/>
      <c r="E156" s="310"/>
      <c r="F156" s="4"/>
      <c r="G156" s="4">
        <f t="shared" si="0"/>
        <v>0</v>
      </c>
      <c r="H156" s="279">
        <v>1.43</v>
      </c>
      <c r="I156" s="310"/>
      <c r="J156" s="310"/>
      <c r="K156" s="4"/>
      <c r="L156" s="4">
        <f t="shared" si="15"/>
        <v>0</v>
      </c>
      <c r="M156" s="279">
        <v>1.23</v>
      </c>
      <c r="N156" s="310"/>
      <c r="O156" s="310"/>
      <c r="P156" s="4"/>
      <c r="Q156" s="4">
        <f t="shared" si="16"/>
        <v>0</v>
      </c>
      <c r="R156" s="279">
        <v>1.05</v>
      </c>
      <c r="S156" s="310"/>
      <c r="T156" s="310"/>
      <c r="U156" s="4"/>
      <c r="V156" s="4">
        <f t="shared" si="17"/>
        <v>0</v>
      </c>
      <c r="W156" s="279">
        <v>3.23</v>
      </c>
      <c r="X156" s="310"/>
      <c r="Y156" s="310"/>
      <c r="Z156" s="4"/>
      <c r="AA156" s="4">
        <f t="shared" si="18"/>
        <v>0</v>
      </c>
      <c r="AB156" s="279">
        <v>1.45</v>
      </c>
      <c r="AC156" s="310"/>
      <c r="AD156" s="310"/>
      <c r="AE156" s="4"/>
      <c r="AF156" s="4">
        <f t="shared" si="19"/>
        <v>0</v>
      </c>
      <c r="AG156" s="279">
        <v>0.72</v>
      </c>
      <c r="AH156" s="310"/>
      <c r="AI156" s="310"/>
      <c r="AJ156" s="4"/>
      <c r="AK156" s="4">
        <f t="shared" si="20"/>
        <v>0</v>
      </c>
      <c r="AL156" s="279">
        <v>0.91</v>
      </c>
      <c r="AM156" s="310"/>
      <c r="AN156" s="310"/>
      <c r="AO156" s="4"/>
      <c r="AP156" s="4">
        <f t="shared" si="21"/>
        <v>0</v>
      </c>
    </row>
    <row r="157" spans="1:42" ht="15.75" x14ac:dyDescent="0.25">
      <c r="A157" s="277"/>
      <c r="B157" s="278" t="s">
        <v>476</v>
      </c>
      <c r="C157" s="279">
        <v>0.61</v>
      </c>
      <c r="D157" s="310"/>
      <c r="E157" s="310"/>
      <c r="F157" s="4"/>
      <c r="G157" s="4">
        <f t="shared" si="0"/>
        <v>0</v>
      </c>
      <c r="H157" s="279">
        <v>1.44</v>
      </c>
      <c r="I157" s="310"/>
      <c r="J157" s="310"/>
      <c r="K157" s="4"/>
      <c r="L157" s="4">
        <f t="shared" si="15"/>
        <v>0</v>
      </c>
      <c r="M157" s="279">
        <v>1.33</v>
      </c>
      <c r="N157" s="310"/>
      <c r="O157" s="310"/>
      <c r="P157" s="4"/>
      <c r="Q157" s="4">
        <f t="shared" si="16"/>
        <v>0</v>
      </c>
      <c r="R157" s="279">
        <v>1.1399999999999999</v>
      </c>
      <c r="S157" s="310"/>
      <c r="T157" s="310"/>
      <c r="U157" s="4"/>
      <c r="V157" s="4">
        <f t="shared" si="17"/>
        <v>0</v>
      </c>
      <c r="W157" s="279">
        <v>3.24</v>
      </c>
      <c r="X157" s="310"/>
      <c r="Y157" s="310"/>
      <c r="Z157" s="4"/>
      <c r="AA157" s="4">
        <f t="shared" si="18"/>
        <v>0</v>
      </c>
      <c r="AB157" s="279">
        <v>1.49</v>
      </c>
      <c r="AC157" s="310"/>
      <c r="AD157" s="310"/>
      <c r="AE157" s="4"/>
      <c r="AF157" s="4">
        <f t="shared" si="19"/>
        <v>0</v>
      </c>
      <c r="AG157" s="279">
        <v>0.72</v>
      </c>
      <c r="AH157" s="310"/>
      <c r="AI157" s="310"/>
      <c r="AJ157" s="4"/>
      <c r="AK157" s="4">
        <f t="shared" si="20"/>
        <v>0</v>
      </c>
      <c r="AL157" s="279">
        <v>0.95</v>
      </c>
      <c r="AM157" s="310"/>
      <c r="AN157" s="310"/>
      <c r="AO157" s="4"/>
      <c r="AP157" s="4">
        <f t="shared" si="21"/>
        <v>0</v>
      </c>
    </row>
    <row r="158" spans="1:42" ht="15.75" x14ac:dyDescent="0.25">
      <c r="A158" s="277"/>
      <c r="B158" s="278" t="s">
        <v>477</v>
      </c>
      <c r="C158" s="279">
        <v>1.06</v>
      </c>
      <c r="D158" s="310"/>
      <c r="E158" s="310"/>
      <c r="F158" s="4"/>
      <c r="G158" s="4">
        <f t="shared" si="0"/>
        <v>0</v>
      </c>
      <c r="H158" s="279">
        <v>1.37</v>
      </c>
      <c r="I158" s="310"/>
      <c r="J158" s="310"/>
      <c r="K158" s="4"/>
      <c r="L158" s="4">
        <f t="shared" si="15"/>
        <v>0</v>
      </c>
      <c r="M158" s="279">
        <v>1.49</v>
      </c>
      <c r="N158" s="310"/>
      <c r="O158" s="310"/>
      <c r="P158" s="4"/>
      <c r="Q158" s="4">
        <f t="shared" si="16"/>
        <v>0</v>
      </c>
      <c r="R158" s="279">
        <v>1.92</v>
      </c>
      <c r="S158" s="310"/>
      <c r="T158" s="310"/>
      <c r="U158" s="4"/>
      <c r="V158" s="4">
        <f t="shared" si="17"/>
        <v>0</v>
      </c>
      <c r="W158" s="279">
        <v>3.31</v>
      </c>
      <c r="X158" s="310"/>
      <c r="Y158" s="310"/>
      <c r="Z158" s="4"/>
      <c r="AA158" s="4">
        <f t="shared" si="18"/>
        <v>0</v>
      </c>
      <c r="AB158" s="279">
        <v>1.52</v>
      </c>
      <c r="AC158" s="310"/>
      <c r="AD158" s="310"/>
      <c r="AE158" s="4"/>
      <c r="AF158" s="4">
        <f t="shared" si="19"/>
        <v>0</v>
      </c>
      <c r="AG158" s="279">
        <v>0.73</v>
      </c>
      <c r="AH158" s="310"/>
      <c r="AI158" s="310"/>
      <c r="AJ158" s="4"/>
      <c r="AK158" s="4">
        <f t="shared" si="20"/>
        <v>0</v>
      </c>
      <c r="AL158" s="279">
        <v>1.01</v>
      </c>
      <c r="AM158" s="310"/>
      <c r="AN158" s="310"/>
      <c r="AO158" s="4"/>
      <c r="AP158" s="4">
        <f t="shared" si="21"/>
        <v>0</v>
      </c>
    </row>
    <row r="159" spans="1:42" ht="15.75" x14ac:dyDescent="0.25">
      <c r="A159" s="277">
        <v>11</v>
      </c>
      <c r="B159" s="280" t="s">
        <v>478</v>
      </c>
      <c r="C159" s="279"/>
      <c r="D159" s="310"/>
      <c r="E159" s="310"/>
      <c r="F159" s="4"/>
      <c r="G159" s="4">
        <f t="shared" si="0"/>
        <v>0</v>
      </c>
      <c r="H159" s="279"/>
      <c r="I159" s="310"/>
      <c r="J159" s="310"/>
      <c r="K159" s="4"/>
      <c r="L159" s="4">
        <f t="shared" si="15"/>
        <v>0</v>
      </c>
      <c r="M159" s="279"/>
      <c r="N159" s="310"/>
      <c r="O159" s="310"/>
      <c r="P159" s="4"/>
      <c r="Q159" s="4">
        <f t="shared" si="16"/>
        <v>0</v>
      </c>
      <c r="R159" s="279"/>
      <c r="S159" s="310"/>
      <c r="T159" s="310"/>
      <c r="U159" s="4"/>
      <c r="V159" s="4">
        <f t="shared" si="17"/>
        <v>0</v>
      </c>
      <c r="W159" s="279"/>
      <c r="X159" s="310"/>
      <c r="Y159" s="310"/>
      <c r="Z159" s="4"/>
      <c r="AA159" s="4">
        <f t="shared" si="18"/>
        <v>0</v>
      </c>
      <c r="AB159" s="279"/>
      <c r="AC159" s="310"/>
      <c r="AD159" s="310"/>
      <c r="AE159" s="4"/>
      <c r="AF159" s="4">
        <f t="shared" si="19"/>
        <v>0</v>
      </c>
      <c r="AG159" s="279"/>
      <c r="AH159" s="310"/>
      <c r="AI159" s="310"/>
      <c r="AJ159" s="4"/>
      <c r="AK159" s="4">
        <f t="shared" si="20"/>
        <v>0</v>
      </c>
      <c r="AL159" s="279"/>
      <c r="AM159" s="310"/>
      <c r="AN159" s="310"/>
      <c r="AO159" s="4"/>
      <c r="AP159" s="4">
        <f t="shared" si="21"/>
        <v>0</v>
      </c>
    </row>
    <row r="160" spans="1:42" ht="15.75" x14ac:dyDescent="0.25">
      <c r="A160" s="277"/>
      <c r="B160" s="278" t="s">
        <v>479</v>
      </c>
      <c r="C160" s="279">
        <v>0.98</v>
      </c>
      <c r="D160" s="309">
        <f>MAX(C160:C163)</f>
        <v>2.7</v>
      </c>
      <c r="E160" s="310">
        <f>MIN(C160:C163)</f>
        <v>0.98</v>
      </c>
      <c r="F160" s="4"/>
      <c r="G160" s="4">
        <f t="shared" si="0"/>
        <v>0</v>
      </c>
      <c r="H160" s="279">
        <v>1.0900000000000001</v>
      </c>
      <c r="I160" s="309">
        <f>MAX(H160:H163)</f>
        <v>1.57</v>
      </c>
      <c r="J160" s="310">
        <f>MIN(H160:H163)</f>
        <v>1.0900000000000001</v>
      </c>
      <c r="K160" s="4"/>
      <c r="L160" s="4">
        <f t="shared" si="15"/>
        <v>0</v>
      </c>
      <c r="M160" s="279">
        <v>0.88</v>
      </c>
      <c r="N160" s="309">
        <f>MAX(M160:M163)</f>
        <v>1.54</v>
      </c>
      <c r="O160" s="310">
        <f>MIN(M160:M163)</f>
        <v>0.88</v>
      </c>
      <c r="P160" s="4"/>
      <c r="Q160" s="4">
        <f t="shared" si="16"/>
        <v>0</v>
      </c>
      <c r="R160" s="279">
        <v>1.18</v>
      </c>
      <c r="S160" s="309">
        <f>MAX(R160:R163)</f>
        <v>1.41</v>
      </c>
      <c r="T160" s="310">
        <f>MIN(R160:R163)</f>
        <v>1.18</v>
      </c>
      <c r="U160" s="4"/>
      <c r="V160" s="4">
        <f t="shared" si="17"/>
        <v>0</v>
      </c>
      <c r="W160" s="279">
        <v>0.95</v>
      </c>
      <c r="X160" s="309">
        <f>MAX(W160:W163)</f>
        <v>1.07</v>
      </c>
      <c r="Y160" s="310">
        <f>MIN(W160:W163)</f>
        <v>0.95</v>
      </c>
      <c r="Z160" s="4"/>
      <c r="AA160" s="4">
        <f t="shared" si="18"/>
        <v>0</v>
      </c>
      <c r="AB160" s="279">
        <v>1.95</v>
      </c>
      <c r="AC160" s="309">
        <f>MAX(AB160:AB163)</f>
        <v>2.21</v>
      </c>
      <c r="AD160" s="310">
        <f>MIN(AB160:AB163)</f>
        <v>1.95</v>
      </c>
      <c r="AE160" s="4"/>
      <c r="AF160" s="4">
        <f t="shared" si="19"/>
        <v>0</v>
      </c>
      <c r="AG160" s="279">
        <v>1.22</v>
      </c>
      <c r="AH160" s="309">
        <f>MAX(AG160:AG163)</f>
        <v>1.73</v>
      </c>
      <c r="AI160" s="310">
        <f>MIN(AG160:AG163)</f>
        <v>1.22</v>
      </c>
      <c r="AJ160" s="4"/>
      <c r="AK160" s="4">
        <f t="shared" si="20"/>
        <v>0</v>
      </c>
      <c r="AL160" s="279">
        <v>0.82</v>
      </c>
      <c r="AM160" s="309">
        <f>MAX(AL160:AL163)</f>
        <v>1.01</v>
      </c>
      <c r="AN160" s="310">
        <f>MIN(AL160:AL163)</f>
        <v>0.82</v>
      </c>
      <c r="AO160" s="4"/>
      <c r="AP160" s="4">
        <f t="shared" si="21"/>
        <v>0</v>
      </c>
    </row>
    <row r="161" spans="1:42" ht="15.75" x14ac:dyDescent="0.25">
      <c r="A161" s="277"/>
      <c r="B161" s="278" t="s">
        <v>480</v>
      </c>
      <c r="C161" s="279">
        <v>1.41</v>
      </c>
      <c r="D161" s="310"/>
      <c r="E161" s="310"/>
      <c r="F161" s="4"/>
      <c r="G161" s="4">
        <f t="shared" si="0"/>
        <v>0</v>
      </c>
      <c r="H161" s="279">
        <v>1.24</v>
      </c>
      <c r="I161" s="310"/>
      <c r="J161" s="310"/>
      <c r="K161" s="4"/>
      <c r="L161" s="4">
        <f t="shared" si="15"/>
        <v>0</v>
      </c>
      <c r="M161" s="279">
        <v>1.02</v>
      </c>
      <c r="N161" s="310"/>
      <c r="O161" s="310"/>
      <c r="P161" s="4"/>
      <c r="Q161" s="4">
        <f t="shared" si="16"/>
        <v>0</v>
      </c>
      <c r="R161" s="279">
        <v>1.19</v>
      </c>
      <c r="S161" s="310"/>
      <c r="T161" s="310"/>
      <c r="U161" s="4"/>
      <c r="V161" s="4">
        <f t="shared" si="17"/>
        <v>0</v>
      </c>
      <c r="W161" s="279">
        <v>0.97</v>
      </c>
      <c r="X161" s="310"/>
      <c r="Y161" s="310"/>
      <c r="Z161" s="4"/>
      <c r="AA161" s="4">
        <f t="shared" si="18"/>
        <v>0</v>
      </c>
      <c r="AB161" s="279">
        <v>2</v>
      </c>
      <c r="AC161" s="310"/>
      <c r="AD161" s="310"/>
      <c r="AE161" s="4"/>
      <c r="AF161" s="4">
        <f t="shared" si="19"/>
        <v>0</v>
      </c>
      <c r="AG161" s="279">
        <v>1.33</v>
      </c>
      <c r="AH161" s="310"/>
      <c r="AI161" s="310"/>
      <c r="AJ161" s="4"/>
      <c r="AK161" s="4">
        <f t="shared" si="20"/>
        <v>0</v>
      </c>
      <c r="AL161" s="279">
        <v>0.83</v>
      </c>
      <c r="AM161" s="310"/>
      <c r="AN161" s="310"/>
      <c r="AO161" s="4"/>
      <c r="AP161" s="4">
        <f t="shared" si="21"/>
        <v>0</v>
      </c>
    </row>
    <row r="162" spans="1:42" ht="15.75" x14ac:dyDescent="0.25">
      <c r="A162" s="277"/>
      <c r="B162" s="278" t="s">
        <v>481</v>
      </c>
      <c r="C162" s="279">
        <v>1.89</v>
      </c>
      <c r="D162" s="310"/>
      <c r="E162" s="310"/>
      <c r="F162" s="4"/>
      <c r="G162" s="4">
        <f t="shared" si="0"/>
        <v>0</v>
      </c>
      <c r="H162" s="279">
        <v>1.45</v>
      </c>
      <c r="I162" s="310"/>
      <c r="J162" s="310"/>
      <c r="K162" s="4"/>
      <c r="L162" s="4">
        <f t="shared" si="15"/>
        <v>0</v>
      </c>
      <c r="M162" s="279">
        <v>1.24</v>
      </c>
      <c r="N162" s="310"/>
      <c r="O162" s="310"/>
      <c r="P162" s="4"/>
      <c r="Q162" s="4">
        <f t="shared" si="16"/>
        <v>0</v>
      </c>
      <c r="R162" s="279">
        <v>1.29</v>
      </c>
      <c r="S162" s="310"/>
      <c r="T162" s="310"/>
      <c r="U162" s="4"/>
      <c r="V162" s="4">
        <f t="shared" si="17"/>
        <v>0</v>
      </c>
      <c r="W162" s="279">
        <v>0.99</v>
      </c>
      <c r="X162" s="310"/>
      <c r="Y162" s="310"/>
      <c r="Z162" s="4"/>
      <c r="AA162" s="4">
        <f t="shared" si="18"/>
        <v>0</v>
      </c>
      <c r="AB162" s="279">
        <v>2.04</v>
      </c>
      <c r="AC162" s="310"/>
      <c r="AD162" s="310"/>
      <c r="AE162" s="4"/>
      <c r="AF162" s="4">
        <f t="shared" si="19"/>
        <v>0</v>
      </c>
      <c r="AG162" s="279">
        <v>1.37</v>
      </c>
      <c r="AH162" s="310"/>
      <c r="AI162" s="310"/>
      <c r="AJ162" s="4"/>
      <c r="AK162" s="4">
        <f t="shared" si="20"/>
        <v>0</v>
      </c>
      <c r="AL162" s="279">
        <v>0.86</v>
      </c>
      <c r="AM162" s="310"/>
      <c r="AN162" s="310"/>
      <c r="AO162" s="4"/>
      <c r="AP162" s="4">
        <f t="shared" si="21"/>
        <v>0</v>
      </c>
    </row>
    <row r="163" spans="1:42" ht="15.75" x14ac:dyDescent="0.25">
      <c r="A163" s="277"/>
      <c r="B163" s="278" t="s">
        <v>482</v>
      </c>
      <c r="C163" s="279">
        <v>2.7</v>
      </c>
      <c r="D163" s="310"/>
      <c r="E163" s="310"/>
      <c r="F163" s="4"/>
      <c r="G163" s="4">
        <f t="shared" si="0"/>
        <v>0</v>
      </c>
      <c r="H163" s="279">
        <v>1.57</v>
      </c>
      <c r="I163" s="310"/>
      <c r="J163" s="310"/>
      <c r="K163" s="4"/>
      <c r="L163" s="4">
        <f>$H163*K163/100</f>
        <v>0</v>
      </c>
      <c r="M163" s="279">
        <v>1.54</v>
      </c>
      <c r="N163" s="310"/>
      <c r="O163" s="310"/>
      <c r="P163" s="4"/>
      <c r="Q163" s="4">
        <f t="shared" si="16"/>
        <v>0</v>
      </c>
      <c r="R163" s="279">
        <v>1.41</v>
      </c>
      <c r="S163" s="310"/>
      <c r="T163" s="310"/>
      <c r="U163" s="4"/>
      <c r="V163" s="4">
        <f t="shared" si="17"/>
        <v>0</v>
      </c>
      <c r="W163" s="279">
        <v>1.07</v>
      </c>
      <c r="X163" s="310"/>
      <c r="Y163" s="310"/>
      <c r="Z163" s="4"/>
      <c r="AA163" s="4">
        <f t="shared" si="18"/>
        <v>0</v>
      </c>
      <c r="AB163" s="279">
        <v>2.21</v>
      </c>
      <c r="AC163" s="310"/>
      <c r="AD163" s="310"/>
      <c r="AE163" s="4"/>
      <c r="AF163" s="4">
        <f>$AB163*AE163/100</f>
        <v>0</v>
      </c>
      <c r="AG163" s="279">
        <v>1.73</v>
      </c>
      <c r="AH163" s="310"/>
      <c r="AI163" s="310"/>
      <c r="AJ163" s="4"/>
      <c r="AK163" s="4">
        <f t="shared" si="20"/>
        <v>0</v>
      </c>
      <c r="AL163" s="279">
        <v>1.01</v>
      </c>
      <c r="AM163" s="310"/>
      <c r="AN163" s="310"/>
      <c r="AO163" s="4"/>
      <c r="AP163" s="4">
        <f t="shared" si="21"/>
        <v>0</v>
      </c>
    </row>
    <row r="164" spans="1:42" ht="15.75" x14ac:dyDescent="0.25">
      <c r="A164" s="277"/>
      <c r="B164" s="278"/>
      <c r="C164" s="279"/>
      <c r="D164" s="310"/>
      <c r="E164" s="310"/>
      <c r="F164" s="4"/>
      <c r="G164" s="4"/>
      <c r="H164" s="279"/>
      <c r="I164" s="310"/>
      <c r="J164" s="310"/>
      <c r="K164" s="4"/>
      <c r="L164" s="4"/>
      <c r="M164" s="279"/>
      <c r="N164" s="310"/>
      <c r="O164" s="310"/>
      <c r="P164" s="4"/>
      <c r="Q164" s="4"/>
      <c r="R164" s="279"/>
      <c r="S164" s="310"/>
      <c r="T164" s="310"/>
      <c r="U164" s="4"/>
      <c r="V164" s="4"/>
      <c r="W164" s="279"/>
      <c r="X164" s="310"/>
      <c r="Y164" s="310"/>
      <c r="Z164" s="4"/>
      <c r="AA164" s="4"/>
      <c r="AB164" s="279"/>
      <c r="AC164" s="310"/>
      <c r="AD164" s="310"/>
      <c r="AE164" s="4"/>
      <c r="AF164" s="4"/>
      <c r="AG164" s="279"/>
      <c r="AH164" s="310"/>
      <c r="AI164" s="310"/>
      <c r="AJ164" s="4"/>
      <c r="AK164" s="4"/>
      <c r="AL164" s="279"/>
      <c r="AM164" s="310"/>
      <c r="AN164" s="310"/>
      <c r="AO164" s="4"/>
      <c r="AP164" s="4"/>
    </row>
    <row r="165" spans="1:42" ht="15.75" x14ac:dyDescent="0.25">
      <c r="A165" s="4"/>
      <c r="B165" s="286" t="s">
        <v>325</v>
      </c>
      <c r="C165" s="287">
        <f>SUM(C6:C163)</f>
        <v>356.24</v>
      </c>
      <c r="D165" s="310">
        <f>SUM(D6:D163)</f>
        <v>75.160000000000011</v>
      </c>
      <c r="E165" s="310">
        <f>SUM(E6:E163)</f>
        <v>18.469999999999995</v>
      </c>
      <c r="F165" s="287">
        <f t="shared" ref="F165:AP165" si="22">SUM(F6:F163)</f>
        <v>500</v>
      </c>
      <c r="G165" s="287">
        <f t="shared" si="22"/>
        <v>13.7</v>
      </c>
      <c r="H165" s="287">
        <f t="shared" si="22"/>
        <v>257.95</v>
      </c>
      <c r="I165" s="310">
        <f t="shared" si="22"/>
        <v>58.83</v>
      </c>
      <c r="J165" s="310">
        <f t="shared" si="22"/>
        <v>18.66</v>
      </c>
      <c r="K165" s="287">
        <f t="shared" si="22"/>
        <v>0</v>
      </c>
      <c r="L165" s="287">
        <f t="shared" si="22"/>
        <v>0</v>
      </c>
      <c r="M165" s="287">
        <f t="shared" si="22"/>
        <v>261.60000000000008</v>
      </c>
      <c r="N165" s="310">
        <f t="shared" si="22"/>
        <v>56.089999999999996</v>
      </c>
      <c r="O165" s="310">
        <f t="shared" si="22"/>
        <v>18.389999999999997</v>
      </c>
      <c r="P165" s="287">
        <f t="shared" si="22"/>
        <v>0</v>
      </c>
      <c r="Q165" s="287">
        <f t="shared" si="22"/>
        <v>0</v>
      </c>
      <c r="R165" s="287">
        <f t="shared" si="22"/>
        <v>303.8600000000003</v>
      </c>
      <c r="S165" s="310">
        <f t="shared" si="22"/>
        <v>83.62</v>
      </c>
      <c r="T165" s="310">
        <f t="shared" si="22"/>
        <v>18.349999999999998</v>
      </c>
      <c r="U165" s="287">
        <f t="shared" si="22"/>
        <v>0</v>
      </c>
      <c r="V165" s="287">
        <f t="shared" si="22"/>
        <v>0</v>
      </c>
      <c r="W165" s="287">
        <f t="shared" si="22"/>
        <v>142.99999999999994</v>
      </c>
      <c r="X165" s="310">
        <f t="shared" si="22"/>
        <v>36.49</v>
      </c>
      <c r="Y165" s="310">
        <f t="shared" si="22"/>
        <v>15.430000000000001</v>
      </c>
      <c r="Z165" s="287">
        <f t="shared" si="22"/>
        <v>0</v>
      </c>
      <c r="AA165" s="287">
        <f t="shared" si="22"/>
        <v>0</v>
      </c>
      <c r="AB165" s="287">
        <f t="shared" si="22"/>
        <v>219.59000000000009</v>
      </c>
      <c r="AC165" s="310">
        <f t="shared" si="22"/>
        <v>59.180000000000007</v>
      </c>
      <c r="AD165" s="310">
        <f t="shared" si="22"/>
        <v>17.260000000000002</v>
      </c>
      <c r="AE165" s="287">
        <f t="shared" si="22"/>
        <v>0</v>
      </c>
      <c r="AF165" s="287">
        <f t="shared" si="22"/>
        <v>0</v>
      </c>
      <c r="AG165" s="287">
        <f t="shared" si="22"/>
        <v>220.62999999999997</v>
      </c>
      <c r="AH165" s="310">
        <f t="shared" si="22"/>
        <v>58.22</v>
      </c>
      <c r="AI165" s="310">
        <f t="shared" si="22"/>
        <v>18.03</v>
      </c>
      <c r="AJ165" s="287">
        <f t="shared" si="22"/>
        <v>0</v>
      </c>
      <c r="AK165" s="287">
        <f t="shared" si="22"/>
        <v>0</v>
      </c>
      <c r="AL165" s="287">
        <f t="shared" si="22"/>
        <v>235.72000000000006</v>
      </c>
      <c r="AM165" s="310">
        <f t="shared" si="22"/>
        <v>60.219999999999992</v>
      </c>
      <c r="AN165" s="310">
        <f t="shared" si="22"/>
        <v>17.47</v>
      </c>
      <c r="AO165" s="287">
        <f t="shared" si="22"/>
        <v>0</v>
      </c>
      <c r="AP165" s="287">
        <f t="shared" si="22"/>
        <v>0</v>
      </c>
    </row>
    <row r="166" spans="1:42" ht="47.25" x14ac:dyDescent="0.25">
      <c r="A166" s="4"/>
      <c r="B166" s="286" t="s">
        <v>327</v>
      </c>
      <c r="C166" s="288"/>
      <c r="D166" s="312">
        <f>IF(D165&gt;0,(135.18*D165+8585.01),0)</f>
        <v>18745.138800000001</v>
      </c>
      <c r="E166" s="312">
        <f>IF(E165&gt;0,(135.18*E165+8585.01),0)</f>
        <v>11081.784599999999</v>
      </c>
      <c r="F166" s="288"/>
      <c r="G166" s="289">
        <f>IF(G165&gt;0,(135.18*G165+8585.01),0)</f>
        <v>10436.976000000001</v>
      </c>
      <c r="H166" s="288"/>
      <c r="I166" s="312">
        <f>IF(I165&gt;0,(135.18*I165+8585.01),0)</f>
        <v>16537.649400000002</v>
      </c>
      <c r="J166" s="312">
        <f>IF(J165&gt;0,(135.18*J165+8585.01),0)</f>
        <v>11107.468800000001</v>
      </c>
      <c r="K166" s="288"/>
      <c r="L166" s="288">
        <f>IF(L165&gt;0,(130.69*L165+48773.1),0)</f>
        <v>0</v>
      </c>
      <c r="M166" s="288"/>
      <c r="N166" s="312">
        <f>IF(N165&gt;0,(135.18*N165+8585.01),0)</f>
        <v>16167.2562</v>
      </c>
      <c r="O166" s="312">
        <f>IF(O165&gt;0,(135.18*O165+8585.01),0)</f>
        <v>11070.9702</v>
      </c>
      <c r="P166" s="288"/>
      <c r="Q166" s="288">
        <f>IF(Q165&gt;0,(2139.75*Q165+9199.07),0)</f>
        <v>0</v>
      </c>
      <c r="R166" s="288"/>
      <c r="S166" s="312">
        <f>IF(S165&gt;0,(135.18*S165+8585.01),0)</f>
        <v>19888.761600000002</v>
      </c>
      <c r="T166" s="312">
        <f>IF(T165&gt;0,(135.18*T165+8585.01),0)</f>
        <v>11065.563</v>
      </c>
      <c r="U166" s="288"/>
      <c r="V166" s="288">
        <f>IF(V165&gt;0,(154.67*V165+10407.61),0)</f>
        <v>0</v>
      </c>
      <c r="W166" s="288"/>
      <c r="X166" s="312">
        <f>IF(X165&gt;0,(135.18*X165+8585.01),0)</f>
        <v>13517.728200000001</v>
      </c>
      <c r="Y166" s="312">
        <f>IF(Y165&gt;0,(135.18*Y165+8585.01),0)</f>
        <v>10670.8374</v>
      </c>
      <c r="Z166" s="288"/>
      <c r="AA166" s="288">
        <f>IF(AA165&gt;0,(154.67*AA165+11713.21),0)</f>
        <v>0</v>
      </c>
      <c r="AB166" s="288"/>
      <c r="AC166" s="312">
        <f>IF(AC165&gt;0,(135.18*AC165+8585.01),0)</f>
        <v>16584.9624</v>
      </c>
      <c r="AD166" s="312">
        <f>IF(AD165&gt;0,(135.18*AD165+8585.01),0)</f>
        <v>10918.2168</v>
      </c>
      <c r="AE166" s="288"/>
      <c r="AF166" s="288">
        <f>IF(AF165&gt;0,(169.44*AF165+13474.44),0)</f>
        <v>0</v>
      </c>
      <c r="AG166" s="288"/>
      <c r="AH166" s="312">
        <f>IF(AH165&gt;0,(135.18*AH165+8585.01),0)</f>
        <v>16455.189600000002</v>
      </c>
      <c r="AI166" s="312">
        <f>IF(AI165&gt;0,(135.18*AI165+8585.01),0)</f>
        <v>11022.305400000001</v>
      </c>
      <c r="AJ166" s="288"/>
      <c r="AK166" s="288">
        <f>IF(AK165&gt;0,(169.44*AK165+13474.44),0)</f>
        <v>0</v>
      </c>
      <c r="AL166" s="288"/>
      <c r="AM166" s="312">
        <f>IF(AM165&gt;0,(135.18*AM165+8585.01),0)</f>
        <v>16725.549599999998</v>
      </c>
      <c r="AN166" s="312">
        <f>IF(AN165&gt;0,(135.18*AN165+8585.01),0)</f>
        <v>10946.604600000001</v>
      </c>
      <c r="AO166" s="288"/>
      <c r="AP166" s="288">
        <f>IF(AP165&gt;0,(169.44*AP165+13474.44),0)</f>
        <v>0</v>
      </c>
    </row>
    <row r="167" spans="1:42" ht="15.75" x14ac:dyDescent="0.25">
      <c r="A167" s="4"/>
      <c r="B167" s="286" t="s">
        <v>326</v>
      </c>
      <c r="C167" s="288"/>
      <c r="D167" s="311"/>
      <c r="E167" s="311"/>
      <c r="F167" s="288"/>
      <c r="G167" s="288"/>
      <c r="H167" s="288"/>
      <c r="I167" s="311"/>
      <c r="J167" s="311"/>
      <c r="K167" s="288"/>
      <c r="L167" s="288"/>
      <c r="M167" s="288"/>
      <c r="N167" s="311"/>
      <c r="O167" s="311"/>
      <c r="P167" s="288"/>
      <c r="Q167" s="288"/>
      <c r="R167" s="288"/>
      <c r="S167" s="311"/>
      <c r="T167" s="311"/>
      <c r="U167" s="288"/>
      <c r="V167" s="288"/>
      <c r="W167" s="288"/>
      <c r="X167" s="311"/>
      <c r="Y167" s="311"/>
      <c r="Z167" s="288"/>
      <c r="AA167" s="288"/>
      <c r="AB167" s="288"/>
      <c r="AC167" s="311"/>
      <c r="AD167" s="311"/>
      <c r="AE167" s="288"/>
      <c r="AF167" s="288"/>
      <c r="AG167" s="288"/>
      <c r="AH167" s="311"/>
      <c r="AI167" s="311"/>
      <c r="AJ167" s="288"/>
      <c r="AK167" s="288"/>
      <c r="AL167" s="288"/>
      <c r="AM167" s="311"/>
      <c r="AN167" s="311"/>
      <c r="AO167" s="288"/>
      <c r="AP167" s="288"/>
    </row>
    <row r="168" spans="1:42" ht="47.25" x14ac:dyDescent="0.25">
      <c r="A168" s="4"/>
      <c r="B168" s="286" t="s">
        <v>327</v>
      </c>
      <c r="C168" s="288"/>
      <c r="D168" s="311"/>
      <c r="E168" s="311"/>
      <c r="F168" s="288"/>
      <c r="G168" s="289">
        <f>(1-F167%)*G166</f>
        <v>10436.976000000001</v>
      </c>
      <c r="H168" s="288"/>
      <c r="I168" s="311"/>
      <c r="J168" s="311"/>
      <c r="K168" s="288"/>
      <c r="L168" s="288">
        <f>(1-K167%)*L166</f>
        <v>0</v>
      </c>
      <c r="M168" s="288"/>
      <c r="N168" s="311"/>
      <c r="O168" s="311"/>
      <c r="P168" s="288"/>
      <c r="Q168" s="288">
        <f>(1-P167%)*Q166</f>
        <v>0</v>
      </c>
      <c r="R168" s="288"/>
      <c r="S168" s="311"/>
      <c r="T168" s="311"/>
      <c r="U168" s="288"/>
      <c r="V168" s="288">
        <f>(1-U167%)*V166</f>
        <v>0</v>
      </c>
      <c r="W168" s="288"/>
      <c r="X168" s="311"/>
      <c r="Y168" s="311"/>
      <c r="Z168" s="288"/>
      <c r="AA168" s="288">
        <f>(1-Z167%)*AA166</f>
        <v>0</v>
      </c>
      <c r="AB168" s="288"/>
      <c r="AC168" s="311"/>
      <c r="AD168" s="311"/>
      <c r="AE168" s="288"/>
      <c r="AF168" s="288">
        <f>(1-AE167%)*AF166</f>
        <v>0</v>
      </c>
      <c r="AG168" s="288"/>
      <c r="AH168" s="311"/>
      <c r="AI168" s="311"/>
      <c r="AJ168" s="288"/>
      <c r="AK168" s="288">
        <f>(1-AJ167%)*AK166</f>
        <v>0</v>
      </c>
      <c r="AL168" s="288"/>
      <c r="AM168" s="311"/>
      <c r="AN168" s="311"/>
      <c r="AO168" s="288"/>
      <c r="AP168" s="288">
        <f>(1-AO167%)*AP166</f>
        <v>0</v>
      </c>
    </row>
    <row r="169" spans="1:42" ht="15.75" x14ac:dyDescent="0.25">
      <c r="A169" s="4"/>
      <c r="B169" s="286" t="s">
        <v>328</v>
      </c>
      <c r="C169" s="288"/>
      <c r="D169" s="311"/>
      <c r="E169" s="311"/>
      <c r="F169" s="288"/>
      <c r="G169" s="288">
        <f>Area!D15</f>
        <v>224.37719999999996</v>
      </c>
      <c r="H169" s="288"/>
      <c r="I169" s="311"/>
      <c r="J169" s="311"/>
      <c r="K169" s="288"/>
      <c r="L169" s="288"/>
      <c r="M169" s="288"/>
      <c r="N169" s="311"/>
      <c r="O169" s="311"/>
      <c r="P169" s="288"/>
      <c r="Q169" s="288"/>
      <c r="R169" s="288"/>
      <c r="S169" s="311"/>
      <c r="T169" s="311"/>
      <c r="U169" s="288"/>
      <c r="V169" s="288"/>
      <c r="W169" s="288"/>
      <c r="X169" s="311"/>
      <c r="Y169" s="311"/>
      <c r="Z169" s="288"/>
      <c r="AA169" s="288"/>
      <c r="AB169" s="288"/>
      <c r="AC169" s="311"/>
      <c r="AD169" s="311"/>
      <c r="AE169" s="288"/>
      <c r="AF169" s="288"/>
      <c r="AG169" s="288"/>
      <c r="AH169" s="311"/>
      <c r="AI169" s="311"/>
      <c r="AJ169" s="288"/>
      <c r="AK169" s="288"/>
      <c r="AL169" s="288"/>
      <c r="AM169" s="311"/>
      <c r="AN169" s="311"/>
      <c r="AO169" s="288"/>
      <c r="AP169" s="288"/>
    </row>
    <row r="170" spans="1:42" x14ac:dyDescent="0.25">
      <c r="A170" s="4"/>
      <c r="B170" s="288" t="s">
        <v>329</v>
      </c>
      <c r="C170" s="288"/>
      <c r="D170" s="311"/>
      <c r="E170" s="311"/>
      <c r="F170" s="288"/>
      <c r="G170" s="289">
        <f>17234*G169</f>
        <v>3866916.6647999994</v>
      </c>
      <c r="H170" s="288"/>
      <c r="I170" s="311"/>
      <c r="J170" s="311"/>
      <c r="K170" s="288"/>
      <c r="L170" s="288">
        <f>L168*L169</f>
        <v>0</v>
      </c>
      <c r="M170" s="288"/>
      <c r="N170" s="311"/>
      <c r="O170" s="311"/>
      <c r="P170" s="288"/>
      <c r="Q170" s="288">
        <f>Q168*Q169</f>
        <v>0</v>
      </c>
      <c r="R170" s="288"/>
      <c r="S170" s="311"/>
      <c r="T170" s="311"/>
      <c r="U170" s="288"/>
      <c r="V170" s="288">
        <f>V168*V169</f>
        <v>0</v>
      </c>
      <c r="W170" s="288"/>
      <c r="X170" s="311"/>
      <c r="Y170" s="311"/>
      <c r="Z170" s="288"/>
      <c r="AA170" s="288">
        <f>AA168*AA169</f>
        <v>0</v>
      </c>
      <c r="AB170" s="288"/>
      <c r="AC170" s="311"/>
      <c r="AD170" s="311"/>
      <c r="AE170" s="288"/>
      <c r="AF170" s="288">
        <f>AF168*AF169</f>
        <v>0</v>
      </c>
      <c r="AG170" s="288"/>
      <c r="AH170" s="311"/>
      <c r="AI170" s="311"/>
      <c r="AJ170" s="288"/>
      <c r="AK170" s="288">
        <f>AK168*AK169</f>
        <v>0</v>
      </c>
      <c r="AL170" s="288"/>
      <c r="AM170" s="311"/>
      <c r="AN170" s="311"/>
      <c r="AO170" s="288"/>
      <c r="AP170" s="288">
        <f>AP168*AP169</f>
        <v>0</v>
      </c>
    </row>
    <row r="171" spans="1:42" ht="15.75" x14ac:dyDescent="0.25">
      <c r="B171" s="304" t="s">
        <v>614</v>
      </c>
      <c r="C171" s="132">
        <f>G170+L170+Q170+V170+AA170+AF170+AK170+AP170</f>
        <v>3866916.6647999994</v>
      </c>
    </row>
  </sheetData>
  <mergeCells count="8">
    <mergeCell ref="W4:AA4"/>
    <mergeCell ref="AB4:AF4"/>
    <mergeCell ref="AG4:AK4"/>
    <mergeCell ref="AL4:AP4"/>
    <mergeCell ref="C4:G4"/>
    <mergeCell ref="H4:L4"/>
    <mergeCell ref="M4:Q4"/>
    <mergeCell ref="R4:V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6"/>
  <sheetViews>
    <sheetView topLeftCell="A142" workbookViewId="0">
      <selection activeCell="M48" sqref="M48"/>
    </sheetView>
  </sheetViews>
  <sheetFormatPr defaultRowHeight="15" x14ac:dyDescent="0.25"/>
  <cols>
    <col min="2" max="2" width="29.28515625" customWidth="1"/>
    <col min="4" max="5" width="10.5703125" style="306" hidden="1" customWidth="1"/>
    <col min="8" max="8" width="10.5703125" hidden="1" customWidth="1"/>
    <col min="9" max="9" width="9.5703125" hidden="1" customWidth="1"/>
    <col min="10" max="11" width="0" hidden="1" customWidth="1"/>
    <col min="12" max="12" width="12.85546875" customWidth="1"/>
    <col min="13" max="13" width="9.28515625" customWidth="1"/>
    <col min="15" max="15" width="13.28515625" bestFit="1" customWidth="1"/>
    <col min="16" max="16" width="9.5703125" customWidth="1"/>
    <col min="17" max="17" width="9.28515625" customWidth="1"/>
    <col min="20" max="20" width="9.5703125" customWidth="1"/>
    <col min="21" max="21" width="9.28515625" customWidth="1"/>
    <col min="24" max="24" width="9.5703125" hidden="1" customWidth="1"/>
    <col min="25" max="25" width="9.28515625" hidden="1" customWidth="1"/>
    <col min="28" max="28" width="9.5703125" hidden="1" customWidth="1"/>
    <col min="29" max="29" width="9.28515625" hidden="1" customWidth="1"/>
    <col min="32" max="32" width="9.5703125" hidden="1" customWidth="1"/>
    <col min="33" max="33" width="9.28515625" hidden="1" customWidth="1"/>
  </cols>
  <sheetData>
    <row r="1" spans="1:35" ht="41.25" customHeight="1" x14ac:dyDescent="0.25"/>
    <row r="2" spans="1:35" x14ac:dyDescent="0.25">
      <c r="A2" s="4" t="s">
        <v>264</v>
      </c>
      <c r="B2" s="391" t="s">
        <v>265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  <c r="AC2" s="392"/>
      <c r="AD2" s="392"/>
      <c r="AE2" s="392"/>
      <c r="AF2" s="392"/>
      <c r="AG2" s="392"/>
      <c r="AH2" s="392"/>
      <c r="AI2" s="392"/>
    </row>
    <row r="3" spans="1:35" x14ac:dyDescent="0.25">
      <c r="A3" s="4"/>
      <c r="B3" s="283"/>
      <c r="C3" s="284" t="s">
        <v>612</v>
      </c>
      <c r="D3" s="308"/>
      <c r="E3" s="308"/>
      <c r="F3" s="284" t="s">
        <v>613</v>
      </c>
      <c r="G3" s="285">
        <v>4</v>
      </c>
      <c r="H3" s="283" t="s">
        <v>33</v>
      </c>
      <c r="I3" s="291"/>
      <c r="J3" s="291"/>
      <c r="K3" s="285">
        <v>4.5</v>
      </c>
      <c r="L3" s="284" t="s">
        <v>33</v>
      </c>
      <c r="M3" s="291"/>
      <c r="N3" s="291"/>
      <c r="O3" s="285">
        <v>5.5</v>
      </c>
      <c r="P3" s="284" t="s">
        <v>33</v>
      </c>
      <c r="Q3" s="291"/>
      <c r="R3" s="291"/>
      <c r="S3" s="285">
        <v>6.5</v>
      </c>
      <c r="T3" s="291"/>
      <c r="U3" s="291"/>
      <c r="V3" s="284" t="s">
        <v>33</v>
      </c>
      <c r="W3" s="285">
        <v>7.5</v>
      </c>
      <c r="X3" s="291"/>
      <c r="Y3" s="291"/>
      <c r="Z3" s="284" t="s">
        <v>33</v>
      </c>
      <c r="AA3" s="285">
        <v>8.5</v>
      </c>
      <c r="AB3" s="291"/>
      <c r="AC3" s="291"/>
      <c r="AD3" s="284" t="s">
        <v>33</v>
      </c>
      <c r="AE3" s="285">
        <v>10.5</v>
      </c>
      <c r="AF3" s="291"/>
      <c r="AG3" s="291"/>
      <c r="AH3" s="284" t="s">
        <v>33</v>
      </c>
      <c r="AI3" s="285">
        <v>11.5</v>
      </c>
    </row>
    <row r="4" spans="1:35" ht="15.75" x14ac:dyDescent="0.25">
      <c r="A4" s="4">
        <v>1</v>
      </c>
      <c r="B4" s="276" t="s">
        <v>267</v>
      </c>
      <c r="C4" s="4" t="s">
        <v>266</v>
      </c>
      <c r="D4" s="311" t="s">
        <v>615</v>
      </c>
      <c r="E4" s="311" t="s">
        <v>616</v>
      </c>
      <c r="F4" s="4"/>
      <c r="G4" s="4"/>
      <c r="H4" s="311" t="s">
        <v>615</v>
      </c>
      <c r="I4" s="311" t="s">
        <v>616</v>
      </c>
      <c r="J4" s="318"/>
      <c r="K4" s="301"/>
      <c r="L4" s="311" t="s">
        <v>615</v>
      </c>
      <c r="M4" s="311" t="s">
        <v>616</v>
      </c>
      <c r="O4" s="303"/>
      <c r="P4" s="311" t="s">
        <v>615</v>
      </c>
      <c r="Q4" s="311" t="s">
        <v>616</v>
      </c>
      <c r="S4" s="303"/>
      <c r="T4" s="311" t="s">
        <v>615</v>
      </c>
      <c r="U4" s="311" t="s">
        <v>616</v>
      </c>
      <c r="W4" s="303"/>
      <c r="X4" s="311" t="s">
        <v>615</v>
      </c>
      <c r="Y4" s="311" t="s">
        <v>616</v>
      </c>
      <c r="AA4" s="303"/>
      <c r="AB4" s="311" t="s">
        <v>615</v>
      </c>
      <c r="AC4" s="311" t="s">
        <v>616</v>
      </c>
      <c r="AE4" s="303"/>
      <c r="AF4" s="311" t="s">
        <v>615</v>
      </c>
      <c r="AG4" s="311" t="s">
        <v>616</v>
      </c>
      <c r="AI4" s="303"/>
    </row>
    <row r="5" spans="1:35" ht="32.25" customHeight="1" x14ac:dyDescent="0.25">
      <c r="A5" s="277"/>
      <c r="B5" s="278" t="s">
        <v>564</v>
      </c>
      <c r="C5" s="278">
        <v>0.22</v>
      </c>
      <c r="D5" s="309">
        <f>MAX(C5:C16)</f>
        <v>4.2</v>
      </c>
      <c r="E5" s="310">
        <f>MIN(C5:C16)</f>
        <v>0.22</v>
      </c>
      <c r="F5" s="4"/>
      <c r="G5" s="4">
        <f>$C5*F5/100</f>
        <v>0</v>
      </c>
      <c r="H5" s="309">
        <f>MAX(C5:C16)</f>
        <v>4.2</v>
      </c>
      <c r="I5" s="310">
        <f>MIN(C5:C16)</f>
        <v>0.22</v>
      </c>
      <c r="J5" s="300"/>
      <c r="K5" s="4">
        <f>$C5*H5/100</f>
        <v>9.2399999999999999E-3</v>
      </c>
      <c r="L5" s="309">
        <v>4.2</v>
      </c>
      <c r="M5" s="310">
        <v>0.22</v>
      </c>
      <c r="O5" s="4">
        <f>$C5*N5/100</f>
        <v>0</v>
      </c>
      <c r="P5" s="309">
        <v>4.2</v>
      </c>
      <c r="Q5" s="310">
        <v>0.22</v>
      </c>
      <c r="S5" s="4">
        <f>$C5*P5/100</f>
        <v>9.2399999999999999E-3</v>
      </c>
      <c r="T5" s="309">
        <v>4.2</v>
      </c>
      <c r="U5" s="310">
        <v>0.22</v>
      </c>
      <c r="W5" s="4">
        <f>$C5*V5/100</f>
        <v>0</v>
      </c>
      <c r="X5" s="309">
        <v>4.2</v>
      </c>
      <c r="Y5" s="310">
        <v>0.22</v>
      </c>
      <c r="AA5" s="4">
        <f>$C5*Z5/100</f>
        <v>0</v>
      </c>
      <c r="AB5" s="309">
        <v>4.2</v>
      </c>
      <c r="AC5" s="310">
        <v>0.22</v>
      </c>
      <c r="AE5" s="4">
        <f>$C5*AD5/100</f>
        <v>0</v>
      </c>
      <c r="AF5" s="309">
        <f>MAX(C5:C16)</f>
        <v>4.2</v>
      </c>
      <c r="AG5" s="310">
        <f>MIN(C5:C16)</f>
        <v>0.22</v>
      </c>
      <c r="AI5" s="4">
        <f>$C5*AH5/100</f>
        <v>0</v>
      </c>
    </row>
    <row r="6" spans="1:35" ht="32.25" customHeight="1" x14ac:dyDescent="0.25">
      <c r="A6" s="277"/>
      <c r="B6" s="278" t="s">
        <v>565</v>
      </c>
      <c r="C6" s="393">
        <v>0.69</v>
      </c>
      <c r="D6" s="313"/>
      <c r="E6" s="313"/>
      <c r="F6" s="386"/>
      <c r="G6" s="386">
        <f>$C6*F6/100</f>
        <v>0</v>
      </c>
      <c r="H6" s="313"/>
      <c r="I6" s="313"/>
      <c r="J6" s="300"/>
      <c r="K6" s="386">
        <f>$C6*H6/100</f>
        <v>0</v>
      </c>
      <c r="L6" s="313"/>
      <c r="M6" s="313"/>
      <c r="N6" s="385"/>
      <c r="O6" s="386">
        <f>$C6*N6/100</f>
        <v>0</v>
      </c>
      <c r="P6" s="313"/>
      <c r="Q6" s="313"/>
      <c r="S6" s="386">
        <f>$C6*P6/100</f>
        <v>0</v>
      </c>
      <c r="T6" s="313"/>
      <c r="U6" s="313"/>
      <c r="W6" s="386">
        <f>$C6*V6/100</f>
        <v>0</v>
      </c>
      <c r="X6" s="313"/>
      <c r="Y6" s="313"/>
      <c r="AA6" s="386">
        <f>$C6*Z6/100</f>
        <v>0</v>
      </c>
      <c r="AB6" s="313"/>
      <c r="AC6" s="313"/>
      <c r="AE6" s="386">
        <f>$C6*AD6/100</f>
        <v>0</v>
      </c>
      <c r="AF6" s="313"/>
      <c r="AG6" s="313"/>
      <c r="AI6" s="386">
        <f>$C6*AH6/100</f>
        <v>0</v>
      </c>
    </row>
    <row r="7" spans="1:35" ht="32.25" customHeight="1" x14ac:dyDescent="0.25">
      <c r="A7" s="277"/>
      <c r="B7" s="278" t="s">
        <v>566</v>
      </c>
      <c r="C7" s="394"/>
      <c r="D7" s="314"/>
      <c r="E7" s="314"/>
      <c r="F7" s="387"/>
      <c r="G7" s="387"/>
      <c r="H7" s="314"/>
      <c r="I7" s="314"/>
      <c r="J7" s="300"/>
      <c r="K7" s="387"/>
      <c r="L7" s="314"/>
      <c r="M7" s="314"/>
      <c r="N7" s="385"/>
      <c r="O7" s="387"/>
      <c r="P7" s="314"/>
      <c r="Q7" s="314"/>
      <c r="S7" s="387"/>
      <c r="T7" s="314"/>
      <c r="U7" s="314"/>
      <c r="W7" s="387"/>
      <c r="X7" s="314"/>
      <c r="Y7" s="314"/>
      <c r="AA7" s="387"/>
      <c r="AB7" s="314"/>
      <c r="AC7" s="314"/>
      <c r="AE7" s="387"/>
      <c r="AF7" s="314"/>
      <c r="AG7" s="314"/>
      <c r="AI7" s="387"/>
    </row>
    <row r="8" spans="1:35" ht="32.25" customHeight="1" x14ac:dyDescent="0.25">
      <c r="A8" s="277"/>
      <c r="B8" s="278" t="s">
        <v>567</v>
      </c>
      <c r="C8" s="388">
        <v>2</v>
      </c>
      <c r="D8" s="315"/>
      <c r="E8" s="315"/>
      <c r="F8" s="386"/>
      <c r="G8" s="386">
        <f t="shared" ref="G8:G148" si="0">$C8*F8/100</f>
        <v>0</v>
      </c>
      <c r="H8" s="315"/>
      <c r="I8" s="315"/>
      <c r="J8" s="300"/>
      <c r="K8" s="386">
        <f>$C8*H8/100</f>
        <v>0</v>
      </c>
      <c r="L8" s="315"/>
      <c r="M8" s="315"/>
      <c r="N8" s="385"/>
      <c r="O8" s="386">
        <f>$C8*N8/100</f>
        <v>0</v>
      </c>
      <c r="P8" s="315"/>
      <c r="Q8" s="315"/>
      <c r="S8" s="386">
        <f>$C8*P8/100</f>
        <v>0</v>
      </c>
      <c r="T8" s="315"/>
      <c r="U8" s="315"/>
      <c r="W8" s="386">
        <f t="shared" ref="W8:W148" si="1">$C8*V8/100</f>
        <v>0</v>
      </c>
      <c r="X8" s="315"/>
      <c r="Y8" s="315"/>
      <c r="AA8" s="386">
        <f t="shared" ref="AA8:AA148" si="2">$C8*Z8/100</f>
        <v>0</v>
      </c>
      <c r="AB8" s="315"/>
      <c r="AC8" s="315"/>
      <c r="AE8" s="386">
        <f t="shared" ref="AE8:AE148" si="3">$C8*AD8/100</f>
        <v>0</v>
      </c>
      <c r="AF8" s="315"/>
      <c r="AG8" s="315"/>
      <c r="AI8" s="386">
        <f t="shared" ref="AI8:AI148" si="4">$C8*AH8/100</f>
        <v>0</v>
      </c>
    </row>
    <row r="9" spans="1:35" ht="32.25" customHeight="1" x14ac:dyDescent="0.25">
      <c r="A9" s="277"/>
      <c r="B9" s="278" t="s">
        <v>568</v>
      </c>
      <c r="C9" s="389"/>
      <c r="D9" s="316"/>
      <c r="E9" s="316"/>
      <c r="F9" s="385"/>
      <c r="G9" s="385"/>
      <c r="H9" s="316"/>
      <c r="I9" s="316"/>
      <c r="J9" s="300"/>
      <c r="K9" s="385"/>
      <c r="L9" s="316"/>
      <c r="M9" s="316"/>
      <c r="N9" s="385"/>
      <c r="O9" s="385"/>
      <c r="P9" s="316"/>
      <c r="Q9" s="316"/>
      <c r="S9" s="385"/>
      <c r="T9" s="316"/>
      <c r="U9" s="316"/>
      <c r="W9" s="385"/>
      <c r="X9" s="316"/>
      <c r="Y9" s="316"/>
      <c r="AA9" s="385"/>
      <c r="AB9" s="316"/>
      <c r="AC9" s="316"/>
      <c r="AE9" s="385"/>
      <c r="AF9" s="316"/>
      <c r="AG9" s="316"/>
      <c r="AI9" s="385"/>
    </row>
    <row r="10" spans="1:35" ht="32.25" customHeight="1" x14ac:dyDescent="0.25">
      <c r="A10" s="277"/>
      <c r="B10" s="278" t="s">
        <v>569</v>
      </c>
      <c r="C10" s="389"/>
      <c r="D10" s="316"/>
      <c r="E10" s="316"/>
      <c r="F10" s="385"/>
      <c r="G10" s="385"/>
      <c r="H10" s="316"/>
      <c r="I10" s="316"/>
      <c r="J10" s="300"/>
      <c r="K10" s="385"/>
      <c r="L10" s="316"/>
      <c r="M10" s="316"/>
      <c r="N10" s="385"/>
      <c r="O10" s="385"/>
      <c r="P10" s="316"/>
      <c r="Q10" s="316"/>
      <c r="S10" s="385"/>
      <c r="T10" s="316"/>
      <c r="U10" s="316"/>
      <c r="W10" s="385"/>
      <c r="X10" s="316"/>
      <c r="Y10" s="316"/>
      <c r="AA10" s="385"/>
      <c r="AB10" s="316"/>
      <c r="AC10" s="316"/>
      <c r="AE10" s="385"/>
      <c r="AF10" s="316"/>
      <c r="AG10" s="316"/>
      <c r="AI10" s="385"/>
    </row>
    <row r="11" spans="1:35" ht="32.25" customHeight="1" x14ac:dyDescent="0.25">
      <c r="A11" s="277"/>
      <c r="B11" s="278" t="s">
        <v>570</v>
      </c>
      <c r="C11" s="389"/>
      <c r="D11" s="316"/>
      <c r="E11" s="316"/>
      <c r="F11" s="385"/>
      <c r="G11" s="385"/>
      <c r="H11" s="316"/>
      <c r="I11" s="316"/>
      <c r="J11" s="300"/>
      <c r="K11" s="385"/>
      <c r="L11" s="316"/>
      <c r="M11" s="316"/>
      <c r="N11" s="385"/>
      <c r="O11" s="385"/>
      <c r="P11" s="316"/>
      <c r="Q11" s="316"/>
      <c r="S11" s="385"/>
      <c r="T11" s="316"/>
      <c r="U11" s="316"/>
      <c r="W11" s="385"/>
      <c r="X11" s="316"/>
      <c r="Y11" s="316"/>
      <c r="AA11" s="385"/>
      <c r="AB11" s="316"/>
      <c r="AC11" s="316"/>
      <c r="AE11" s="385"/>
      <c r="AF11" s="316"/>
      <c r="AG11" s="316"/>
      <c r="AI11" s="385"/>
    </row>
    <row r="12" spans="1:35" ht="32.25" customHeight="1" x14ac:dyDescent="0.25">
      <c r="A12" s="277"/>
      <c r="B12" s="278" t="s">
        <v>571</v>
      </c>
      <c r="C12" s="389"/>
      <c r="D12" s="316"/>
      <c r="E12" s="316"/>
      <c r="F12" s="385"/>
      <c r="G12" s="385"/>
      <c r="H12" s="316"/>
      <c r="I12" s="316"/>
      <c r="J12" s="300"/>
      <c r="K12" s="385"/>
      <c r="L12" s="316"/>
      <c r="M12" s="316"/>
      <c r="N12" s="385"/>
      <c r="O12" s="385"/>
      <c r="P12" s="316"/>
      <c r="Q12" s="316"/>
      <c r="S12" s="385"/>
      <c r="T12" s="316"/>
      <c r="U12" s="316"/>
      <c r="W12" s="385"/>
      <c r="X12" s="316"/>
      <c r="Y12" s="316"/>
      <c r="AA12" s="385"/>
      <c r="AB12" s="316"/>
      <c r="AC12" s="316"/>
      <c r="AE12" s="385"/>
      <c r="AF12" s="316"/>
      <c r="AG12" s="316"/>
      <c r="AI12" s="385"/>
    </row>
    <row r="13" spans="1:35" ht="32.25" customHeight="1" x14ac:dyDescent="0.25">
      <c r="A13" s="277"/>
      <c r="B13" s="278" t="s">
        <v>572</v>
      </c>
      <c r="C13" s="390"/>
      <c r="D13" s="317"/>
      <c r="E13" s="317"/>
      <c r="F13" s="387"/>
      <c r="G13" s="387"/>
      <c r="H13" s="317"/>
      <c r="I13" s="317"/>
      <c r="J13" s="300"/>
      <c r="K13" s="387"/>
      <c r="L13" s="317"/>
      <c r="M13" s="317"/>
      <c r="N13" s="385"/>
      <c r="O13" s="387"/>
      <c r="P13" s="317"/>
      <c r="Q13" s="317"/>
      <c r="S13" s="387"/>
      <c r="T13" s="317"/>
      <c r="U13" s="317"/>
      <c r="W13" s="387"/>
      <c r="X13" s="317"/>
      <c r="Y13" s="317"/>
      <c r="AA13" s="387"/>
      <c r="AB13" s="317"/>
      <c r="AC13" s="317"/>
      <c r="AE13" s="387"/>
      <c r="AF13" s="317"/>
      <c r="AG13" s="317"/>
      <c r="AI13" s="387"/>
    </row>
    <row r="14" spans="1:35" ht="46.5" customHeight="1" x14ac:dyDescent="0.25">
      <c r="A14" s="277"/>
      <c r="B14" s="278" t="s">
        <v>573</v>
      </c>
      <c r="C14" s="279">
        <v>2.87</v>
      </c>
      <c r="D14" s="310"/>
      <c r="E14" s="310"/>
      <c r="F14" s="4"/>
      <c r="G14" s="4">
        <f t="shared" si="0"/>
        <v>0</v>
      </c>
      <c r="H14" s="310"/>
      <c r="I14" s="310"/>
      <c r="J14" s="300"/>
      <c r="K14" s="4">
        <f>$C14*H14/100</f>
        <v>0</v>
      </c>
      <c r="L14" s="310"/>
      <c r="M14" s="310"/>
      <c r="O14" s="4">
        <f>$C14*N14/100</f>
        <v>0</v>
      </c>
      <c r="P14" s="310"/>
      <c r="Q14" s="310"/>
      <c r="S14" s="4">
        <f t="shared" ref="S14:S148" si="5">$C14*P14/100</f>
        <v>0</v>
      </c>
      <c r="T14" s="310"/>
      <c r="U14" s="310"/>
      <c r="W14" s="4">
        <f t="shared" si="1"/>
        <v>0</v>
      </c>
      <c r="X14" s="310"/>
      <c r="Y14" s="310"/>
      <c r="AA14" s="4">
        <f t="shared" si="2"/>
        <v>0</v>
      </c>
      <c r="AB14" s="310"/>
      <c r="AC14" s="310"/>
      <c r="AE14" s="4">
        <f t="shared" si="3"/>
        <v>0</v>
      </c>
      <c r="AF14" s="310"/>
      <c r="AG14" s="310"/>
      <c r="AI14" s="4">
        <f t="shared" si="4"/>
        <v>0</v>
      </c>
    </row>
    <row r="15" spans="1:35" ht="46.5" customHeight="1" x14ac:dyDescent="0.25">
      <c r="A15" s="277"/>
      <c r="B15" s="278" t="s">
        <v>574</v>
      </c>
      <c r="C15" s="279">
        <v>3.43</v>
      </c>
      <c r="D15" s="310"/>
      <c r="E15" s="310"/>
      <c r="F15" s="4"/>
      <c r="G15" s="4">
        <f t="shared" si="0"/>
        <v>0</v>
      </c>
      <c r="H15" s="310"/>
      <c r="I15" s="310"/>
      <c r="J15" s="300"/>
      <c r="K15" s="4">
        <f>$C15*H15/100</f>
        <v>0</v>
      </c>
      <c r="L15" s="310"/>
      <c r="M15" s="310"/>
      <c r="O15" s="4">
        <f t="shared" ref="O15:O78" si="6">$C15*N15/100</f>
        <v>0</v>
      </c>
      <c r="P15" s="310"/>
      <c r="Q15" s="310"/>
      <c r="S15" s="4">
        <f t="shared" si="5"/>
        <v>0</v>
      </c>
      <c r="T15" s="310"/>
      <c r="U15" s="310"/>
      <c r="W15" s="4">
        <f t="shared" si="1"/>
        <v>0</v>
      </c>
      <c r="X15" s="310"/>
      <c r="Y15" s="310"/>
      <c r="AA15" s="4">
        <f t="shared" si="2"/>
        <v>0</v>
      </c>
      <c r="AB15" s="310"/>
      <c r="AC15" s="310"/>
      <c r="AE15" s="4">
        <f t="shared" si="3"/>
        <v>0</v>
      </c>
      <c r="AF15" s="310"/>
      <c r="AG15" s="310"/>
      <c r="AI15" s="4">
        <f t="shared" si="4"/>
        <v>0</v>
      </c>
    </row>
    <row r="16" spans="1:35" ht="46.5" customHeight="1" x14ac:dyDescent="0.25">
      <c r="A16" s="277"/>
      <c r="B16" s="278" t="s">
        <v>575</v>
      </c>
      <c r="C16" s="279">
        <v>4.2</v>
      </c>
      <c r="D16" s="310"/>
      <c r="E16" s="310"/>
      <c r="F16" s="4"/>
      <c r="G16" s="4"/>
      <c r="H16" s="310"/>
      <c r="I16" s="310"/>
      <c r="J16" s="300"/>
      <c r="K16" s="4"/>
      <c r="L16" s="310"/>
      <c r="M16" s="310"/>
      <c r="O16" s="4">
        <f t="shared" si="6"/>
        <v>0</v>
      </c>
      <c r="P16" s="310"/>
      <c r="Q16" s="310"/>
      <c r="S16" s="4"/>
      <c r="T16" s="310"/>
      <c r="U16" s="310"/>
      <c r="W16" s="4"/>
      <c r="X16" s="310"/>
      <c r="Y16" s="310"/>
      <c r="AA16" s="4"/>
      <c r="AB16" s="310"/>
      <c r="AC16" s="310"/>
      <c r="AE16" s="4"/>
      <c r="AF16" s="310"/>
      <c r="AG16" s="310"/>
      <c r="AI16" s="4"/>
    </row>
    <row r="17" spans="1:35" ht="15.75" x14ac:dyDescent="0.25">
      <c r="A17" s="4">
        <v>2</v>
      </c>
      <c r="B17" s="280" t="s">
        <v>272</v>
      </c>
      <c r="C17" s="279"/>
      <c r="D17" s="310"/>
      <c r="E17" s="310"/>
      <c r="F17" s="4"/>
      <c r="G17" s="4">
        <f t="shared" si="0"/>
        <v>0</v>
      </c>
      <c r="H17" s="310"/>
      <c r="I17" s="310"/>
      <c r="J17" s="300"/>
      <c r="K17" s="4">
        <f t="shared" ref="K17:K54" si="7">$C17*H17/100</f>
        <v>0</v>
      </c>
      <c r="L17" s="310"/>
      <c r="M17" s="310"/>
      <c r="O17" s="4">
        <f t="shared" si="6"/>
        <v>0</v>
      </c>
      <c r="P17" s="310"/>
      <c r="Q17" s="310"/>
      <c r="S17" s="4">
        <f t="shared" si="5"/>
        <v>0</v>
      </c>
      <c r="T17" s="310"/>
      <c r="U17" s="310"/>
      <c r="W17" s="4">
        <f t="shared" si="1"/>
        <v>0</v>
      </c>
      <c r="X17" s="310"/>
      <c r="Y17" s="310"/>
      <c r="AA17" s="4">
        <f t="shared" si="2"/>
        <v>0</v>
      </c>
      <c r="AB17" s="310"/>
      <c r="AC17" s="310"/>
      <c r="AE17" s="4">
        <f t="shared" si="3"/>
        <v>0</v>
      </c>
      <c r="AF17" s="310"/>
      <c r="AG17" s="310"/>
      <c r="AI17" s="4">
        <f t="shared" si="4"/>
        <v>0</v>
      </c>
    </row>
    <row r="18" spans="1:35" ht="46.5" customHeight="1" x14ac:dyDescent="0.25">
      <c r="A18" s="277"/>
      <c r="B18" s="278" t="s">
        <v>504</v>
      </c>
      <c r="C18" s="279">
        <v>1.38</v>
      </c>
      <c r="D18" s="309">
        <f>MAX(C18:C20)</f>
        <v>10.76</v>
      </c>
      <c r="E18" s="310">
        <f>MIN(C18:C20)</f>
        <v>1.38</v>
      </c>
      <c r="F18" s="4"/>
      <c r="G18" s="4">
        <f t="shared" si="0"/>
        <v>0</v>
      </c>
      <c r="H18" s="309">
        <f>MAX(C18:C20)</f>
        <v>10.76</v>
      </c>
      <c r="I18" s="310">
        <f>MIN(C18:C20)</f>
        <v>1.38</v>
      </c>
      <c r="J18" s="300"/>
      <c r="K18" s="4">
        <f t="shared" si="7"/>
        <v>0.14848799999999998</v>
      </c>
      <c r="L18" s="309">
        <v>10.76</v>
      </c>
      <c r="M18" s="310">
        <v>1.38</v>
      </c>
      <c r="O18" s="4">
        <f t="shared" si="6"/>
        <v>0</v>
      </c>
      <c r="P18" s="309">
        <v>10.76</v>
      </c>
      <c r="Q18" s="310">
        <v>1.38</v>
      </c>
      <c r="S18" s="4">
        <f t="shared" si="5"/>
        <v>0.14848799999999998</v>
      </c>
      <c r="T18" s="309">
        <v>10.76</v>
      </c>
      <c r="U18" s="310">
        <v>1.38</v>
      </c>
      <c r="W18" s="4">
        <f t="shared" si="1"/>
        <v>0</v>
      </c>
      <c r="X18" s="309">
        <v>10.76</v>
      </c>
      <c r="Y18" s="310">
        <v>1.38</v>
      </c>
      <c r="AA18" s="4">
        <f t="shared" si="2"/>
        <v>0</v>
      </c>
      <c r="AB18" s="309">
        <v>10.76</v>
      </c>
      <c r="AC18" s="310">
        <v>1.38</v>
      </c>
      <c r="AE18" s="4">
        <f t="shared" si="3"/>
        <v>0</v>
      </c>
      <c r="AF18" s="309">
        <f>MAX(C18:C20)</f>
        <v>10.76</v>
      </c>
      <c r="AG18" s="310">
        <f>MIN(C18:C20)</f>
        <v>1.38</v>
      </c>
      <c r="AI18" s="4">
        <f t="shared" si="4"/>
        <v>0</v>
      </c>
    </row>
    <row r="19" spans="1:35" ht="46.5" customHeight="1" x14ac:dyDescent="0.25">
      <c r="A19" s="277"/>
      <c r="B19" s="278" t="s">
        <v>577</v>
      </c>
      <c r="C19" s="279">
        <v>2.37</v>
      </c>
      <c r="D19" s="310"/>
      <c r="E19" s="310"/>
      <c r="F19" s="4"/>
      <c r="G19" s="4">
        <f t="shared" si="0"/>
        <v>0</v>
      </c>
      <c r="H19" s="310"/>
      <c r="I19" s="310"/>
      <c r="J19" s="300"/>
      <c r="K19" s="4">
        <f t="shared" si="7"/>
        <v>0</v>
      </c>
      <c r="L19" s="310"/>
      <c r="M19" s="310"/>
      <c r="O19" s="4">
        <f t="shared" si="6"/>
        <v>0</v>
      </c>
      <c r="P19" s="310"/>
      <c r="Q19" s="310"/>
      <c r="S19" s="4">
        <f t="shared" si="5"/>
        <v>0</v>
      </c>
      <c r="T19" s="310"/>
      <c r="U19" s="310"/>
      <c r="W19" s="4">
        <f t="shared" si="1"/>
        <v>0</v>
      </c>
      <c r="X19" s="310"/>
      <c r="Y19" s="310"/>
      <c r="AA19" s="4">
        <f t="shared" si="2"/>
        <v>0</v>
      </c>
      <c r="AB19" s="310"/>
      <c r="AC19" s="310"/>
      <c r="AE19" s="4">
        <f t="shared" si="3"/>
        <v>0</v>
      </c>
      <c r="AF19" s="310"/>
      <c r="AG19" s="310"/>
      <c r="AI19" s="4">
        <f t="shared" si="4"/>
        <v>0</v>
      </c>
    </row>
    <row r="20" spans="1:35" ht="46.5" customHeight="1" x14ac:dyDescent="0.25">
      <c r="A20" s="277"/>
      <c r="B20" s="278" t="s">
        <v>576</v>
      </c>
      <c r="C20" s="279">
        <v>10.76</v>
      </c>
      <c r="D20" s="310"/>
      <c r="E20" s="310"/>
      <c r="F20" s="4"/>
      <c r="G20" s="4">
        <f t="shared" si="0"/>
        <v>0</v>
      </c>
      <c r="H20" s="310"/>
      <c r="I20" s="310"/>
      <c r="J20" s="300"/>
      <c r="K20" s="4">
        <f t="shared" si="7"/>
        <v>0</v>
      </c>
      <c r="L20" s="310"/>
      <c r="M20" s="310"/>
      <c r="O20" s="4">
        <f t="shared" si="6"/>
        <v>0</v>
      </c>
      <c r="P20" s="310"/>
      <c r="Q20" s="310"/>
      <c r="S20" s="4">
        <f t="shared" si="5"/>
        <v>0</v>
      </c>
      <c r="T20" s="310"/>
      <c r="U20" s="310"/>
      <c r="W20" s="4">
        <f t="shared" si="1"/>
        <v>0</v>
      </c>
      <c r="X20" s="310"/>
      <c r="Y20" s="310"/>
      <c r="AA20" s="4">
        <f t="shared" si="2"/>
        <v>0</v>
      </c>
      <c r="AB20" s="310"/>
      <c r="AC20" s="310"/>
      <c r="AE20" s="4">
        <f t="shared" si="3"/>
        <v>0</v>
      </c>
      <c r="AF20" s="310"/>
      <c r="AG20" s="310"/>
      <c r="AI20" s="4">
        <f t="shared" si="4"/>
        <v>0</v>
      </c>
    </row>
    <row r="21" spans="1:35" ht="15.75" x14ac:dyDescent="0.25">
      <c r="A21" s="4">
        <v>3</v>
      </c>
      <c r="B21" s="280" t="s">
        <v>338</v>
      </c>
      <c r="C21" s="279"/>
      <c r="D21" s="310"/>
      <c r="E21" s="310"/>
      <c r="F21" s="4"/>
      <c r="G21" s="4">
        <f t="shared" si="0"/>
        <v>0</v>
      </c>
      <c r="H21" s="310"/>
      <c r="I21" s="310"/>
      <c r="J21" s="300"/>
      <c r="K21" s="4">
        <f t="shared" si="7"/>
        <v>0</v>
      </c>
      <c r="L21" s="310"/>
      <c r="M21" s="310"/>
      <c r="O21" s="4">
        <f t="shared" si="6"/>
        <v>0</v>
      </c>
      <c r="P21" s="310"/>
      <c r="Q21" s="310"/>
      <c r="S21" s="4">
        <f t="shared" si="5"/>
        <v>0</v>
      </c>
      <c r="T21" s="310"/>
      <c r="U21" s="310"/>
      <c r="W21" s="4">
        <f t="shared" si="1"/>
        <v>0</v>
      </c>
      <c r="X21" s="310"/>
      <c r="Y21" s="310"/>
      <c r="AA21" s="4">
        <f t="shared" si="2"/>
        <v>0</v>
      </c>
      <c r="AB21" s="310"/>
      <c r="AC21" s="310"/>
      <c r="AE21" s="4">
        <f t="shared" si="3"/>
        <v>0</v>
      </c>
      <c r="AF21" s="310"/>
      <c r="AG21" s="310"/>
      <c r="AI21" s="4">
        <f t="shared" si="4"/>
        <v>0</v>
      </c>
    </row>
    <row r="22" spans="1:35" ht="15.75" x14ac:dyDescent="0.25">
      <c r="A22" s="4"/>
      <c r="B22" s="280" t="s">
        <v>339</v>
      </c>
      <c r="C22" s="279"/>
      <c r="D22" s="310"/>
      <c r="E22" s="310"/>
      <c r="F22" s="4"/>
      <c r="G22" s="4">
        <f t="shared" si="0"/>
        <v>0</v>
      </c>
      <c r="H22" s="310"/>
      <c r="I22" s="310"/>
      <c r="J22" s="300"/>
      <c r="K22" s="4">
        <f t="shared" si="7"/>
        <v>0</v>
      </c>
      <c r="L22" s="310"/>
      <c r="M22" s="310"/>
      <c r="O22" s="4">
        <f t="shared" si="6"/>
        <v>0</v>
      </c>
      <c r="P22" s="310"/>
      <c r="Q22" s="310"/>
      <c r="S22" s="4">
        <f t="shared" si="5"/>
        <v>0</v>
      </c>
      <c r="T22" s="310"/>
      <c r="U22" s="310"/>
      <c r="W22" s="4">
        <f t="shared" si="1"/>
        <v>0</v>
      </c>
      <c r="X22" s="310"/>
      <c r="Y22" s="310"/>
      <c r="AA22" s="4">
        <f t="shared" si="2"/>
        <v>0</v>
      </c>
      <c r="AB22" s="310"/>
      <c r="AC22" s="310"/>
      <c r="AE22" s="4">
        <f t="shared" si="3"/>
        <v>0</v>
      </c>
      <c r="AF22" s="310"/>
      <c r="AG22" s="310"/>
      <c r="AI22" s="4">
        <f t="shared" si="4"/>
        <v>0</v>
      </c>
    </row>
    <row r="23" spans="1:35" ht="31.5" x14ac:dyDescent="0.25">
      <c r="A23" s="277"/>
      <c r="B23" s="278" t="s">
        <v>578</v>
      </c>
      <c r="C23" s="279"/>
      <c r="D23" s="310"/>
      <c r="E23" s="310"/>
      <c r="F23" s="4"/>
      <c r="G23" s="4">
        <f t="shared" si="0"/>
        <v>0</v>
      </c>
      <c r="H23" s="310"/>
      <c r="I23" s="310"/>
      <c r="J23" s="300"/>
      <c r="K23" s="4">
        <f t="shared" si="7"/>
        <v>0</v>
      </c>
      <c r="L23" s="310"/>
      <c r="M23" s="310"/>
      <c r="O23" s="4">
        <f t="shared" si="6"/>
        <v>0</v>
      </c>
      <c r="P23" s="310"/>
      <c r="Q23" s="310"/>
      <c r="S23" s="4">
        <f t="shared" si="5"/>
        <v>0</v>
      </c>
      <c r="T23" s="310"/>
      <c r="U23" s="310"/>
      <c r="W23" s="4">
        <f t="shared" si="1"/>
        <v>0</v>
      </c>
      <c r="X23" s="310"/>
      <c r="Y23" s="310"/>
      <c r="AA23" s="4">
        <f t="shared" si="2"/>
        <v>0</v>
      </c>
      <c r="AB23" s="310"/>
      <c r="AC23" s="310"/>
      <c r="AE23" s="4">
        <f t="shared" si="3"/>
        <v>0</v>
      </c>
      <c r="AF23" s="310"/>
      <c r="AG23" s="310"/>
      <c r="AI23" s="4">
        <f t="shared" si="4"/>
        <v>0</v>
      </c>
    </row>
    <row r="24" spans="1:35" ht="15.75" x14ac:dyDescent="0.25">
      <c r="A24" s="4"/>
      <c r="B24" s="280" t="s">
        <v>352</v>
      </c>
      <c r="C24" s="279"/>
      <c r="D24" s="310"/>
      <c r="E24" s="310"/>
      <c r="F24" s="4"/>
      <c r="G24" s="4">
        <f t="shared" si="0"/>
        <v>0</v>
      </c>
      <c r="H24" s="310"/>
      <c r="I24" s="310"/>
      <c r="J24" s="300"/>
      <c r="K24" s="4">
        <f t="shared" si="7"/>
        <v>0</v>
      </c>
      <c r="L24" s="310"/>
      <c r="M24" s="310"/>
      <c r="O24" s="4">
        <f t="shared" si="6"/>
        <v>0</v>
      </c>
      <c r="P24" s="310"/>
      <c r="Q24" s="310"/>
      <c r="S24" s="4">
        <f t="shared" si="5"/>
        <v>0</v>
      </c>
      <c r="T24" s="310"/>
      <c r="U24" s="310"/>
      <c r="W24" s="4">
        <f t="shared" si="1"/>
        <v>0</v>
      </c>
      <c r="X24" s="310"/>
      <c r="Y24" s="310"/>
      <c r="AA24" s="4">
        <f t="shared" si="2"/>
        <v>0</v>
      </c>
      <c r="AB24" s="310"/>
      <c r="AC24" s="310"/>
      <c r="AE24" s="4">
        <f t="shared" si="3"/>
        <v>0</v>
      </c>
      <c r="AF24" s="310"/>
      <c r="AG24" s="310"/>
      <c r="AI24" s="4">
        <f t="shared" si="4"/>
        <v>0</v>
      </c>
    </row>
    <row r="25" spans="1:35" ht="15.75" x14ac:dyDescent="0.25">
      <c r="A25" s="277"/>
      <c r="B25" s="278" t="s">
        <v>579</v>
      </c>
      <c r="C25" s="279">
        <v>0.26</v>
      </c>
      <c r="D25" s="309">
        <f>MAX(C25:C33)</f>
        <v>2.42</v>
      </c>
      <c r="E25" s="310">
        <f>MIN(C25:C33)</f>
        <v>0.26</v>
      </c>
      <c r="F25" s="4"/>
      <c r="G25" s="4">
        <f t="shared" si="0"/>
        <v>0</v>
      </c>
      <c r="H25" s="309">
        <f>MAX(C25:C33)</f>
        <v>2.42</v>
      </c>
      <c r="I25" s="310">
        <f>MIN(C25:C33)</f>
        <v>0.26</v>
      </c>
      <c r="J25" s="300"/>
      <c r="K25" s="4">
        <f t="shared" si="7"/>
        <v>6.2919999999999998E-3</v>
      </c>
      <c r="L25" s="309">
        <v>2.42</v>
      </c>
      <c r="M25" s="310">
        <v>0.26</v>
      </c>
      <c r="O25" s="4">
        <f t="shared" si="6"/>
        <v>0</v>
      </c>
      <c r="P25" s="309">
        <v>2.42</v>
      </c>
      <c r="Q25" s="310">
        <v>0.26</v>
      </c>
      <c r="S25" s="4">
        <f t="shared" si="5"/>
        <v>6.2919999999999998E-3</v>
      </c>
      <c r="T25" s="309">
        <v>2.42</v>
      </c>
      <c r="U25" s="310">
        <v>0.26</v>
      </c>
      <c r="W25" s="4">
        <f t="shared" si="1"/>
        <v>0</v>
      </c>
      <c r="X25" s="309">
        <v>2.42</v>
      </c>
      <c r="Y25" s="310">
        <v>0.26</v>
      </c>
      <c r="AA25" s="4">
        <f t="shared" si="2"/>
        <v>0</v>
      </c>
      <c r="AB25" s="309">
        <v>2.42</v>
      </c>
      <c r="AC25" s="310">
        <v>0.26</v>
      </c>
      <c r="AE25" s="4">
        <f t="shared" si="3"/>
        <v>0</v>
      </c>
      <c r="AF25" s="309">
        <f>MAX(C25:C33)</f>
        <v>2.42</v>
      </c>
      <c r="AG25" s="310">
        <f>MIN(C25:C33)</f>
        <v>0.26</v>
      </c>
      <c r="AI25" s="4">
        <f t="shared" si="4"/>
        <v>0</v>
      </c>
    </row>
    <row r="26" spans="1:35" ht="15.75" x14ac:dyDescent="0.25">
      <c r="A26" s="277"/>
      <c r="B26" s="278" t="s">
        <v>580</v>
      </c>
      <c r="C26" s="279">
        <v>0.52</v>
      </c>
      <c r="D26" s="310"/>
      <c r="E26" s="310"/>
      <c r="F26" s="4"/>
      <c r="G26" s="4">
        <f>$C26*F26/100</f>
        <v>0</v>
      </c>
      <c r="H26" s="310"/>
      <c r="I26" s="310"/>
      <c r="J26" s="300"/>
      <c r="K26" s="4">
        <f t="shared" si="7"/>
        <v>0</v>
      </c>
      <c r="L26" s="310"/>
      <c r="M26" s="310"/>
      <c r="O26" s="4">
        <f t="shared" si="6"/>
        <v>0</v>
      </c>
      <c r="P26" s="310"/>
      <c r="Q26" s="310"/>
      <c r="S26" s="4">
        <f>$C26*P26/100</f>
        <v>0</v>
      </c>
      <c r="T26" s="310"/>
      <c r="U26" s="310"/>
      <c r="W26" s="4">
        <f>$C26*V26/100</f>
        <v>0</v>
      </c>
      <c r="X26" s="310"/>
      <c r="Y26" s="310"/>
      <c r="AA26" s="4">
        <f>$C26*Z26/100</f>
        <v>0</v>
      </c>
      <c r="AB26" s="310"/>
      <c r="AC26" s="310"/>
      <c r="AE26" s="4">
        <f>$C26*AD26/100</f>
        <v>0</v>
      </c>
      <c r="AF26" s="310"/>
      <c r="AG26" s="310"/>
      <c r="AI26" s="4">
        <f>$C26*AH26/100</f>
        <v>0</v>
      </c>
    </row>
    <row r="27" spans="1:35" ht="15.75" x14ac:dyDescent="0.25">
      <c r="A27" s="277"/>
      <c r="B27" s="278" t="s">
        <v>355</v>
      </c>
      <c r="C27" s="279">
        <v>0.38</v>
      </c>
      <c r="D27" s="310"/>
      <c r="E27" s="310"/>
      <c r="F27" s="4"/>
      <c r="G27" s="4">
        <f>$C27*F27/100</f>
        <v>0</v>
      </c>
      <c r="H27" s="310"/>
      <c r="I27" s="310"/>
      <c r="J27" s="300"/>
      <c r="K27" s="4">
        <f t="shared" si="7"/>
        <v>0</v>
      </c>
      <c r="L27" s="310"/>
      <c r="M27" s="310"/>
      <c r="O27" s="4">
        <f t="shared" si="6"/>
        <v>0</v>
      </c>
      <c r="P27" s="310"/>
      <c r="Q27" s="310"/>
      <c r="S27" s="4">
        <f>$C27*P27/100</f>
        <v>0</v>
      </c>
      <c r="T27" s="310"/>
      <c r="U27" s="310"/>
      <c r="W27" s="4">
        <f>$C27*V27/100</f>
        <v>0</v>
      </c>
      <c r="X27" s="310"/>
      <c r="Y27" s="310"/>
      <c r="AA27" s="4">
        <f>$C27*Z27/100</f>
        <v>0</v>
      </c>
      <c r="AB27" s="310"/>
      <c r="AC27" s="310"/>
      <c r="AE27" s="4">
        <f>$C27*AD27/100</f>
        <v>0</v>
      </c>
      <c r="AF27" s="310"/>
      <c r="AG27" s="310"/>
      <c r="AI27" s="4">
        <f>$C27*AH27/100</f>
        <v>0</v>
      </c>
    </row>
    <row r="28" spans="1:35" ht="15.75" x14ac:dyDescent="0.25">
      <c r="A28" s="277"/>
      <c r="B28" s="278" t="s">
        <v>581</v>
      </c>
      <c r="C28" s="279">
        <v>0.4</v>
      </c>
      <c r="D28" s="310"/>
      <c r="E28" s="310"/>
      <c r="F28" s="4"/>
      <c r="G28" s="4">
        <f t="shared" si="0"/>
        <v>0</v>
      </c>
      <c r="H28" s="310"/>
      <c r="I28" s="310"/>
      <c r="J28" s="300"/>
      <c r="K28" s="4">
        <f t="shared" si="7"/>
        <v>0</v>
      </c>
      <c r="L28" s="310"/>
      <c r="M28" s="310"/>
      <c r="O28" s="4">
        <f t="shared" si="6"/>
        <v>0</v>
      </c>
      <c r="P28" s="310"/>
      <c r="Q28" s="310"/>
      <c r="S28" s="4">
        <f t="shared" si="5"/>
        <v>0</v>
      </c>
      <c r="T28" s="310"/>
      <c r="U28" s="310"/>
      <c r="W28" s="4">
        <f t="shared" si="1"/>
        <v>0</v>
      </c>
      <c r="X28" s="310"/>
      <c r="Y28" s="310"/>
      <c r="AA28" s="4">
        <f t="shared" si="2"/>
        <v>0</v>
      </c>
      <c r="AB28" s="310"/>
      <c r="AC28" s="310"/>
      <c r="AE28" s="4">
        <f t="shared" si="3"/>
        <v>0</v>
      </c>
      <c r="AF28" s="310"/>
      <c r="AG28" s="310"/>
      <c r="AI28" s="4">
        <f t="shared" si="4"/>
        <v>0</v>
      </c>
    </row>
    <row r="29" spans="1:35" ht="15.75" x14ac:dyDescent="0.25">
      <c r="A29" s="277"/>
      <c r="B29" s="278" t="s">
        <v>357</v>
      </c>
      <c r="C29" s="279">
        <v>0.99</v>
      </c>
      <c r="D29" s="310"/>
      <c r="E29" s="310"/>
      <c r="F29" s="4"/>
      <c r="G29" s="4">
        <f t="shared" si="0"/>
        <v>0</v>
      </c>
      <c r="H29" s="310"/>
      <c r="I29" s="310"/>
      <c r="J29" s="300"/>
      <c r="K29" s="4">
        <f t="shared" si="7"/>
        <v>0</v>
      </c>
      <c r="L29" s="310"/>
      <c r="M29" s="310"/>
      <c r="O29" s="4">
        <f t="shared" si="6"/>
        <v>0</v>
      </c>
      <c r="P29" s="310"/>
      <c r="Q29" s="310"/>
      <c r="S29" s="4">
        <f t="shared" si="5"/>
        <v>0</v>
      </c>
      <c r="T29" s="310"/>
      <c r="U29" s="310"/>
      <c r="W29" s="4">
        <f t="shared" si="1"/>
        <v>0</v>
      </c>
      <c r="X29" s="310"/>
      <c r="Y29" s="310"/>
      <c r="AA29" s="4">
        <f t="shared" si="2"/>
        <v>0</v>
      </c>
      <c r="AB29" s="310"/>
      <c r="AC29" s="310"/>
      <c r="AE29" s="4">
        <f t="shared" si="3"/>
        <v>0</v>
      </c>
      <c r="AF29" s="310"/>
      <c r="AG29" s="310"/>
      <c r="AI29" s="4">
        <f t="shared" si="4"/>
        <v>0</v>
      </c>
    </row>
    <row r="30" spans="1:35" ht="15.75" x14ac:dyDescent="0.25">
      <c r="A30" s="277"/>
      <c r="B30" s="278" t="s">
        <v>358</v>
      </c>
      <c r="C30" s="279">
        <v>0.38</v>
      </c>
      <c r="D30" s="310"/>
      <c r="E30" s="310"/>
      <c r="F30" s="4"/>
      <c r="G30" s="4">
        <f t="shared" si="0"/>
        <v>0</v>
      </c>
      <c r="H30" s="310"/>
      <c r="I30" s="310"/>
      <c r="J30" s="300"/>
      <c r="K30" s="4">
        <f t="shared" si="7"/>
        <v>0</v>
      </c>
      <c r="L30" s="310"/>
      <c r="M30" s="310"/>
      <c r="O30" s="4">
        <f t="shared" si="6"/>
        <v>0</v>
      </c>
      <c r="P30" s="310"/>
      <c r="Q30" s="310"/>
      <c r="S30" s="4">
        <f t="shared" si="5"/>
        <v>0</v>
      </c>
      <c r="T30" s="310"/>
      <c r="U30" s="310"/>
      <c r="W30" s="4">
        <f t="shared" si="1"/>
        <v>0</v>
      </c>
      <c r="X30" s="310"/>
      <c r="Y30" s="310"/>
      <c r="AA30" s="4">
        <f t="shared" si="2"/>
        <v>0</v>
      </c>
      <c r="AB30" s="310"/>
      <c r="AC30" s="310"/>
      <c r="AE30" s="4">
        <f t="shared" si="3"/>
        <v>0</v>
      </c>
      <c r="AF30" s="310"/>
      <c r="AG30" s="310"/>
      <c r="AI30" s="4">
        <f t="shared" si="4"/>
        <v>0</v>
      </c>
    </row>
    <row r="31" spans="1:35" ht="15.75" x14ac:dyDescent="0.25">
      <c r="A31" s="277"/>
      <c r="B31" s="278" t="s">
        <v>359</v>
      </c>
      <c r="C31" s="279">
        <v>2.42</v>
      </c>
      <c r="D31" s="310"/>
      <c r="E31" s="310"/>
      <c r="F31" s="4"/>
      <c r="G31" s="4">
        <f t="shared" si="0"/>
        <v>0</v>
      </c>
      <c r="H31" s="310"/>
      <c r="I31" s="310"/>
      <c r="J31" s="300"/>
      <c r="K31" s="4">
        <f t="shared" si="7"/>
        <v>0</v>
      </c>
      <c r="L31" s="310"/>
      <c r="M31" s="310"/>
      <c r="O31" s="4">
        <f t="shared" si="6"/>
        <v>0</v>
      </c>
      <c r="P31" s="310"/>
      <c r="Q31" s="310"/>
      <c r="S31" s="4">
        <f t="shared" si="5"/>
        <v>0</v>
      </c>
      <c r="T31" s="310"/>
      <c r="U31" s="310"/>
      <c r="W31" s="4">
        <f t="shared" si="1"/>
        <v>0</v>
      </c>
      <c r="X31" s="310"/>
      <c r="Y31" s="310"/>
      <c r="AA31" s="4">
        <f t="shared" si="2"/>
        <v>0</v>
      </c>
      <c r="AB31" s="310"/>
      <c r="AC31" s="310"/>
      <c r="AE31" s="4">
        <f t="shared" si="3"/>
        <v>0</v>
      </c>
      <c r="AF31" s="310"/>
      <c r="AG31" s="310"/>
      <c r="AI31" s="4">
        <f t="shared" si="4"/>
        <v>0</v>
      </c>
    </row>
    <row r="32" spans="1:35" ht="15.75" x14ac:dyDescent="0.25">
      <c r="A32" s="277"/>
      <c r="B32" s="278" t="s">
        <v>360</v>
      </c>
      <c r="C32" s="279">
        <v>1.63</v>
      </c>
      <c r="D32" s="310"/>
      <c r="E32" s="310"/>
      <c r="F32" s="4"/>
      <c r="G32" s="4">
        <f t="shared" si="0"/>
        <v>0</v>
      </c>
      <c r="H32" s="310"/>
      <c r="I32" s="310"/>
      <c r="J32" s="300"/>
      <c r="K32" s="4">
        <f t="shared" si="7"/>
        <v>0</v>
      </c>
      <c r="L32" s="310"/>
      <c r="M32" s="310"/>
      <c r="O32" s="4">
        <f t="shared" si="6"/>
        <v>0</v>
      </c>
      <c r="P32" s="310"/>
      <c r="Q32" s="310"/>
      <c r="S32" s="4">
        <f t="shared" si="5"/>
        <v>0</v>
      </c>
      <c r="T32" s="310"/>
      <c r="U32" s="310"/>
      <c r="W32" s="4">
        <f t="shared" si="1"/>
        <v>0</v>
      </c>
      <c r="X32" s="310"/>
      <c r="Y32" s="310"/>
      <c r="AA32" s="4">
        <f t="shared" si="2"/>
        <v>0</v>
      </c>
      <c r="AB32" s="310"/>
      <c r="AC32" s="310"/>
      <c r="AE32" s="4">
        <f t="shared" si="3"/>
        <v>0</v>
      </c>
      <c r="AF32" s="310"/>
      <c r="AG32" s="310"/>
      <c r="AI32" s="4">
        <f t="shared" si="4"/>
        <v>0</v>
      </c>
    </row>
    <row r="33" spans="1:35" ht="15.75" x14ac:dyDescent="0.25">
      <c r="A33" s="277"/>
      <c r="B33" s="278" t="s">
        <v>361</v>
      </c>
      <c r="C33" s="279">
        <v>2.19</v>
      </c>
      <c r="D33" s="310"/>
      <c r="E33" s="310"/>
      <c r="F33" s="4"/>
      <c r="G33" s="4">
        <f t="shared" si="0"/>
        <v>0</v>
      </c>
      <c r="H33" s="310"/>
      <c r="I33" s="310"/>
      <c r="J33" s="300"/>
      <c r="K33" s="4">
        <f t="shared" si="7"/>
        <v>0</v>
      </c>
      <c r="L33" s="310"/>
      <c r="M33" s="310"/>
      <c r="O33" s="4">
        <f t="shared" si="6"/>
        <v>0</v>
      </c>
      <c r="P33" s="310"/>
      <c r="Q33" s="310"/>
      <c r="S33" s="4">
        <f t="shared" si="5"/>
        <v>0</v>
      </c>
      <c r="T33" s="310"/>
      <c r="U33" s="310"/>
      <c r="W33" s="4">
        <f t="shared" si="1"/>
        <v>0</v>
      </c>
      <c r="X33" s="310"/>
      <c r="Y33" s="310"/>
      <c r="AA33" s="4">
        <f t="shared" si="2"/>
        <v>0</v>
      </c>
      <c r="AB33" s="310"/>
      <c r="AC33" s="310"/>
      <c r="AE33" s="4">
        <f t="shared" si="3"/>
        <v>0</v>
      </c>
      <c r="AF33" s="310"/>
      <c r="AG33" s="310"/>
      <c r="AI33" s="4">
        <f t="shared" si="4"/>
        <v>0</v>
      </c>
    </row>
    <row r="34" spans="1:35" ht="15.75" x14ac:dyDescent="0.25">
      <c r="A34" s="277"/>
      <c r="B34" s="278" t="s">
        <v>362</v>
      </c>
      <c r="C34" s="299">
        <v>0</v>
      </c>
      <c r="D34" s="312"/>
      <c r="E34" s="312"/>
      <c r="F34" s="4"/>
      <c r="G34" s="4">
        <f t="shared" si="0"/>
        <v>0</v>
      </c>
      <c r="H34" s="312"/>
      <c r="I34" s="312"/>
      <c r="J34" s="300"/>
      <c r="K34" s="4">
        <f t="shared" si="7"/>
        <v>0</v>
      </c>
      <c r="L34" s="312"/>
      <c r="M34" s="312"/>
      <c r="O34" s="4">
        <f t="shared" si="6"/>
        <v>0</v>
      </c>
      <c r="P34" s="312"/>
      <c r="Q34" s="312"/>
      <c r="S34" s="4">
        <f t="shared" si="5"/>
        <v>0</v>
      </c>
      <c r="T34" s="312"/>
      <c r="U34" s="312"/>
      <c r="W34" s="4">
        <f t="shared" si="1"/>
        <v>0</v>
      </c>
      <c r="X34" s="312"/>
      <c r="Y34" s="312"/>
      <c r="AA34" s="4">
        <f t="shared" si="2"/>
        <v>0</v>
      </c>
      <c r="AB34" s="312"/>
      <c r="AC34" s="312"/>
      <c r="AE34" s="4">
        <f t="shared" si="3"/>
        <v>0</v>
      </c>
      <c r="AF34" s="312"/>
      <c r="AG34" s="312"/>
      <c r="AI34" s="4">
        <f t="shared" si="4"/>
        <v>0</v>
      </c>
    </row>
    <row r="35" spans="1:35" ht="15.75" x14ac:dyDescent="0.25">
      <c r="A35" s="4">
        <v>4</v>
      </c>
      <c r="B35" s="280" t="s">
        <v>285</v>
      </c>
      <c r="C35" s="279"/>
      <c r="D35" s="310"/>
      <c r="E35" s="310"/>
      <c r="F35" s="4"/>
      <c r="G35" s="4">
        <f t="shared" si="0"/>
        <v>0</v>
      </c>
      <c r="H35" s="310"/>
      <c r="I35" s="310"/>
      <c r="J35" s="300"/>
      <c r="K35" s="4">
        <f t="shared" si="7"/>
        <v>0</v>
      </c>
      <c r="L35" s="310"/>
      <c r="M35" s="310"/>
      <c r="O35" s="4">
        <f t="shared" si="6"/>
        <v>0</v>
      </c>
      <c r="P35" s="310"/>
      <c r="Q35" s="310"/>
      <c r="S35" s="4">
        <f t="shared" si="5"/>
        <v>0</v>
      </c>
      <c r="T35" s="310"/>
      <c r="U35" s="310"/>
      <c r="W35" s="4">
        <f t="shared" si="1"/>
        <v>0</v>
      </c>
      <c r="X35" s="310"/>
      <c r="Y35" s="310"/>
      <c r="AA35" s="4">
        <f t="shared" si="2"/>
        <v>0</v>
      </c>
      <c r="AB35" s="310"/>
      <c r="AC35" s="310"/>
      <c r="AE35" s="4">
        <f t="shared" si="3"/>
        <v>0</v>
      </c>
      <c r="AF35" s="310"/>
      <c r="AG35" s="310"/>
      <c r="AI35" s="4">
        <f t="shared" si="4"/>
        <v>0</v>
      </c>
    </row>
    <row r="36" spans="1:35" ht="15.75" x14ac:dyDescent="0.25">
      <c r="A36" s="277"/>
      <c r="B36" s="278" t="s">
        <v>364</v>
      </c>
      <c r="C36" s="279">
        <v>4.29</v>
      </c>
      <c r="D36" s="309">
        <f>MAX(C36:C44)</f>
        <v>16.22</v>
      </c>
      <c r="E36" s="310">
        <f>MIN(C36:C44)</f>
        <v>4.1399999999999997</v>
      </c>
      <c r="F36" s="4"/>
      <c r="G36" s="4">
        <f t="shared" si="0"/>
        <v>0</v>
      </c>
      <c r="H36" s="309">
        <f>MAX(C36:C44)</f>
        <v>16.22</v>
      </c>
      <c r="I36" s="310">
        <f>MIN(C36:C44)</f>
        <v>4.1399999999999997</v>
      </c>
      <c r="J36" s="300"/>
      <c r="K36" s="4">
        <f t="shared" si="7"/>
        <v>0.69583799999999996</v>
      </c>
      <c r="L36" s="309">
        <v>16.22</v>
      </c>
      <c r="M36" s="310">
        <v>4.1399999999999997</v>
      </c>
      <c r="O36" s="4">
        <f t="shared" si="6"/>
        <v>0</v>
      </c>
      <c r="P36" s="309">
        <v>16.22</v>
      </c>
      <c r="Q36" s="310">
        <v>4.1399999999999997</v>
      </c>
      <c r="S36" s="4">
        <f t="shared" si="5"/>
        <v>0.69583799999999996</v>
      </c>
      <c r="T36" s="309">
        <v>16.22</v>
      </c>
      <c r="U36" s="310">
        <v>4.1399999999999997</v>
      </c>
      <c r="W36" s="4">
        <f t="shared" si="1"/>
        <v>0</v>
      </c>
      <c r="X36" s="309">
        <v>16.22</v>
      </c>
      <c r="Y36" s="310">
        <v>4.1399999999999997</v>
      </c>
      <c r="AA36" s="4">
        <f t="shared" si="2"/>
        <v>0</v>
      </c>
      <c r="AB36" s="309">
        <v>16.22</v>
      </c>
      <c r="AC36" s="310">
        <v>4.1399999999999997</v>
      </c>
      <c r="AE36" s="4">
        <f t="shared" si="3"/>
        <v>0</v>
      </c>
      <c r="AF36" s="309">
        <f>MAX(C36:C44)</f>
        <v>16.22</v>
      </c>
      <c r="AG36" s="310">
        <f>MIN(C36:C44)</f>
        <v>4.1399999999999997</v>
      </c>
      <c r="AI36" s="4">
        <f t="shared" si="4"/>
        <v>0</v>
      </c>
    </row>
    <row r="37" spans="1:35" ht="15.75" x14ac:dyDescent="0.25">
      <c r="A37" s="277"/>
      <c r="B37" s="281" t="s">
        <v>365</v>
      </c>
      <c r="C37" s="279">
        <v>4.41</v>
      </c>
      <c r="D37" s="310"/>
      <c r="E37" s="310"/>
      <c r="F37" s="4"/>
      <c r="G37" s="4">
        <f t="shared" si="0"/>
        <v>0</v>
      </c>
      <c r="H37" s="310"/>
      <c r="I37" s="310"/>
      <c r="J37" s="300"/>
      <c r="K37" s="4">
        <f t="shared" si="7"/>
        <v>0</v>
      </c>
      <c r="L37" s="310"/>
      <c r="M37" s="310"/>
      <c r="O37" s="4">
        <f t="shared" si="6"/>
        <v>0</v>
      </c>
      <c r="P37" s="310"/>
      <c r="Q37" s="310"/>
      <c r="S37" s="4">
        <f t="shared" si="5"/>
        <v>0</v>
      </c>
      <c r="T37" s="310"/>
      <c r="U37" s="310"/>
      <c r="W37" s="4">
        <f t="shared" si="1"/>
        <v>0</v>
      </c>
      <c r="X37" s="310"/>
      <c r="Y37" s="310"/>
      <c r="AA37" s="4">
        <f t="shared" si="2"/>
        <v>0</v>
      </c>
      <c r="AB37" s="310"/>
      <c r="AC37" s="310"/>
      <c r="AE37" s="4">
        <f t="shared" si="3"/>
        <v>0</v>
      </c>
      <c r="AF37" s="310"/>
      <c r="AG37" s="310"/>
      <c r="AI37" s="4">
        <f t="shared" si="4"/>
        <v>0</v>
      </c>
    </row>
    <row r="38" spans="1:35" ht="15.75" x14ac:dyDescent="0.25">
      <c r="A38" s="277"/>
      <c r="B38" s="281" t="s">
        <v>366</v>
      </c>
      <c r="C38" s="279">
        <v>4.71</v>
      </c>
      <c r="D38" s="310"/>
      <c r="E38" s="310"/>
      <c r="F38" s="4"/>
      <c r="G38" s="4">
        <f t="shared" si="0"/>
        <v>0</v>
      </c>
      <c r="H38" s="310"/>
      <c r="I38" s="310"/>
      <c r="J38" s="300"/>
      <c r="K38" s="4">
        <f t="shared" si="7"/>
        <v>0</v>
      </c>
      <c r="L38" s="310"/>
      <c r="M38" s="310"/>
      <c r="O38" s="4">
        <f t="shared" si="6"/>
        <v>0</v>
      </c>
      <c r="P38" s="310"/>
      <c r="Q38" s="310"/>
      <c r="S38" s="4">
        <f t="shared" si="5"/>
        <v>0</v>
      </c>
      <c r="T38" s="310"/>
      <c r="U38" s="310"/>
      <c r="W38" s="4">
        <f t="shared" si="1"/>
        <v>0</v>
      </c>
      <c r="X38" s="310"/>
      <c r="Y38" s="310"/>
      <c r="AA38" s="4">
        <f t="shared" si="2"/>
        <v>0</v>
      </c>
      <c r="AB38" s="310"/>
      <c r="AC38" s="310"/>
      <c r="AE38" s="4">
        <f t="shared" si="3"/>
        <v>0</v>
      </c>
      <c r="AF38" s="310"/>
      <c r="AG38" s="310"/>
      <c r="AI38" s="4">
        <f t="shared" si="4"/>
        <v>0</v>
      </c>
    </row>
    <row r="39" spans="1:35" ht="15.75" x14ac:dyDescent="0.25">
      <c r="A39" s="277"/>
      <c r="B39" s="281" t="s">
        <v>375</v>
      </c>
      <c r="C39" s="279">
        <v>15.25</v>
      </c>
      <c r="D39" s="310"/>
      <c r="E39" s="310"/>
      <c r="F39" s="4"/>
      <c r="G39" s="4">
        <f t="shared" si="0"/>
        <v>0</v>
      </c>
      <c r="H39" s="310"/>
      <c r="I39" s="310"/>
      <c r="J39" s="300"/>
      <c r="K39" s="4">
        <f t="shared" si="7"/>
        <v>0</v>
      </c>
      <c r="L39" s="310"/>
      <c r="M39" s="310"/>
      <c r="O39" s="4">
        <f t="shared" si="6"/>
        <v>0</v>
      </c>
      <c r="P39" s="310"/>
      <c r="Q39" s="310"/>
      <c r="S39" s="4">
        <f t="shared" si="5"/>
        <v>0</v>
      </c>
      <c r="T39" s="310"/>
      <c r="U39" s="310"/>
      <c r="W39" s="4">
        <f t="shared" si="1"/>
        <v>0</v>
      </c>
      <c r="X39" s="310"/>
      <c r="Y39" s="310"/>
      <c r="AA39" s="4">
        <f t="shared" si="2"/>
        <v>0</v>
      </c>
      <c r="AB39" s="310"/>
      <c r="AC39" s="310"/>
      <c r="AE39" s="4">
        <f t="shared" si="3"/>
        <v>0</v>
      </c>
      <c r="AF39" s="310"/>
      <c r="AG39" s="310"/>
      <c r="AI39" s="4">
        <f t="shared" si="4"/>
        <v>0</v>
      </c>
    </row>
    <row r="40" spans="1:35" ht="15.75" x14ac:dyDescent="0.25">
      <c r="A40" s="277"/>
      <c r="B40" s="281" t="s">
        <v>376</v>
      </c>
      <c r="C40" s="279">
        <v>9.98</v>
      </c>
      <c r="D40" s="310"/>
      <c r="E40" s="310"/>
      <c r="F40" s="4"/>
      <c r="G40" s="4">
        <f t="shared" si="0"/>
        <v>0</v>
      </c>
      <c r="H40" s="310"/>
      <c r="I40" s="310"/>
      <c r="J40" s="300"/>
      <c r="K40" s="4">
        <f t="shared" si="7"/>
        <v>0</v>
      </c>
      <c r="L40" s="310"/>
      <c r="M40" s="310"/>
      <c r="O40" s="4">
        <f t="shared" si="6"/>
        <v>0</v>
      </c>
      <c r="P40" s="310"/>
      <c r="Q40" s="310"/>
      <c r="S40" s="4">
        <f t="shared" si="5"/>
        <v>0</v>
      </c>
      <c r="T40" s="310"/>
      <c r="U40" s="310"/>
      <c r="W40" s="4">
        <f t="shared" si="1"/>
        <v>0</v>
      </c>
      <c r="X40" s="310"/>
      <c r="Y40" s="310"/>
      <c r="AA40" s="4">
        <f t="shared" si="2"/>
        <v>0</v>
      </c>
      <c r="AB40" s="310"/>
      <c r="AC40" s="310"/>
      <c r="AE40" s="4">
        <f t="shared" si="3"/>
        <v>0</v>
      </c>
      <c r="AF40" s="310"/>
      <c r="AG40" s="310"/>
      <c r="AI40" s="4">
        <f t="shared" si="4"/>
        <v>0</v>
      </c>
    </row>
    <row r="41" spans="1:35" ht="15.75" x14ac:dyDescent="0.25">
      <c r="A41" s="277"/>
      <c r="B41" s="281" t="s">
        <v>367</v>
      </c>
      <c r="C41" s="279">
        <v>16.22</v>
      </c>
      <c r="D41" s="310"/>
      <c r="E41" s="310"/>
      <c r="F41" s="4"/>
      <c r="G41" s="4">
        <f t="shared" si="0"/>
        <v>0</v>
      </c>
      <c r="H41" s="310"/>
      <c r="I41" s="310"/>
      <c r="J41" s="300"/>
      <c r="K41" s="4">
        <f t="shared" si="7"/>
        <v>0</v>
      </c>
      <c r="L41" s="310"/>
      <c r="M41" s="310"/>
      <c r="O41" s="4">
        <f t="shared" si="6"/>
        <v>0</v>
      </c>
      <c r="P41" s="310"/>
      <c r="Q41" s="310"/>
      <c r="S41" s="4">
        <f t="shared" si="5"/>
        <v>0</v>
      </c>
      <c r="T41" s="310"/>
      <c r="U41" s="310"/>
      <c r="W41" s="4">
        <f t="shared" si="1"/>
        <v>0</v>
      </c>
      <c r="X41" s="310"/>
      <c r="Y41" s="310"/>
      <c r="AA41" s="4">
        <f t="shared" si="2"/>
        <v>0</v>
      </c>
      <c r="AB41" s="310"/>
      <c r="AC41" s="310"/>
      <c r="AE41" s="4">
        <f t="shared" si="3"/>
        <v>0</v>
      </c>
      <c r="AF41" s="310"/>
      <c r="AG41" s="310"/>
      <c r="AI41" s="4">
        <f t="shared" si="4"/>
        <v>0</v>
      </c>
    </row>
    <row r="42" spans="1:35" ht="15.75" x14ac:dyDescent="0.25">
      <c r="A42" s="277"/>
      <c r="B42" s="281" t="s">
        <v>368</v>
      </c>
      <c r="C42" s="279">
        <v>4.1399999999999997</v>
      </c>
      <c r="D42" s="310"/>
      <c r="E42" s="310"/>
      <c r="F42" s="4"/>
      <c r="G42" s="4">
        <f t="shared" si="0"/>
        <v>0</v>
      </c>
      <c r="H42" s="310"/>
      <c r="I42" s="310"/>
      <c r="J42" s="300"/>
      <c r="K42" s="4">
        <f t="shared" si="7"/>
        <v>0</v>
      </c>
      <c r="L42" s="310"/>
      <c r="M42" s="310"/>
      <c r="O42" s="4">
        <f t="shared" si="6"/>
        <v>0</v>
      </c>
      <c r="P42" s="310"/>
      <c r="Q42" s="310"/>
      <c r="S42" s="4">
        <f t="shared" si="5"/>
        <v>0</v>
      </c>
      <c r="T42" s="310"/>
      <c r="U42" s="310"/>
      <c r="W42" s="4">
        <f t="shared" si="1"/>
        <v>0</v>
      </c>
      <c r="X42" s="310"/>
      <c r="Y42" s="310"/>
      <c r="AA42" s="4">
        <f t="shared" si="2"/>
        <v>0</v>
      </c>
      <c r="AB42" s="310"/>
      <c r="AC42" s="310"/>
      <c r="AE42" s="4">
        <f t="shared" si="3"/>
        <v>0</v>
      </c>
      <c r="AF42" s="310"/>
      <c r="AG42" s="310"/>
      <c r="AI42" s="4">
        <f t="shared" si="4"/>
        <v>0</v>
      </c>
    </row>
    <row r="43" spans="1:35" ht="31.5" x14ac:dyDescent="0.25">
      <c r="A43" s="277"/>
      <c r="B43" s="281" t="s">
        <v>582</v>
      </c>
      <c r="C43" s="279">
        <v>6.91</v>
      </c>
      <c r="D43" s="310"/>
      <c r="E43" s="310"/>
      <c r="F43" s="4"/>
      <c r="G43" s="4">
        <f t="shared" si="0"/>
        <v>0</v>
      </c>
      <c r="H43" s="310"/>
      <c r="I43" s="310"/>
      <c r="J43" s="300"/>
      <c r="K43" s="4">
        <f t="shared" si="7"/>
        <v>0</v>
      </c>
      <c r="L43" s="310"/>
      <c r="M43" s="310"/>
      <c r="O43" s="4">
        <f t="shared" si="6"/>
        <v>0</v>
      </c>
      <c r="P43" s="310"/>
      <c r="Q43" s="310"/>
      <c r="S43" s="4">
        <f t="shared" si="5"/>
        <v>0</v>
      </c>
      <c r="T43" s="310"/>
      <c r="U43" s="310"/>
      <c r="W43" s="4">
        <f t="shared" si="1"/>
        <v>0</v>
      </c>
      <c r="X43" s="310"/>
      <c r="Y43" s="310"/>
      <c r="AA43" s="4">
        <f t="shared" si="2"/>
        <v>0</v>
      </c>
      <c r="AB43" s="310"/>
      <c r="AC43" s="310"/>
      <c r="AE43" s="4">
        <f t="shared" si="3"/>
        <v>0</v>
      </c>
      <c r="AF43" s="310"/>
      <c r="AG43" s="310"/>
      <c r="AI43" s="4">
        <f t="shared" si="4"/>
        <v>0</v>
      </c>
    </row>
    <row r="44" spans="1:35" ht="31.5" x14ac:dyDescent="0.25">
      <c r="A44" s="277"/>
      <c r="B44" s="281" t="s">
        <v>583</v>
      </c>
      <c r="C44" s="279">
        <v>8.02</v>
      </c>
      <c r="D44" s="310"/>
      <c r="E44" s="310"/>
      <c r="F44" s="4"/>
      <c r="G44" s="4">
        <f t="shared" si="0"/>
        <v>0</v>
      </c>
      <c r="H44" s="310"/>
      <c r="I44" s="310"/>
      <c r="J44" s="300"/>
      <c r="K44" s="4">
        <f t="shared" si="7"/>
        <v>0</v>
      </c>
      <c r="L44" s="310"/>
      <c r="M44" s="310"/>
      <c r="O44" s="4">
        <f t="shared" si="6"/>
        <v>0</v>
      </c>
      <c r="P44" s="310"/>
      <c r="Q44" s="310"/>
      <c r="S44" s="4">
        <f t="shared" si="5"/>
        <v>0</v>
      </c>
      <c r="T44" s="310"/>
      <c r="U44" s="310"/>
      <c r="W44" s="4">
        <f t="shared" si="1"/>
        <v>0</v>
      </c>
      <c r="X44" s="310"/>
      <c r="Y44" s="310"/>
      <c r="AA44" s="4">
        <f t="shared" si="2"/>
        <v>0</v>
      </c>
      <c r="AB44" s="310"/>
      <c r="AC44" s="310"/>
      <c r="AE44" s="4">
        <f t="shared" si="3"/>
        <v>0</v>
      </c>
      <c r="AF44" s="310"/>
      <c r="AG44" s="310"/>
      <c r="AI44" s="4">
        <f t="shared" si="4"/>
        <v>0</v>
      </c>
    </row>
    <row r="45" spans="1:35" ht="15.75" x14ac:dyDescent="0.25">
      <c r="A45" s="4">
        <v>5</v>
      </c>
      <c r="B45" s="280" t="s">
        <v>289</v>
      </c>
      <c r="C45" s="279"/>
      <c r="D45" s="310"/>
      <c r="E45" s="310"/>
      <c r="F45" s="4"/>
      <c r="G45" s="4">
        <f t="shared" si="0"/>
        <v>0</v>
      </c>
      <c r="H45" s="310"/>
      <c r="I45" s="310"/>
      <c r="J45" s="300"/>
      <c r="K45" s="4">
        <f t="shared" si="7"/>
        <v>0</v>
      </c>
      <c r="L45" s="310"/>
      <c r="M45" s="310"/>
      <c r="O45" s="4">
        <f t="shared" si="6"/>
        <v>0</v>
      </c>
      <c r="P45" s="310"/>
      <c r="Q45" s="310"/>
      <c r="S45" s="4">
        <f t="shared" si="5"/>
        <v>0</v>
      </c>
      <c r="T45" s="310"/>
      <c r="U45" s="310"/>
      <c r="W45" s="4">
        <f t="shared" si="1"/>
        <v>0</v>
      </c>
      <c r="X45" s="310"/>
      <c r="Y45" s="310"/>
      <c r="AA45" s="4">
        <f t="shared" si="2"/>
        <v>0</v>
      </c>
      <c r="AB45" s="310"/>
      <c r="AC45" s="310"/>
      <c r="AE45" s="4">
        <f t="shared" si="3"/>
        <v>0</v>
      </c>
      <c r="AF45" s="310"/>
      <c r="AG45" s="310"/>
      <c r="AI45" s="4">
        <f t="shared" si="4"/>
        <v>0</v>
      </c>
    </row>
    <row r="46" spans="1:35" ht="31.5" customHeight="1" x14ac:dyDescent="0.25">
      <c r="A46" s="277"/>
      <c r="B46" s="278" t="s">
        <v>584</v>
      </c>
      <c r="C46" s="279">
        <v>0.8</v>
      </c>
      <c r="D46" s="309">
        <f>MAX(C46:C49)</f>
        <v>1.32</v>
      </c>
      <c r="E46" s="310">
        <f>MIN(C46:C49)</f>
        <v>0.3</v>
      </c>
      <c r="F46" s="4"/>
      <c r="G46" s="4">
        <f t="shared" si="0"/>
        <v>0</v>
      </c>
      <c r="H46" s="309">
        <f>MAX(C46:C49)</f>
        <v>1.32</v>
      </c>
      <c r="I46" s="310">
        <f>MIN(C46:C49)</f>
        <v>0.3</v>
      </c>
      <c r="J46" s="300"/>
      <c r="K46" s="4">
        <f t="shared" si="7"/>
        <v>1.056E-2</v>
      </c>
      <c r="L46" s="309">
        <v>1.32</v>
      </c>
      <c r="M46" s="310">
        <v>0.3</v>
      </c>
      <c r="O46" s="4">
        <f t="shared" si="6"/>
        <v>0</v>
      </c>
      <c r="P46" s="309">
        <v>1.32</v>
      </c>
      <c r="Q46" s="310">
        <v>0.3</v>
      </c>
      <c r="S46" s="4">
        <f t="shared" si="5"/>
        <v>1.056E-2</v>
      </c>
      <c r="T46" s="309">
        <v>1.32</v>
      </c>
      <c r="U46" s="310">
        <v>0.3</v>
      </c>
      <c r="W46" s="4">
        <f t="shared" si="1"/>
        <v>0</v>
      </c>
      <c r="X46" s="309">
        <v>1.32</v>
      </c>
      <c r="Y46" s="310">
        <v>0.3</v>
      </c>
      <c r="AA46" s="4">
        <f t="shared" si="2"/>
        <v>0</v>
      </c>
      <c r="AB46" s="309">
        <v>1.32</v>
      </c>
      <c r="AC46" s="310">
        <v>0.3</v>
      </c>
      <c r="AE46" s="4">
        <f t="shared" si="3"/>
        <v>0</v>
      </c>
      <c r="AF46" s="309">
        <f>MAX(C46:C49)</f>
        <v>1.32</v>
      </c>
      <c r="AG46" s="310">
        <f>MIN(C46:C49)</f>
        <v>0.3</v>
      </c>
      <c r="AI46" s="4">
        <f t="shared" si="4"/>
        <v>0</v>
      </c>
    </row>
    <row r="47" spans="1:35" ht="31.5" customHeight="1" x14ac:dyDescent="0.25">
      <c r="A47" s="277"/>
      <c r="B47" s="278" t="s">
        <v>585</v>
      </c>
      <c r="C47" s="279">
        <v>0.3</v>
      </c>
      <c r="D47" s="310"/>
      <c r="E47" s="310"/>
      <c r="F47" s="4"/>
      <c r="G47" s="4">
        <f t="shared" si="0"/>
        <v>0</v>
      </c>
      <c r="H47" s="310"/>
      <c r="I47" s="310"/>
      <c r="J47" s="300"/>
      <c r="K47" s="4">
        <f t="shared" si="7"/>
        <v>0</v>
      </c>
      <c r="L47" s="310"/>
      <c r="M47" s="310"/>
      <c r="O47" s="4">
        <f t="shared" si="6"/>
        <v>0</v>
      </c>
      <c r="P47" s="310"/>
      <c r="Q47" s="310"/>
      <c r="S47" s="4">
        <f t="shared" si="5"/>
        <v>0</v>
      </c>
      <c r="T47" s="310"/>
      <c r="U47" s="310"/>
      <c r="W47" s="4">
        <f t="shared" si="1"/>
        <v>0</v>
      </c>
      <c r="X47" s="310"/>
      <c r="Y47" s="310"/>
      <c r="AA47" s="4">
        <f t="shared" si="2"/>
        <v>0</v>
      </c>
      <c r="AB47" s="310"/>
      <c r="AC47" s="310"/>
      <c r="AE47" s="4">
        <f t="shared" si="3"/>
        <v>0</v>
      </c>
      <c r="AF47" s="310"/>
      <c r="AG47" s="310"/>
      <c r="AI47" s="4">
        <f t="shared" si="4"/>
        <v>0</v>
      </c>
    </row>
    <row r="48" spans="1:35" ht="31.5" customHeight="1" x14ac:dyDescent="0.25">
      <c r="A48" s="277"/>
      <c r="B48" s="278" t="s">
        <v>586</v>
      </c>
      <c r="C48" s="279">
        <v>0.76</v>
      </c>
      <c r="D48" s="310"/>
      <c r="E48" s="310"/>
      <c r="F48" s="4"/>
      <c r="G48" s="4">
        <f t="shared" si="0"/>
        <v>0</v>
      </c>
      <c r="H48" s="310"/>
      <c r="I48" s="310"/>
      <c r="J48" s="300"/>
      <c r="K48" s="4">
        <f t="shared" si="7"/>
        <v>0</v>
      </c>
      <c r="L48" s="310"/>
      <c r="M48" s="310"/>
      <c r="O48" s="4">
        <f t="shared" si="6"/>
        <v>0</v>
      </c>
      <c r="P48" s="310"/>
      <c r="Q48" s="310"/>
      <c r="S48" s="4">
        <f t="shared" si="5"/>
        <v>0</v>
      </c>
      <c r="T48" s="310"/>
      <c r="U48" s="310"/>
      <c r="W48" s="4">
        <f t="shared" si="1"/>
        <v>0</v>
      </c>
      <c r="X48" s="310"/>
      <c r="Y48" s="310"/>
      <c r="AA48" s="4">
        <f t="shared" si="2"/>
        <v>0</v>
      </c>
      <c r="AB48" s="310"/>
      <c r="AC48" s="310"/>
      <c r="AE48" s="4">
        <f t="shared" si="3"/>
        <v>0</v>
      </c>
      <c r="AF48" s="310"/>
      <c r="AG48" s="310"/>
      <c r="AI48" s="4">
        <f t="shared" si="4"/>
        <v>0</v>
      </c>
    </row>
    <row r="49" spans="1:35" ht="31.5" customHeight="1" x14ac:dyDescent="0.25">
      <c r="A49" s="277"/>
      <c r="B49" s="278" t="s">
        <v>587</v>
      </c>
      <c r="C49" s="279">
        <v>1.32</v>
      </c>
      <c r="D49" s="310"/>
      <c r="E49" s="310"/>
      <c r="F49" s="4"/>
      <c r="G49" s="4">
        <f t="shared" si="0"/>
        <v>0</v>
      </c>
      <c r="H49" s="310"/>
      <c r="I49" s="310"/>
      <c r="J49" s="300"/>
      <c r="K49" s="4">
        <f t="shared" si="7"/>
        <v>0</v>
      </c>
      <c r="L49" s="310"/>
      <c r="M49" s="310"/>
      <c r="O49" s="4">
        <f t="shared" si="6"/>
        <v>0</v>
      </c>
      <c r="P49" s="310"/>
      <c r="Q49" s="310"/>
      <c r="S49" s="4">
        <f t="shared" si="5"/>
        <v>0</v>
      </c>
      <c r="T49" s="310"/>
      <c r="U49" s="310"/>
      <c r="W49" s="4">
        <f t="shared" si="1"/>
        <v>0</v>
      </c>
      <c r="X49" s="310"/>
      <c r="Y49" s="310"/>
      <c r="AA49" s="4">
        <f t="shared" si="2"/>
        <v>0</v>
      </c>
      <c r="AB49" s="310"/>
      <c r="AC49" s="310"/>
      <c r="AE49" s="4">
        <f t="shared" si="3"/>
        <v>0</v>
      </c>
      <c r="AF49" s="310"/>
      <c r="AG49" s="310"/>
      <c r="AI49" s="4">
        <f t="shared" si="4"/>
        <v>0</v>
      </c>
    </row>
    <row r="50" spans="1:35" ht="15.75" x14ac:dyDescent="0.25">
      <c r="A50" s="4">
        <v>6</v>
      </c>
      <c r="B50" s="280" t="s">
        <v>292</v>
      </c>
      <c r="C50" s="279"/>
      <c r="D50" s="310"/>
      <c r="E50" s="310"/>
      <c r="F50" s="4"/>
      <c r="G50" s="4">
        <f t="shared" si="0"/>
        <v>0</v>
      </c>
      <c r="H50" s="310"/>
      <c r="I50" s="310"/>
      <c r="J50" s="300"/>
      <c r="K50" s="4">
        <f t="shared" si="7"/>
        <v>0</v>
      </c>
      <c r="L50" s="310"/>
      <c r="M50" s="310"/>
      <c r="O50" s="4">
        <f t="shared" si="6"/>
        <v>0</v>
      </c>
      <c r="P50" s="310"/>
      <c r="Q50" s="310"/>
      <c r="S50" s="4">
        <f t="shared" si="5"/>
        <v>0</v>
      </c>
      <c r="T50" s="310"/>
      <c r="U50" s="310"/>
      <c r="W50" s="4">
        <f t="shared" si="1"/>
        <v>0</v>
      </c>
      <c r="X50" s="310"/>
      <c r="Y50" s="310"/>
      <c r="AA50" s="4">
        <f t="shared" si="2"/>
        <v>0</v>
      </c>
      <c r="AB50" s="310"/>
      <c r="AC50" s="310"/>
      <c r="AE50" s="4">
        <f t="shared" si="3"/>
        <v>0</v>
      </c>
      <c r="AF50" s="310"/>
      <c r="AG50" s="310"/>
      <c r="AI50" s="4">
        <f t="shared" si="4"/>
        <v>0</v>
      </c>
    </row>
    <row r="51" spans="1:35" ht="15.75" customHeight="1" x14ac:dyDescent="0.25">
      <c r="A51" s="277"/>
      <c r="B51" s="278" t="s">
        <v>384</v>
      </c>
      <c r="C51" s="279">
        <v>0.67</v>
      </c>
      <c r="D51" s="309">
        <f>MAX(C51:C59)</f>
        <v>1.08</v>
      </c>
      <c r="E51" s="310">
        <f>MIN(C51:C59)</f>
        <v>0.5</v>
      </c>
      <c r="F51" s="4"/>
      <c r="G51" s="4">
        <f t="shared" si="0"/>
        <v>0</v>
      </c>
      <c r="H51" s="309">
        <f>MAX(C51:C59)</f>
        <v>1.08</v>
      </c>
      <c r="I51" s="310">
        <f>MIN(C51:C59)</f>
        <v>0.5</v>
      </c>
      <c r="J51" s="300"/>
      <c r="K51" s="4">
        <f t="shared" si="7"/>
        <v>7.2360000000000011E-3</v>
      </c>
      <c r="L51" s="309">
        <v>1.08</v>
      </c>
      <c r="M51" s="310">
        <v>0.5</v>
      </c>
      <c r="O51" s="4">
        <f t="shared" si="6"/>
        <v>0</v>
      </c>
      <c r="P51" s="309">
        <v>1.08</v>
      </c>
      <c r="Q51" s="310">
        <v>0.5</v>
      </c>
      <c r="S51" s="4">
        <f t="shared" si="5"/>
        <v>7.2360000000000011E-3</v>
      </c>
      <c r="T51" s="309">
        <v>1.08</v>
      </c>
      <c r="U51" s="310">
        <v>0.5</v>
      </c>
      <c r="W51" s="4">
        <f t="shared" si="1"/>
        <v>0</v>
      </c>
      <c r="X51" s="309">
        <v>1.08</v>
      </c>
      <c r="Y51" s="310">
        <v>0.5</v>
      </c>
      <c r="AA51" s="4">
        <f t="shared" si="2"/>
        <v>0</v>
      </c>
      <c r="AB51" s="309">
        <v>1.08</v>
      </c>
      <c r="AC51" s="310">
        <v>0.5</v>
      </c>
      <c r="AE51" s="4">
        <f t="shared" si="3"/>
        <v>0</v>
      </c>
      <c r="AF51" s="309">
        <f>MAX(C51:C59)</f>
        <v>1.08</v>
      </c>
      <c r="AG51" s="310">
        <f>MIN(C51:C59)</f>
        <v>0.5</v>
      </c>
      <c r="AI51" s="4">
        <f t="shared" si="4"/>
        <v>0</v>
      </c>
    </row>
    <row r="52" spans="1:35" ht="15.75" customHeight="1" x14ac:dyDescent="0.25">
      <c r="A52" s="277"/>
      <c r="B52" s="278" t="s">
        <v>588</v>
      </c>
      <c r="C52" s="279">
        <v>0.69</v>
      </c>
      <c r="D52" s="310"/>
      <c r="E52" s="310"/>
      <c r="F52" s="4"/>
      <c r="G52" s="4">
        <f t="shared" si="0"/>
        <v>0</v>
      </c>
      <c r="H52" s="310"/>
      <c r="I52" s="310"/>
      <c r="J52" s="300"/>
      <c r="K52" s="4">
        <f t="shared" si="7"/>
        <v>0</v>
      </c>
      <c r="L52" s="310"/>
      <c r="M52" s="310"/>
      <c r="O52" s="4">
        <f t="shared" si="6"/>
        <v>0</v>
      </c>
      <c r="P52" s="310"/>
      <c r="Q52" s="310"/>
      <c r="S52" s="4">
        <f t="shared" si="5"/>
        <v>0</v>
      </c>
      <c r="T52" s="310"/>
      <c r="U52" s="310"/>
      <c r="W52" s="4">
        <f t="shared" si="1"/>
        <v>0</v>
      </c>
      <c r="X52" s="310"/>
      <c r="Y52" s="310"/>
      <c r="AA52" s="4">
        <f t="shared" si="2"/>
        <v>0</v>
      </c>
      <c r="AB52" s="310"/>
      <c r="AC52" s="310"/>
      <c r="AE52" s="4">
        <f t="shared" si="3"/>
        <v>0</v>
      </c>
      <c r="AF52" s="310"/>
      <c r="AG52" s="310"/>
      <c r="AI52" s="4">
        <f t="shared" si="4"/>
        <v>0</v>
      </c>
    </row>
    <row r="53" spans="1:35" ht="15.75" customHeight="1" x14ac:dyDescent="0.25">
      <c r="A53" s="277"/>
      <c r="B53" s="278" t="s">
        <v>386</v>
      </c>
      <c r="C53" s="279">
        <v>0.69</v>
      </c>
      <c r="D53" s="310"/>
      <c r="E53" s="310"/>
      <c r="F53" s="4"/>
      <c r="G53" s="4">
        <f t="shared" si="0"/>
        <v>0</v>
      </c>
      <c r="H53" s="310"/>
      <c r="I53" s="310"/>
      <c r="J53" s="300"/>
      <c r="K53" s="4">
        <f t="shared" si="7"/>
        <v>0</v>
      </c>
      <c r="L53" s="310"/>
      <c r="M53" s="310"/>
      <c r="O53" s="4">
        <f t="shared" si="6"/>
        <v>0</v>
      </c>
      <c r="P53" s="310"/>
      <c r="Q53" s="310"/>
      <c r="S53" s="4">
        <f t="shared" si="5"/>
        <v>0</v>
      </c>
      <c r="T53" s="310"/>
      <c r="U53" s="310"/>
      <c r="W53" s="4">
        <f t="shared" si="1"/>
        <v>0</v>
      </c>
      <c r="X53" s="310"/>
      <c r="Y53" s="310"/>
      <c r="AA53" s="4">
        <f t="shared" si="2"/>
        <v>0</v>
      </c>
      <c r="AB53" s="310"/>
      <c r="AC53" s="310"/>
      <c r="AE53" s="4">
        <f t="shared" si="3"/>
        <v>0</v>
      </c>
      <c r="AF53" s="310"/>
      <c r="AG53" s="310"/>
      <c r="AI53" s="4">
        <f t="shared" si="4"/>
        <v>0</v>
      </c>
    </row>
    <row r="54" spans="1:35" ht="15.75" customHeight="1" x14ac:dyDescent="0.25">
      <c r="A54" s="277"/>
      <c r="B54" s="278" t="s">
        <v>387</v>
      </c>
      <c r="C54" s="279">
        <v>0.78</v>
      </c>
      <c r="D54" s="310"/>
      <c r="E54" s="310"/>
      <c r="F54" s="4"/>
      <c r="G54" s="4">
        <f t="shared" si="0"/>
        <v>0</v>
      </c>
      <c r="H54" s="310"/>
      <c r="I54" s="310"/>
      <c r="J54" s="300"/>
      <c r="K54" s="4">
        <f t="shared" si="7"/>
        <v>0</v>
      </c>
      <c r="L54" s="310"/>
      <c r="M54" s="310"/>
      <c r="O54" s="4">
        <f t="shared" si="6"/>
        <v>0</v>
      </c>
      <c r="P54" s="310"/>
      <c r="Q54" s="310"/>
      <c r="S54" s="4">
        <f t="shared" si="5"/>
        <v>0</v>
      </c>
      <c r="T54" s="310"/>
      <c r="U54" s="310"/>
      <c r="W54" s="4">
        <f t="shared" si="1"/>
        <v>0</v>
      </c>
      <c r="X54" s="310"/>
      <c r="Y54" s="310"/>
      <c r="AA54" s="4">
        <f t="shared" si="2"/>
        <v>0</v>
      </c>
      <c r="AB54" s="310"/>
      <c r="AC54" s="310"/>
      <c r="AE54" s="4">
        <f t="shared" si="3"/>
        <v>0</v>
      </c>
      <c r="AF54" s="310"/>
      <c r="AG54" s="310"/>
      <c r="AI54" s="4">
        <f t="shared" si="4"/>
        <v>0</v>
      </c>
    </row>
    <row r="55" spans="1:35" ht="15.75" customHeight="1" x14ac:dyDescent="0.25">
      <c r="A55" s="277"/>
      <c r="B55" s="278" t="s">
        <v>593</v>
      </c>
      <c r="C55" s="279">
        <v>0.5</v>
      </c>
      <c r="D55" s="310"/>
      <c r="E55" s="310"/>
      <c r="F55" s="4"/>
      <c r="G55" s="4"/>
      <c r="H55" s="310"/>
      <c r="I55" s="310"/>
      <c r="J55" s="300"/>
      <c r="K55" s="4"/>
      <c r="L55" s="310"/>
      <c r="M55" s="310"/>
      <c r="O55" s="4">
        <f t="shared" si="6"/>
        <v>0</v>
      </c>
      <c r="P55" s="310"/>
      <c r="Q55" s="310"/>
      <c r="S55" s="4"/>
      <c r="T55" s="310"/>
      <c r="U55" s="310"/>
      <c r="W55" s="4"/>
      <c r="X55" s="310"/>
      <c r="Y55" s="310"/>
      <c r="AA55" s="4"/>
      <c r="AB55" s="310"/>
      <c r="AC55" s="310"/>
      <c r="AE55" s="4"/>
      <c r="AF55" s="310"/>
      <c r="AG55" s="310"/>
      <c r="AI55" s="4"/>
    </row>
    <row r="56" spans="1:35" ht="15.75" customHeight="1" x14ac:dyDescent="0.25">
      <c r="A56" s="277"/>
      <c r="B56" s="278" t="s">
        <v>589</v>
      </c>
      <c r="C56" s="279">
        <v>0.52</v>
      </c>
      <c r="D56" s="310"/>
      <c r="E56" s="310"/>
      <c r="F56" s="4"/>
      <c r="G56" s="4">
        <f t="shared" si="0"/>
        <v>0</v>
      </c>
      <c r="H56" s="310"/>
      <c r="I56" s="310"/>
      <c r="J56" s="300"/>
      <c r="K56" s="4">
        <f t="shared" ref="K56:K87" si="8">$C56*H56/100</f>
        <v>0</v>
      </c>
      <c r="L56" s="310"/>
      <c r="M56" s="310"/>
      <c r="O56" s="4">
        <f t="shared" si="6"/>
        <v>0</v>
      </c>
      <c r="P56" s="310"/>
      <c r="Q56" s="310"/>
      <c r="S56" s="4">
        <f t="shared" si="5"/>
        <v>0</v>
      </c>
      <c r="T56" s="310"/>
      <c r="U56" s="310"/>
      <c r="W56" s="4">
        <f t="shared" si="1"/>
        <v>0</v>
      </c>
      <c r="X56" s="310"/>
      <c r="Y56" s="310"/>
      <c r="AA56" s="4">
        <f t="shared" si="2"/>
        <v>0</v>
      </c>
      <c r="AB56" s="310"/>
      <c r="AC56" s="310"/>
      <c r="AE56" s="4">
        <f t="shared" si="3"/>
        <v>0</v>
      </c>
      <c r="AF56" s="310"/>
      <c r="AG56" s="310"/>
      <c r="AI56" s="4">
        <f t="shared" si="4"/>
        <v>0</v>
      </c>
    </row>
    <row r="57" spans="1:35" ht="15.75" customHeight="1" x14ac:dyDescent="0.25">
      <c r="A57" s="277"/>
      <c r="B57" s="278" t="s">
        <v>590</v>
      </c>
      <c r="C57" s="279">
        <v>0.52</v>
      </c>
      <c r="D57" s="310"/>
      <c r="E57" s="310"/>
      <c r="F57" s="4"/>
      <c r="G57" s="4">
        <f t="shared" si="0"/>
        <v>0</v>
      </c>
      <c r="H57" s="310"/>
      <c r="I57" s="310"/>
      <c r="J57" s="300"/>
      <c r="K57" s="4">
        <f t="shared" si="8"/>
        <v>0</v>
      </c>
      <c r="L57" s="310"/>
      <c r="M57" s="310"/>
      <c r="O57" s="4">
        <f t="shared" si="6"/>
        <v>0</v>
      </c>
      <c r="P57" s="310"/>
      <c r="Q57" s="310"/>
      <c r="S57" s="4">
        <f t="shared" si="5"/>
        <v>0</v>
      </c>
      <c r="T57" s="310"/>
      <c r="U57" s="310"/>
      <c r="W57" s="4">
        <f t="shared" si="1"/>
        <v>0</v>
      </c>
      <c r="X57" s="310"/>
      <c r="Y57" s="310"/>
      <c r="AA57" s="4">
        <f t="shared" si="2"/>
        <v>0</v>
      </c>
      <c r="AB57" s="310"/>
      <c r="AC57" s="310"/>
      <c r="AE57" s="4">
        <f t="shared" si="3"/>
        <v>0</v>
      </c>
      <c r="AF57" s="310"/>
      <c r="AG57" s="310"/>
      <c r="AI57" s="4">
        <f t="shared" si="4"/>
        <v>0</v>
      </c>
    </row>
    <row r="58" spans="1:35" ht="15.75" customHeight="1" x14ac:dyDescent="0.25">
      <c r="A58" s="277"/>
      <c r="B58" s="278" t="s">
        <v>591</v>
      </c>
      <c r="C58" s="279">
        <v>0.62</v>
      </c>
      <c r="D58" s="310"/>
      <c r="E58" s="310"/>
      <c r="F58" s="4"/>
      <c r="G58" s="4">
        <f t="shared" si="0"/>
        <v>0</v>
      </c>
      <c r="H58" s="310"/>
      <c r="I58" s="310"/>
      <c r="J58" s="300"/>
      <c r="K58" s="4">
        <f t="shared" si="8"/>
        <v>0</v>
      </c>
      <c r="L58" s="310"/>
      <c r="M58" s="310"/>
      <c r="O58" s="4">
        <f t="shared" si="6"/>
        <v>0</v>
      </c>
      <c r="P58" s="310"/>
      <c r="Q58" s="310"/>
      <c r="S58" s="4">
        <f t="shared" si="5"/>
        <v>0</v>
      </c>
      <c r="T58" s="310"/>
      <c r="U58" s="310"/>
      <c r="W58" s="4">
        <f t="shared" si="1"/>
        <v>0</v>
      </c>
      <c r="X58" s="310"/>
      <c r="Y58" s="310"/>
      <c r="AA58" s="4">
        <f t="shared" si="2"/>
        <v>0</v>
      </c>
      <c r="AB58" s="310"/>
      <c r="AC58" s="310"/>
      <c r="AE58" s="4">
        <f t="shared" si="3"/>
        <v>0</v>
      </c>
      <c r="AF58" s="310"/>
      <c r="AG58" s="310"/>
      <c r="AI58" s="4">
        <f t="shared" si="4"/>
        <v>0</v>
      </c>
    </row>
    <row r="59" spans="1:35" ht="15.75" customHeight="1" x14ac:dyDescent="0.25">
      <c r="A59" s="277"/>
      <c r="B59" s="278" t="s">
        <v>592</v>
      </c>
      <c r="C59" s="279">
        <v>1.08</v>
      </c>
      <c r="D59" s="310"/>
      <c r="E59" s="310"/>
      <c r="F59" s="4"/>
      <c r="G59" s="4">
        <f t="shared" si="0"/>
        <v>0</v>
      </c>
      <c r="H59" s="310"/>
      <c r="I59" s="310"/>
      <c r="J59" s="300"/>
      <c r="K59" s="4">
        <f t="shared" si="8"/>
        <v>0</v>
      </c>
      <c r="L59" s="310"/>
      <c r="M59" s="310"/>
      <c r="O59" s="4">
        <f t="shared" si="6"/>
        <v>0</v>
      </c>
      <c r="P59" s="310"/>
      <c r="Q59" s="310"/>
      <c r="S59" s="4">
        <f t="shared" si="5"/>
        <v>0</v>
      </c>
      <c r="T59" s="310"/>
      <c r="U59" s="310"/>
      <c r="W59" s="4">
        <f t="shared" si="1"/>
        <v>0</v>
      </c>
      <c r="X59" s="310"/>
      <c r="Y59" s="310"/>
      <c r="AA59" s="4">
        <f t="shared" si="2"/>
        <v>0</v>
      </c>
      <c r="AB59" s="310"/>
      <c r="AC59" s="310"/>
      <c r="AE59" s="4">
        <f t="shared" si="3"/>
        <v>0</v>
      </c>
      <c r="AF59" s="310"/>
      <c r="AG59" s="310"/>
      <c r="AI59" s="4">
        <f t="shared" si="4"/>
        <v>0</v>
      </c>
    </row>
    <row r="60" spans="1:35" ht="15.75" x14ac:dyDescent="0.25">
      <c r="A60" s="4">
        <v>7</v>
      </c>
      <c r="B60" s="280" t="s">
        <v>294</v>
      </c>
      <c r="C60" s="279"/>
      <c r="D60" s="310"/>
      <c r="E60" s="310"/>
      <c r="F60" s="4"/>
      <c r="G60" s="4">
        <f t="shared" si="0"/>
        <v>0</v>
      </c>
      <c r="H60" s="310"/>
      <c r="I60" s="310"/>
      <c r="J60" s="300"/>
      <c r="K60" s="4">
        <f t="shared" si="8"/>
        <v>0</v>
      </c>
      <c r="L60" s="310"/>
      <c r="M60" s="310"/>
      <c r="O60" s="4">
        <f t="shared" si="6"/>
        <v>0</v>
      </c>
      <c r="P60" s="310"/>
      <c r="Q60" s="310"/>
      <c r="S60" s="4">
        <f t="shared" si="5"/>
        <v>0</v>
      </c>
      <c r="T60" s="310"/>
      <c r="U60" s="310"/>
      <c r="W60" s="4">
        <f t="shared" si="1"/>
        <v>0</v>
      </c>
      <c r="X60" s="310"/>
      <c r="Y60" s="310"/>
      <c r="AA60" s="4">
        <f t="shared" si="2"/>
        <v>0</v>
      </c>
      <c r="AB60" s="310"/>
      <c r="AC60" s="310"/>
      <c r="AE60" s="4">
        <f t="shared" si="3"/>
        <v>0</v>
      </c>
      <c r="AF60" s="310"/>
      <c r="AG60" s="310"/>
      <c r="AI60" s="4">
        <f t="shared" si="4"/>
        <v>0</v>
      </c>
    </row>
    <row r="61" spans="1:35" ht="15.75" x14ac:dyDescent="0.25">
      <c r="A61" s="277"/>
      <c r="B61" s="278" t="s">
        <v>401</v>
      </c>
      <c r="C61" s="279">
        <v>0.27</v>
      </c>
      <c r="D61" s="309">
        <f>MAX(C61:C75)</f>
        <v>4.18</v>
      </c>
      <c r="E61" s="310">
        <f>MIN(C61:C75)</f>
        <v>0.27</v>
      </c>
      <c r="F61" s="4"/>
      <c r="G61" s="4">
        <f t="shared" si="0"/>
        <v>0</v>
      </c>
      <c r="H61" s="309">
        <f>MAX(C61:C75)</f>
        <v>4.18</v>
      </c>
      <c r="I61" s="310">
        <f>MIN(C61:C75)</f>
        <v>0.27</v>
      </c>
      <c r="J61" s="300"/>
      <c r="K61" s="4">
        <f t="shared" si="8"/>
        <v>1.1286000000000001E-2</v>
      </c>
      <c r="L61" s="309">
        <v>4.18</v>
      </c>
      <c r="M61" s="310">
        <v>0.27</v>
      </c>
      <c r="O61" s="4">
        <f t="shared" si="6"/>
        <v>0</v>
      </c>
      <c r="P61" s="309">
        <v>4.18</v>
      </c>
      <c r="Q61" s="310">
        <v>0.27</v>
      </c>
      <c r="S61" s="4">
        <f t="shared" si="5"/>
        <v>1.1286000000000001E-2</v>
      </c>
      <c r="T61" s="309">
        <v>4.18</v>
      </c>
      <c r="U61" s="310">
        <v>0.27</v>
      </c>
      <c r="W61" s="4">
        <f t="shared" si="1"/>
        <v>0</v>
      </c>
      <c r="X61" s="309">
        <v>4.18</v>
      </c>
      <c r="Y61" s="310">
        <v>0.27</v>
      </c>
      <c r="AA61" s="4">
        <f t="shared" si="2"/>
        <v>0</v>
      </c>
      <c r="AB61" s="309">
        <v>4.18</v>
      </c>
      <c r="AC61" s="310">
        <v>0.27</v>
      </c>
      <c r="AE61" s="4">
        <f t="shared" si="3"/>
        <v>0</v>
      </c>
      <c r="AF61" s="309">
        <f>MAX(C61:C75)</f>
        <v>4.18</v>
      </c>
      <c r="AG61" s="310">
        <f>MIN(C61:C75)</f>
        <v>0.27</v>
      </c>
      <c r="AI61" s="4">
        <f t="shared" si="4"/>
        <v>0</v>
      </c>
    </row>
    <row r="62" spans="1:35" ht="33.75" customHeight="1" x14ac:dyDescent="0.25">
      <c r="A62" s="277"/>
      <c r="B62" s="278" t="s">
        <v>397</v>
      </c>
      <c r="C62" s="279">
        <v>0.56999999999999995</v>
      </c>
      <c r="D62" s="310"/>
      <c r="E62" s="310"/>
      <c r="F62" s="4"/>
      <c r="G62" s="4">
        <f t="shared" si="0"/>
        <v>0</v>
      </c>
      <c r="H62" s="310"/>
      <c r="I62" s="310"/>
      <c r="J62" s="300"/>
      <c r="K62" s="4">
        <f t="shared" si="8"/>
        <v>0</v>
      </c>
      <c r="L62" s="310"/>
      <c r="M62" s="310"/>
      <c r="O62" s="4">
        <f t="shared" si="6"/>
        <v>0</v>
      </c>
      <c r="P62" s="310"/>
      <c r="Q62" s="310"/>
      <c r="S62" s="4">
        <f t="shared" si="5"/>
        <v>0</v>
      </c>
      <c r="T62" s="310"/>
      <c r="U62" s="310"/>
      <c r="W62" s="4">
        <f t="shared" si="1"/>
        <v>0</v>
      </c>
      <c r="X62" s="310"/>
      <c r="Y62" s="310"/>
      <c r="AA62" s="4">
        <f t="shared" si="2"/>
        <v>0</v>
      </c>
      <c r="AB62" s="310"/>
      <c r="AC62" s="310"/>
      <c r="AE62" s="4">
        <f t="shared" si="3"/>
        <v>0</v>
      </c>
      <c r="AF62" s="310"/>
      <c r="AG62" s="310"/>
      <c r="AI62" s="4">
        <f t="shared" si="4"/>
        <v>0</v>
      </c>
    </row>
    <row r="63" spans="1:35" ht="36" customHeight="1" x14ac:dyDescent="0.25">
      <c r="A63" s="277"/>
      <c r="B63" s="278" t="s">
        <v>398</v>
      </c>
      <c r="C63" s="279">
        <v>0.81</v>
      </c>
      <c r="D63" s="310"/>
      <c r="E63" s="310"/>
      <c r="F63" s="4"/>
      <c r="G63" s="4">
        <f t="shared" si="0"/>
        <v>0</v>
      </c>
      <c r="H63" s="310"/>
      <c r="I63" s="310"/>
      <c r="J63" s="300"/>
      <c r="K63" s="4">
        <f t="shared" si="8"/>
        <v>0</v>
      </c>
      <c r="L63" s="310"/>
      <c r="M63" s="310"/>
      <c r="O63" s="4">
        <f t="shared" si="6"/>
        <v>0</v>
      </c>
      <c r="P63" s="310"/>
      <c r="Q63" s="310"/>
      <c r="S63" s="4">
        <f t="shared" si="5"/>
        <v>0</v>
      </c>
      <c r="T63" s="310"/>
      <c r="U63" s="310"/>
      <c r="W63" s="4">
        <f t="shared" si="1"/>
        <v>0</v>
      </c>
      <c r="X63" s="310"/>
      <c r="Y63" s="310"/>
      <c r="AA63" s="4">
        <f t="shared" si="2"/>
        <v>0</v>
      </c>
      <c r="AB63" s="310"/>
      <c r="AC63" s="310"/>
      <c r="AE63" s="4">
        <f t="shared" si="3"/>
        <v>0</v>
      </c>
      <c r="AF63" s="310"/>
      <c r="AG63" s="310"/>
      <c r="AI63" s="4">
        <f t="shared" si="4"/>
        <v>0</v>
      </c>
    </row>
    <row r="64" spans="1:35" ht="36" customHeight="1" x14ac:dyDescent="0.25">
      <c r="A64" s="277"/>
      <c r="B64" s="278" t="s">
        <v>399</v>
      </c>
      <c r="C64" s="279">
        <v>0.95</v>
      </c>
      <c r="D64" s="310"/>
      <c r="E64" s="310"/>
      <c r="F64" s="4"/>
      <c r="G64" s="4">
        <f t="shared" si="0"/>
        <v>0</v>
      </c>
      <c r="H64" s="310"/>
      <c r="I64" s="310"/>
      <c r="J64" s="300"/>
      <c r="K64" s="4">
        <f t="shared" si="8"/>
        <v>0</v>
      </c>
      <c r="L64" s="310"/>
      <c r="M64" s="310"/>
      <c r="O64" s="4">
        <f t="shared" si="6"/>
        <v>0</v>
      </c>
      <c r="P64" s="310"/>
      <c r="Q64" s="310"/>
      <c r="S64" s="4">
        <f t="shared" si="5"/>
        <v>0</v>
      </c>
      <c r="T64" s="310"/>
      <c r="U64" s="310"/>
      <c r="W64" s="4">
        <f t="shared" si="1"/>
        <v>0</v>
      </c>
      <c r="X64" s="310"/>
      <c r="Y64" s="310"/>
      <c r="AA64" s="4">
        <f t="shared" si="2"/>
        <v>0</v>
      </c>
      <c r="AB64" s="310"/>
      <c r="AC64" s="310"/>
      <c r="AE64" s="4">
        <f t="shared" si="3"/>
        <v>0</v>
      </c>
      <c r="AF64" s="310"/>
      <c r="AG64" s="310"/>
      <c r="AI64" s="4">
        <f t="shared" si="4"/>
        <v>0</v>
      </c>
    </row>
    <row r="65" spans="1:35" ht="36" customHeight="1" x14ac:dyDescent="0.25">
      <c r="A65" s="277"/>
      <c r="B65" s="278" t="s">
        <v>400</v>
      </c>
      <c r="C65" s="279">
        <v>1.08</v>
      </c>
      <c r="D65" s="310"/>
      <c r="E65" s="310"/>
      <c r="F65" s="4"/>
      <c r="G65" s="4">
        <f t="shared" si="0"/>
        <v>0</v>
      </c>
      <c r="H65" s="310"/>
      <c r="I65" s="310"/>
      <c r="J65" s="300"/>
      <c r="K65" s="4">
        <f t="shared" si="8"/>
        <v>0</v>
      </c>
      <c r="L65" s="310"/>
      <c r="M65" s="310"/>
      <c r="O65" s="4">
        <f t="shared" si="6"/>
        <v>0</v>
      </c>
      <c r="P65" s="310"/>
      <c r="Q65" s="310"/>
      <c r="S65" s="4">
        <f t="shared" si="5"/>
        <v>0</v>
      </c>
      <c r="T65" s="310"/>
      <c r="U65" s="310"/>
      <c r="W65" s="4">
        <f t="shared" si="1"/>
        <v>0</v>
      </c>
      <c r="X65" s="310"/>
      <c r="Y65" s="310"/>
      <c r="AA65" s="4">
        <f t="shared" si="2"/>
        <v>0</v>
      </c>
      <c r="AB65" s="310"/>
      <c r="AC65" s="310"/>
      <c r="AE65" s="4">
        <f t="shared" si="3"/>
        <v>0</v>
      </c>
      <c r="AF65" s="310"/>
      <c r="AG65" s="310"/>
      <c r="AI65" s="4">
        <f t="shared" si="4"/>
        <v>0</v>
      </c>
    </row>
    <row r="66" spans="1:35" ht="36" customHeight="1" x14ac:dyDescent="0.25">
      <c r="A66" s="277"/>
      <c r="B66" s="278" t="s">
        <v>483</v>
      </c>
      <c r="C66" s="279">
        <v>1.69</v>
      </c>
      <c r="D66" s="310"/>
      <c r="E66" s="310"/>
      <c r="F66" s="4"/>
      <c r="G66" s="4">
        <f t="shared" si="0"/>
        <v>0</v>
      </c>
      <c r="H66" s="310"/>
      <c r="I66" s="310"/>
      <c r="J66" s="300"/>
      <c r="K66" s="4">
        <f t="shared" si="8"/>
        <v>0</v>
      </c>
      <c r="L66" s="310"/>
      <c r="M66" s="310"/>
      <c r="O66" s="4">
        <f t="shared" si="6"/>
        <v>0</v>
      </c>
      <c r="P66" s="310"/>
      <c r="Q66" s="310"/>
      <c r="S66" s="4">
        <f t="shared" si="5"/>
        <v>0</v>
      </c>
      <c r="T66" s="310"/>
      <c r="U66" s="310"/>
      <c r="W66" s="4">
        <f t="shared" si="1"/>
        <v>0</v>
      </c>
      <c r="X66" s="310"/>
      <c r="Y66" s="310"/>
      <c r="AA66" s="4">
        <f t="shared" si="2"/>
        <v>0</v>
      </c>
      <c r="AB66" s="310"/>
      <c r="AC66" s="310"/>
      <c r="AE66" s="4">
        <f t="shared" si="3"/>
        <v>0</v>
      </c>
      <c r="AF66" s="310"/>
      <c r="AG66" s="310"/>
      <c r="AI66" s="4">
        <f t="shared" si="4"/>
        <v>0</v>
      </c>
    </row>
    <row r="67" spans="1:35" ht="36" customHeight="1" x14ac:dyDescent="0.25">
      <c r="A67" s="277"/>
      <c r="B67" s="278" t="s">
        <v>594</v>
      </c>
      <c r="C67" s="279">
        <v>1.78</v>
      </c>
      <c r="D67" s="310"/>
      <c r="E67" s="310"/>
      <c r="F67" s="4"/>
      <c r="G67" s="4">
        <f t="shared" si="0"/>
        <v>0</v>
      </c>
      <c r="H67" s="310"/>
      <c r="I67" s="310"/>
      <c r="J67" s="300"/>
      <c r="K67" s="4">
        <f t="shared" si="8"/>
        <v>0</v>
      </c>
      <c r="L67" s="310"/>
      <c r="M67" s="310"/>
      <c r="O67" s="4">
        <f t="shared" si="6"/>
        <v>0</v>
      </c>
      <c r="P67" s="310"/>
      <c r="Q67" s="310"/>
      <c r="S67" s="4">
        <f t="shared" si="5"/>
        <v>0</v>
      </c>
      <c r="T67" s="310"/>
      <c r="U67" s="310"/>
      <c r="W67" s="4">
        <f t="shared" si="1"/>
        <v>0</v>
      </c>
      <c r="X67" s="310"/>
      <c r="Y67" s="310"/>
      <c r="AA67" s="4">
        <f t="shared" si="2"/>
        <v>0</v>
      </c>
      <c r="AB67" s="310"/>
      <c r="AC67" s="310"/>
      <c r="AE67" s="4">
        <f t="shared" si="3"/>
        <v>0</v>
      </c>
      <c r="AF67" s="310"/>
      <c r="AG67" s="310"/>
      <c r="AI67" s="4">
        <f t="shared" si="4"/>
        <v>0</v>
      </c>
    </row>
    <row r="68" spans="1:35" ht="36" customHeight="1" x14ac:dyDescent="0.25">
      <c r="A68" s="277"/>
      <c r="B68" s="278" t="s">
        <v>595</v>
      </c>
      <c r="C68" s="279">
        <v>2.14</v>
      </c>
      <c r="D68" s="310"/>
      <c r="E68" s="310"/>
      <c r="F68" s="4"/>
      <c r="G68" s="4">
        <f t="shared" si="0"/>
        <v>0</v>
      </c>
      <c r="H68" s="310"/>
      <c r="I68" s="310"/>
      <c r="J68" s="300"/>
      <c r="K68" s="4">
        <f t="shared" si="8"/>
        <v>0</v>
      </c>
      <c r="L68" s="310"/>
      <c r="M68" s="310"/>
      <c r="O68" s="4">
        <f t="shared" si="6"/>
        <v>0</v>
      </c>
      <c r="P68" s="310"/>
      <c r="Q68" s="310"/>
      <c r="S68" s="4">
        <f t="shared" si="5"/>
        <v>0</v>
      </c>
      <c r="T68" s="310"/>
      <c r="U68" s="310"/>
      <c r="W68" s="4">
        <f t="shared" si="1"/>
        <v>0</v>
      </c>
      <c r="X68" s="310"/>
      <c r="Y68" s="310"/>
      <c r="AA68" s="4">
        <f t="shared" si="2"/>
        <v>0</v>
      </c>
      <c r="AB68" s="310"/>
      <c r="AC68" s="310"/>
      <c r="AE68" s="4">
        <f t="shared" si="3"/>
        <v>0</v>
      </c>
      <c r="AF68" s="310"/>
      <c r="AG68" s="310"/>
      <c r="AI68" s="4">
        <f t="shared" si="4"/>
        <v>0</v>
      </c>
    </row>
    <row r="69" spans="1:35" ht="36" customHeight="1" x14ac:dyDescent="0.25">
      <c r="A69" s="277"/>
      <c r="B69" s="278" t="s">
        <v>596</v>
      </c>
      <c r="C69" s="279">
        <v>2.4900000000000002</v>
      </c>
      <c r="D69" s="310"/>
      <c r="E69" s="310"/>
      <c r="F69" s="4"/>
      <c r="G69" s="4">
        <f t="shared" si="0"/>
        <v>0</v>
      </c>
      <c r="H69" s="310"/>
      <c r="I69" s="310"/>
      <c r="J69" s="300"/>
      <c r="K69" s="4">
        <f t="shared" si="8"/>
        <v>0</v>
      </c>
      <c r="L69" s="310"/>
      <c r="M69" s="310"/>
      <c r="O69" s="4">
        <f t="shared" si="6"/>
        <v>0</v>
      </c>
      <c r="P69" s="310"/>
      <c r="Q69" s="310"/>
      <c r="S69" s="4">
        <f t="shared" si="5"/>
        <v>0</v>
      </c>
      <c r="T69" s="310"/>
      <c r="U69" s="310"/>
      <c r="W69" s="4">
        <f t="shared" si="1"/>
        <v>0</v>
      </c>
      <c r="X69" s="310"/>
      <c r="Y69" s="310"/>
      <c r="AA69" s="4">
        <f t="shared" si="2"/>
        <v>0</v>
      </c>
      <c r="AB69" s="310"/>
      <c r="AC69" s="310"/>
      <c r="AE69" s="4">
        <f t="shared" si="3"/>
        <v>0</v>
      </c>
      <c r="AF69" s="310"/>
      <c r="AG69" s="310"/>
      <c r="AI69" s="4">
        <f t="shared" si="4"/>
        <v>0</v>
      </c>
    </row>
    <row r="70" spans="1:35" ht="36" customHeight="1" x14ac:dyDescent="0.25">
      <c r="A70" s="277"/>
      <c r="B70" s="278" t="s">
        <v>597</v>
      </c>
      <c r="C70" s="279">
        <v>3.52</v>
      </c>
      <c r="D70" s="310"/>
      <c r="E70" s="310"/>
      <c r="F70" s="4"/>
      <c r="G70" s="4">
        <f t="shared" si="0"/>
        <v>0</v>
      </c>
      <c r="H70" s="310"/>
      <c r="I70" s="310"/>
      <c r="J70" s="300"/>
      <c r="K70" s="4">
        <f t="shared" si="8"/>
        <v>0</v>
      </c>
      <c r="L70" s="310"/>
      <c r="M70" s="310"/>
      <c r="O70" s="4">
        <f t="shared" si="6"/>
        <v>0</v>
      </c>
      <c r="P70" s="310"/>
      <c r="Q70" s="310"/>
      <c r="S70" s="4">
        <f t="shared" si="5"/>
        <v>0</v>
      </c>
      <c r="T70" s="310"/>
      <c r="U70" s="310"/>
      <c r="W70" s="4">
        <f t="shared" si="1"/>
        <v>0</v>
      </c>
      <c r="X70" s="310"/>
      <c r="Y70" s="310"/>
      <c r="AA70" s="4">
        <f t="shared" si="2"/>
        <v>0</v>
      </c>
      <c r="AB70" s="310"/>
      <c r="AC70" s="310"/>
      <c r="AE70" s="4">
        <f t="shared" si="3"/>
        <v>0</v>
      </c>
      <c r="AF70" s="310"/>
      <c r="AG70" s="310"/>
      <c r="AI70" s="4">
        <f t="shared" si="4"/>
        <v>0</v>
      </c>
    </row>
    <row r="71" spans="1:35" ht="36" customHeight="1" x14ac:dyDescent="0.25">
      <c r="A71" s="277"/>
      <c r="B71" s="278" t="s">
        <v>598</v>
      </c>
      <c r="C71" s="279">
        <v>4.18</v>
      </c>
      <c r="D71" s="310"/>
      <c r="E71" s="310"/>
      <c r="F71" s="4"/>
      <c r="G71" s="4">
        <f t="shared" si="0"/>
        <v>0</v>
      </c>
      <c r="H71" s="310"/>
      <c r="I71" s="310"/>
      <c r="J71" s="300"/>
      <c r="K71" s="4">
        <f t="shared" si="8"/>
        <v>0</v>
      </c>
      <c r="L71" s="310"/>
      <c r="M71" s="310"/>
      <c r="O71" s="4">
        <f t="shared" si="6"/>
        <v>0</v>
      </c>
      <c r="P71" s="310"/>
      <c r="Q71" s="310"/>
      <c r="S71" s="4">
        <f t="shared" si="5"/>
        <v>0</v>
      </c>
      <c r="T71" s="310"/>
      <c r="U71" s="310"/>
      <c r="W71" s="4">
        <f t="shared" si="1"/>
        <v>0</v>
      </c>
      <c r="X71" s="310"/>
      <c r="Y71" s="310"/>
      <c r="AA71" s="4">
        <f t="shared" si="2"/>
        <v>0</v>
      </c>
      <c r="AB71" s="310"/>
      <c r="AC71" s="310"/>
      <c r="AE71" s="4">
        <f t="shared" si="3"/>
        <v>0</v>
      </c>
      <c r="AF71" s="310"/>
      <c r="AG71" s="310"/>
      <c r="AI71" s="4">
        <f t="shared" si="4"/>
        <v>0</v>
      </c>
    </row>
    <row r="72" spans="1:35" ht="36" customHeight="1" x14ac:dyDescent="0.25">
      <c r="A72" s="277"/>
      <c r="B72" s="278" t="s">
        <v>599</v>
      </c>
      <c r="C72" s="279">
        <v>2.84</v>
      </c>
      <c r="D72" s="310"/>
      <c r="E72" s="310"/>
      <c r="F72" s="4"/>
      <c r="G72" s="4">
        <f t="shared" si="0"/>
        <v>0</v>
      </c>
      <c r="H72" s="310"/>
      <c r="I72" s="310"/>
      <c r="J72" s="300"/>
      <c r="K72" s="4">
        <f t="shared" si="8"/>
        <v>0</v>
      </c>
      <c r="L72" s="310"/>
      <c r="M72" s="310"/>
      <c r="O72" s="4">
        <f t="shared" si="6"/>
        <v>0</v>
      </c>
      <c r="P72" s="310"/>
      <c r="Q72" s="310"/>
      <c r="S72" s="4">
        <f t="shared" si="5"/>
        <v>0</v>
      </c>
      <c r="T72" s="310"/>
      <c r="U72" s="310"/>
      <c r="W72" s="4">
        <f t="shared" si="1"/>
        <v>0</v>
      </c>
      <c r="X72" s="310"/>
      <c r="Y72" s="310"/>
      <c r="AA72" s="4">
        <f t="shared" si="2"/>
        <v>0</v>
      </c>
      <c r="AB72" s="310"/>
      <c r="AC72" s="310"/>
      <c r="AE72" s="4">
        <f t="shared" si="3"/>
        <v>0</v>
      </c>
      <c r="AF72" s="310"/>
      <c r="AG72" s="310"/>
      <c r="AI72" s="4">
        <f t="shared" si="4"/>
        <v>0</v>
      </c>
    </row>
    <row r="73" spans="1:35" ht="36" customHeight="1" x14ac:dyDescent="0.25">
      <c r="A73" s="277"/>
      <c r="B73" s="278" t="s">
        <v>600</v>
      </c>
      <c r="C73" s="279">
        <v>2.84</v>
      </c>
      <c r="D73" s="310"/>
      <c r="E73" s="310"/>
      <c r="F73" s="4"/>
      <c r="G73" s="4">
        <f t="shared" si="0"/>
        <v>0</v>
      </c>
      <c r="H73" s="310"/>
      <c r="I73" s="310"/>
      <c r="J73" s="300"/>
      <c r="K73" s="4">
        <f t="shared" si="8"/>
        <v>0</v>
      </c>
      <c r="L73" s="310"/>
      <c r="M73" s="310"/>
      <c r="O73" s="4">
        <f t="shared" si="6"/>
        <v>0</v>
      </c>
      <c r="P73" s="310"/>
      <c r="Q73" s="310"/>
      <c r="S73" s="4">
        <f t="shared" si="5"/>
        <v>0</v>
      </c>
      <c r="T73" s="310"/>
      <c r="U73" s="310"/>
      <c r="W73" s="4">
        <f t="shared" si="1"/>
        <v>0</v>
      </c>
      <c r="X73" s="310"/>
      <c r="Y73" s="310"/>
      <c r="AA73" s="4">
        <f t="shared" si="2"/>
        <v>0</v>
      </c>
      <c r="AB73" s="310"/>
      <c r="AC73" s="310"/>
      <c r="AE73" s="4">
        <f t="shared" si="3"/>
        <v>0</v>
      </c>
      <c r="AF73" s="310"/>
      <c r="AG73" s="310"/>
      <c r="AI73" s="4">
        <f t="shared" si="4"/>
        <v>0</v>
      </c>
    </row>
    <row r="74" spans="1:35" ht="36" customHeight="1" x14ac:dyDescent="0.25">
      <c r="A74" s="277"/>
      <c r="B74" s="278" t="s">
        <v>601</v>
      </c>
      <c r="C74" s="279">
        <v>1.81</v>
      </c>
      <c r="D74" s="310"/>
      <c r="E74" s="310"/>
      <c r="F74" s="4"/>
      <c r="G74" s="4">
        <f t="shared" si="0"/>
        <v>0</v>
      </c>
      <c r="H74" s="310"/>
      <c r="I74" s="310"/>
      <c r="J74" s="300"/>
      <c r="K74" s="4">
        <f t="shared" si="8"/>
        <v>0</v>
      </c>
      <c r="L74" s="310"/>
      <c r="M74" s="310"/>
      <c r="O74" s="4">
        <f t="shared" si="6"/>
        <v>0</v>
      </c>
      <c r="P74" s="310"/>
      <c r="Q74" s="310"/>
      <c r="S74" s="4">
        <f t="shared" si="5"/>
        <v>0</v>
      </c>
      <c r="T74" s="310"/>
      <c r="U74" s="310"/>
      <c r="W74" s="4">
        <f t="shared" si="1"/>
        <v>0</v>
      </c>
      <c r="X74" s="310"/>
      <c r="Y74" s="310"/>
      <c r="AA74" s="4">
        <f t="shared" si="2"/>
        <v>0</v>
      </c>
      <c r="AB74" s="310"/>
      <c r="AC74" s="310"/>
      <c r="AE74" s="4">
        <f t="shared" si="3"/>
        <v>0</v>
      </c>
      <c r="AF74" s="310"/>
      <c r="AG74" s="310"/>
      <c r="AI74" s="4">
        <f t="shared" si="4"/>
        <v>0</v>
      </c>
    </row>
    <row r="75" spans="1:35" ht="36" customHeight="1" x14ac:dyDescent="0.25">
      <c r="A75" s="277"/>
      <c r="B75" s="278" t="s">
        <v>602</v>
      </c>
      <c r="C75" s="279">
        <v>2.64</v>
      </c>
      <c r="D75" s="310"/>
      <c r="E75" s="310"/>
      <c r="F75" s="4"/>
      <c r="G75" s="4">
        <f t="shared" si="0"/>
        <v>0</v>
      </c>
      <c r="H75" s="310"/>
      <c r="I75" s="310"/>
      <c r="J75" s="300"/>
      <c r="K75" s="4">
        <f t="shared" si="8"/>
        <v>0</v>
      </c>
      <c r="L75" s="310"/>
      <c r="M75" s="310"/>
      <c r="O75" s="4">
        <f t="shared" si="6"/>
        <v>0</v>
      </c>
      <c r="P75" s="310"/>
      <c r="Q75" s="310"/>
      <c r="S75" s="4">
        <f t="shared" si="5"/>
        <v>0</v>
      </c>
      <c r="T75" s="310"/>
      <c r="U75" s="310"/>
      <c r="W75" s="4">
        <f t="shared" si="1"/>
        <v>0</v>
      </c>
      <c r="X75" s="310"/>
      <c r="Y75" s="310"/>
      <c r="AA75" s="4">
        <f t="shared" si="2"/>
        <v>0</v>
      </c>
      <c r="AB75" s="310"/>
      <c r="AC75" s="310"/>
      <c r="AE75" s="4">
        <f t="shared" si="3"/>
        <v>0</v>
      </c>
      <c r="AF75" s="310"/>
      <c r="AG75" s="310"/>
      <c r="AI75" s="4">
        <f t="shared" si="4"/>
        <v>0</v>
      </c>
    </row>
    <row r="76" spans="1:35" ht="15.75" x14ac:dyDescent="0.25">
      <c r="A76" s="4">
        <v>8</v>
      </c>
      <c r="B76" s="280" t="s">
        <v>405</v>
      </c>
      <c r="C76" s="279"/>
      <c r="D76" s="310"/>
      <c r="E76" s="310"/>
      <c r="F76" s="4"/>
      <c r="G76" s="4">
        <f t="shared" si="0"/>
        <v>0</v>
      </c>
      <c r="H76" s="310"/>
      <c r="I76" s="310"/>
      <c r="J76" s="300"/>
      <c r="K76" s="4">
        <f t="shared" si="8"/>
        <v>0</v>
      </c>
      <c r="L76" s="310"/>
      <c r="M76" s="310"/>
      <c r="O76" s="4">
        <f t="shared" si="6"/>
        <v>0</v>
      </c>
      <c r="P76" s="310"/>
      <c r="Q76" s="310"/>
      <c r="S76" s="4">
        <f t="shared" si="5"/>
        <v>0</v>
      </c>
      <c r="T76" s="310"/>
      <c r="U76" s="310"/>
      <c r="W76" s="4">
        <f t="shared" si="1"/>
        <v>0</v>
      </c>
      <c r="X76" s="310"/>
      <c r="Y76" s="310"/>
      <c r="AA76" s="4">
        <f t="shared" si="2"/>
        <v>0</v>
      </c>
      <c r="AB76" s="310"/>
      <c r="AC76" s="310"/>
      <c r="AE76" s="4">
        <f t="shared" si="3"/>
        <v>0</v>
      </c>
      <c r="AF76" s="310"/>
      <c r="AG76" s="310"/>
      <c r="AI76" s="4">
        <f t="shared" si="4"/>
        <v>0</v>
      </c>
    </row>
    <row r="77" spans="1:35" ht="15.75" x14ac:dyDescent="0.25">
      <c r="A77" s="4"/>
      <c r="B77" s="280" t="s">
        <v>406</v>
      </c>
      <c r="C77" s="279"/>
      <c r="D77" s="310"/>
      <c r="E77" s="310"/>
      <c r="F77" s="4"/>
      <c r="G77" s="4">
        <f t="shared" si="0"/>
        <v>0</v>
      </c>
      <c r="H77" s="310"/>
      <c r="I77" s="310"/>
      <c r="J77" s="300"/>
      <c r="K77" s="4">
        <f t="shared" si="8"/>
        <v>0</v>
      </c>
      <c r="L77" s="310"/>
      <c r="M77" s="310"/>
      <c r="O77" s="4">
        <f t="shared" si="6"/>
        <v>0</v>
      </c>
      <c r="P77" s="310"/>
      <c r="Q77" s="310"/>
      <c r="S77" s="4">
        <f t="shared" si="5"/>
        <v>0</v>
      </c>
      <c r="T77" s="310"/>
      <c r="U77" s="310"/>
      <c r="W77" s="4">
        <f t="shared" si="1"/>
        <v>0</v>
      </c>
      <c r="X77" s="310"/>
      <c r="Y77" s="310"/>
      <c r="AA77" s="4">
        <f t="shared" si="2"/>
        <v>0</v>
      </c>
      <c r="AB77" s="310"/>
      <c r="AC77" s="310"/>
      <c r="AE77" s="4">
        <f t="shared" si="3"/>
        <v>0</v>
      </c>
      <c r="AF77" s="310"/>
      <c r="AG77" s="310"/>
      <c r="AI77" s="4">
        <f t="shared" si="4"/>
        <v>0</v>
      </c>
    </row>
    <row r="78" spans="1:35" ht="15.75" x14ac:dyDescent="0.25">
      <c r="A78" s="277"/>
      <c r="B78" s="278" t="s">
        <v>417</v>
      </c>
      <c r="C78" s="279">
        <v>0.21</v>
      </c>
      <c r="D78" s="309">
        <f>MAX(C78:C95)</f>
        <v>2</v>
      </c>
      <c r="E78" s="310">
        <f>MIN(C78:C119)</f>
        <v>0.09</v>
      </c>
      <c r="F78" s="4"/>
      <c r="G78" s="4">
        <f t="shared" si="0"/>
        <v>0</v>
      </c>
      <c r="H78" s="309">
        <f>MAX(C78:C95)</f>
        <v>2</v>
      </c>
      <c r="I78" s="310">
        <f>MIN(C78:C119)</f>
        <v>0.09</v>
      </c>
      <c r="J78" s="300"/>
      <c r="K78" s="4">
        <f t="shared" si="8"/>
        <v>4.1999999999999997E-3</v>
      </c>
      <c r="L78" s="309">
        <v>2</v>
      </c>
      <c r="M78" s="310">
        <v>0.09</v>
      </c>
      <c r="O78" s="4">
        <f t="shared" si="6"/>
        <v>0</v>
      </c>
      <c r="P78" s="309">
        <v>2</v>
      </c>
      <c r="Q78" s="310">
        <v>0.09</v>
      </c>
      <c r="S78" s="4">
        <f t="shared" si="5"/>
        <v>4.1999999999999997E-3</v>
      </c>
      <c r="T78" s="309">
        <v>2</v>
      </c>
      <c r="U78" s="310">
        <v>0.09</v>
      </c>
      <c r="W78" s="4">
        <f t="shared" si="1"/>
        <v>0</v>
      </c>
      <c r="X78" s="309">
        <v>2</v>
      </c>
      <c r="Y78" s="310">
        <v>0.09</v>
      </c>
      <c r="AA78" s="4">
        <f t="shared" si="2"/>
        <v>0</v>
      </c>
      <c r="AB78" s="309">
        <v>2</v>
      </c>
      <c r="AC78" s="310">
        <v>0.09</v>
      </c>
      <c r="AE78" s="4">
        <f t="shared" si="3"/>
        <v>0</v>
      </c>
      <c r="AF78" s="309">
        <f>MAX(C78:C95)</f>
        <v>2</v>
      </c>
      <c r="AG78" s="310">
        <f>MIN(C78:C119)</f>
        <v>0.09</v>
      </c>
      <c r="AI78" s="4">
        <f t="shared" si="4"/>
        <v>0</v>
      </c>
    </row>
    <row r="79" spans="1:35" ht="15.75" x14ac:dyDescent="0.25">
      <c r="A79" s="277"/>
      <c r="B79" s="278" t="s">
        <v>418</v>
      </c>
      <c r="C79" s="279">
        <v>0.28000000000000003</v>
      </c>
      <c r="D79" s="310"/>
      <c r="E79" s="310"/>
      <c r="F79" s="4"/>
      <c r="G79" s="4">
        <f t="shared" si="0"/>
        <v>0</v>
      </c>
      <c r="H79" s="310"/>
      <c r="I79" s="310"/>
      <c r="J79" s="300"/>
      <c r="K79" s="4">
        <f t="shared" si="8"/>
        <v>0</v>
      </c>
      <c r="L79" s="310"/>
      <c r="M79" s="310"/>
      <c r="O79" s="4">
        <f t="shared" ref="O79:O142" si="9">$C79*N79/100</f>
        <v>0</v>
      </c>
      <c r="P79" s="310"/>
      <c r="Q79" s="310"/>
      <c r="S79" s="4">
        <f t="shared" si="5"/>
        <v>0</v>
      </c>
      <c r="T79" s="310"/>
      <c r="U79" s="310"/>
      <c r="W79" s="4">
        <f t="shared" si="1"/>
        <v>0</v>
      </c>
      <c r="X79" s="310"/>
      <c r="Y79" s="310"/>
      <c r="AA79" s="4">
        <f t="shared" si="2"/>
        <v>0</v>
      </c>
      <c r="AB79" s="310"/>
      <c r="AC79" s="310"/>
      <c r="AE79" s="4">
        <f t="shared" si="3"/>
        <v>0</v>
      </c>
      <c r="AF79" s="310"/>
      <c r="AG79" s="310"/>
      <c r="AI79" s="4">
        <f t="shared" si="4"/>
        <v>0</v>
      </c>
    </row>
    <row r="80" spans="1:35" ht="15.75" x14ac:dyDescent="0.25">
      <c r="A80" s="277"/>
      <c r="B80" s="278" t="s">
        <v>419</v>
      </c>
      <c r="C80" s="279">
        <v>0.09</v>
      </c>
      <c r="D80" s="310"/>
      <c r="E80" s="310"/>
      <c r="F80" s="4"/>
      <c r="G80" s="4">
        <f t="shared" si="0"/>
        <v>0</v>
      </c>
      <c r="H80" s="310"/>
      <c r="I80" s="310"/>
      <c r="J80" s="300"/>
      <c r="K80" s="4">
        <f t="shared" si="8"/>
        <v>0</v>
      </c>
      <c r="L80" s="310"/>
      <c r="M80" s="310"/>
      <c r="O80" s="4">
        <f t="shared" si="9"/>
        <v>0</v>
      </c>
      <c r="P80" s="310"/>
      <c r="Q80" s="310"/>
      <c r="S80" s="4">
        <f t="shared" si="5"/>
        <v>0</v>
      </c>
      <c r="T80" s="310"/>
      <c r="U80" s="310"/>
      <c r="W80" s="4">
        <f t="shared" si="1"/>
        <v>0</v>
      </c>
      <c r="X80" s="310"/>
      <c r="Y80" s="310"/>
      <c r="AA80" s="4">
        <f t="shared" si="2"/>
        <v>0</v>
      </c>
      <c r="AB80" s="310"/>
      <c r="AC80" s="310"/>
      <c r="AE80" s="4">
        <f t="shared" si="3"/>
        <v>0</v>
      </c>
      <c r="AF80" s="310"/>
      <c r="AG80" s="310"/>
      <c r="AI80" s="4">
        <f t="shared" si="4"/>
        <v>0</v>
      </c>
    </row>
    <row r="81" spans="1:35" ht="15.75" x14ac:dyDescent="0.25">
      <c r="A81" s="277"/>
      <c r="B81" s="278" t="s">
        <v>420</v>
      </c>
      <c r="C81" s="279">
        <v>0.12</v>
      </c>
      <c r="D81" s="310"/>
      <c r="E81" s="310"/>
      <c r="F81" s="4"/>
      <c r="G81" s="4">
        <f t="shared" si="0"/>
        <v>0</v>
      </c>
      <c r="H81" s="310"/>
      <c r="I81" s="310"/>
      <c r="J81" s="300"/>
      <c r="K81" s="4">
        <f t="shared" si="8"/>
        <v>0</v>
      </c>
      <c r="L81" s="310"/>
      <c r="M81" s="310"/>
      <c r="O81" s="4">
        <f t="shared" si="9"/>
        <v>0</v>
      </c>
      <c r="P81" s="310"/>
      <c r="Q81" s="310"/>
      <c r="S81" s="4">
        <f t="shared" si="5"/>
        <v>0</v>
      </c>
      <c r="T81" s="310"/>
      <c r="U81" s="310"/>
      <c r="W81" s="4">
        <f t="shared" si="1"/>
        <v>0</v>
      </c>
      <c r="X81" s="310"/>
      <c r="Y81" s="310"/>
      <c r="AA81" s="4">
        <f t="shared" si="2"/>
        <v>0</v>
      </c>
      <c r="AB81" s="310"/>
      <c r="AC81" s="310"/>
      <c r="AE81" s="4">
        <f t="shared" si="3"/>
        <v>0</v>
      </c>
      <c r="AF81" s="310"/>
      <c r="AG81" s="310"/>
      <c r="AI81" s="4">
        <f t="shared" si="4"/>
        <v>0</v>
      </c>
    </row>
    <row r="82" spans="1:35" ht="15.75" x14ac:dyDescent="0.25">
      <c r="A82" s="277"/>
      <c r="B82" s="278" t="s">
        <v>421</v>
      </c>
      <c r="C82" s="279">
        <v>0.15</v>
      </c>
      <c r="D82" s="310"/>
      <c r="E82" s="310"/>
      <c r="F82" s="4"/>
      <c r="G82" s="4">
        <f t="shared" si="0"/>
        <v>0</v>
      </c>
      <c r="H82" s="310"/>
      <c r="I82" s="310"/>
      <c r="J82" s="300"/>
      <c r="K82" s="4">
        <f t="shared" si="8"/>
        <v>0</v>
      </c>
      <c r="L82" s="310"/>
      <c r="M82" s="310"/>
      <c r="O82" s="4">
        <f t="shared" si="9"/>
        <v>0</v>
      </c>
      <c r="P82" s="310"/>
      <c r="Q82" s="310"/>
      <c r="S82" s="4">
        <f t="shared" si="5"/>
        <v>0</v>
      </c>
      <c r="T82" s="310"/>
      <c r="U82" s="310"/>
      <c r="W82" s="4">
        <f t="shared" si="1"/>
        <v>0</v>
      </c>
      <c r="X82" s="310"/>
      <c r="Y82" s="310"/>
      <c r="AA82" s="4">
        <f t="shared" si="2"/>
        <v>0</v>
      </c>
      <c r="AB82" s="310"/>
      <c r="AC82" s="310"/>
      <c r="AE82" s="4">
        <f t="shared" si="3"/>
        <v>0</v>
      </c>
      <c r="AF82" s="310"/>
      <c r="AG82" s="310"/>
      <c r="AI82" s="4">
        <f t="shared" si="4"/>
        <v>0</v>
      </c>
    </row>
    <row r="83" spans="1:35" ht="31.5" x14ac:dyDescent="0.25">
      <c r="A83" s="277"/>
      <c r="B83" s="278" t="s">
        <v>422</v>
      </c>
      <c r="C83" s="279">
        <v>0.73</v>
      </c>
      <c r="D83" s="310"/>
      <c r="E83" s="310"/>
      <c r="F83" s="4"/>
      <c r="G83" s="4">
        <f t="shared" si="0"/>
        <v>0</v>
      </c>
      <c r="H83" s="310"/>
      <c r="I83" s="310"/>
      <c r="J83" s="300"/>
      <c r="K83" s="4">
        <f t="shared" si="8"/>
        <v>0</v>
      </c>
      <c r="L83" s="310"/>
      <c r="M83" s="310"/>
      <c r="O83" s="4">
        <f t="shared" si="9"/>
        <v>0</v>
      </c>
      <c r="P83" s="310"/>
      <c r="Q83" s="310"/>
      <c r="S83" s="4">
        <f t="shared" si="5"/>
        <v>0</v>
      </c>
      <c r="T83" s="310"/>
      <c r="U83" s="310"/>
      <c r="W83" s="4">
        <f t="shared" si="1"/>
        <v>0</v>
      </c>
      <c r="X83" s="310"/>
      <c r="Y83" s="310"/>
      <c r="AA83" s="4">
        <f t="shared" si="2"/>
        <v>0</v>
      </c>
      <c r="AB83" s="310"/>
      <c r="AC83" s="310"/>
      <c r="AE83" s="4">
        <f t="shared" si="3"/>
        <v>0</v>
      </c>
      <c r="AF83" s="310"/>
      <c r="AG83" s="310"/>
      <c r="AI83" s="4">
        <f t="shared" si="4"/>
        <v>0</v>
      </c>
    </row>
    <row r="84" spans="1:35" ht="15.75" x14ac:dyDescent="0.25">
      <c r="A84" s="277"/>
      <c r="B84" s="278" t="s">
        <v>423</v>
      </c>
      <c r="C84" s="279">
        <v>1.38</v>
      </c>
      <c r="D84" s="310"/>
      <c r="E84" s="310"/>
      <c r="F84" s="4"/>
      <c r="G84" s="4">
        <f t="shared" si="0"/>
        <v>0</v>
      </c>
      <c r="H84" s="310"/>
      <c r="I84" s="310"/>
      <c r="J84" s="300"/>
      <c r="K84" s="4">
        <f t="shared" si="8"/>
        <v>0</v>
      </c>
      <c r="L84" s="310"/>
      <c r="M84" s="310"/>
      <c r="O84" s="4">
        <f t="shared" si="9"/>
        <v>0</v>
      </c>
      <c r="P84" s="310"/>
      <c r="Q84" s="310"/>
      <c r="S84" s="4">
        <f t="shared" si="5"/>
        <v>0</v>
      </c>
      <c r="T84" s="310"/>
      <c r="U84" s="310"/>
      <c r="W84" s="4">
        <f t="shared" si="1"/>
        <v>0</v>
      </c>
      <c r="X84" s="310"/>
      <c r="Y84" s="310"/>
      <c r="AA84" s="4">
        <f t="shared" si="2"/>
        <v>0</v>
      </c>
      <c r="AB84" s="310"/>
      <c r="AC84" s="310"/>
      <c r="AE84" s="4">
        <f t="shared" si="3"/>
        <v>0</v>
      </c>
      <c r="AF84" s="310"/>
      <c r="AG84" s="310"/>
      <c r="AI84" s="4">
        <f t="shared" si="4"/>
        <v>0</v>
      </c>
    </row>
    <row r="85" spans="1:35" ht="31.5" x14ac:dyDescent="0.25">
      <c r="A85" s="277"/>
      <c r="B85" s="278" t="s">
        <v>407</v>
      </c>
      <c r="C85" s="279">
        <v>1.1299999999999999</v>
      </c>
      <c r="D85" s="310"/>
      <c r="E85" s="310"/>
      <c r="F85" s="4"/>
      <c r="G85" s="4">
        <f t="shared" si="0"/>
        <v>0</v>
      </c>
      <c r="H85" s="310"/>
      <c r="I85" s="310"/>
      <c r="J85" s="300"/>
      <c r="K85" s="4">
        <f t="shared" si="8"/>
        <v>0</v>
      </c>
      <c r="L85" s="310"/>
      <c r="M85" s="310"/>
      <c r="O85" s="4">
        <f t="shared" si="9"/>
        <v>0</v>
      </c>
      <c r="P85" s="310"/>
      <c r="Q85" s="310"/>
      <c r="S85" s="4">
        <f t="shared" si="5"/>
        <v>0</v>
      </c>
      <c r="T85" s="310"/>
      <c r="U85" s="310"/>
      <c r="W85" s="4">
        <f t="shared" si="1"/>
        <v>0</v>
      </c>
      <c r="X85" s="310"/>
      <c r="Y85" s="310"/>
      <c r="AA85" s="4">
        <f t="shared" si="2"/>
        <v>0</v>
      </c>
      <c r="AB85" s="310"/>
      <c r="AC85" s="310"/>
      <c r="AE85" s="4">
        <f t="shared" si="3"/>
        <v>0</v>
      </c>
      <c r="AF85" s="310"/>
      <c r="AG85" s="310"/>
      <c r="AI85" s="4">
        <f t="shared" si="4"/>
        <v>0</v>
      </c>
    </row>
    <row r="86" spans="1:35" ht="31.5" x14ac:dyDescent="0.25">
      <c r="A86" s="277"/>
      <c r="B86" s="278" t="s">
        <v>408</v>
      </c>
      <c r="C86" s="279">
        <v>0.71</v>
      </c>
      <c r="D86" s="310"/>
      <c r="E86" s="310"/>
      <c r="F86" s="4"/>
      <c r="G86" s="4">
        <f t="shared" si="0"/>
        <v>0</v>
      </c>
      <c r="H86" s="310"/>
      <c r="I86" s="310"/>
      <c r="J86" s="300"/>
      <c r="K86" s="4">
        <f t="shared" si="8"/>
        <v>0</v>
      </c>
      <c r="L86" s="310"/>
      <c r="M86" s="310"/>
      <c r="O86" s="4">
        <f t="shared" si="9"/>
        <v>0</v>
      </c>
      <c r="P86" s="310"/>
      <c r="Q86" s="310"/>
      <c r="S86" s="4">
        <f t="shared" si="5"/>
        <v>0</v>
      </c>
      <c r="T86" s="310"/>
      <c r="U86" s="310"/>
      <c r="W86" s="4">
        <f t="shared" si="1"/>
        <v>0</v>
      </c>
      <c r="X86" s="310"/>
      <c r="Y86" s="310"/>
      <c r="AA86" s="4">
        <f t="shared" si="2"/>
        <v>0</v>
      </c>
      <c r="AB86" s="310"/>
      <c r="AC86" s="310"/>
      <c r="AE86" s="4">
        <f t="shared" si="3"/>
        <v>0</v>
      </c>
      <c r="AF86" s="310"/>
      <c r="AG86" s="310"/>
      <c r="AI86" s="4">
        <f t="shared" si="4"/>
        <v>0</v>
      </c>
    </row>
    <row r="87" spans="1:35" ht="31.5" x14ac:dyDescent="0.25">
      <c r="A87" s="277"/>
      <c r="B87" s="278" t="s">
        <v>409</v>
      </c>
      <c r="C87" s="279">
        <v>0.53</v>
      </c>
      <c r="D87" s="310"/>
      <c r="E87" s="310"/>
      <c r="F87" s="4"/>
      <c r="G87" s="4">
        <f t="shared" si="0"/>
        <v>0</v>
      </c>
      <c r="H87" s="310"/>
      <c r="I87" s="310"/>
      <c r="J87" s="300"/>
      <c r="K87" s="4">
        <f t="shared" si="8"/>
        <v>0</v>
      </c>
      <c r="L87" s="310"/>
      <c r="M87" s="310"/>
      <c r="O87" s="4">
        <f t="shared" si="9"/>
        <v>0</v>
      </c>
      <c r="P87" s="310"/>
      <c r="Q87" s="310"/>
      <c r="S87" s="4">
        <f t="shared" si="5"/>
        <v>0</v>
      </c>
      <c r="T87" s="310"/>
      <c r="U87" s="310"/>
      <c r="W87" s="4">
        <f t="shared" si="1"/>
        <v>0</v>
      </c>
      <c r="X87" s="310"/>
      <c r="Y87" s="310"/>
      <c r="AA87" s="4">
        <f t="shared" si="2"/>
        <v>0</v>
      </c>
      <c r="AB87" s="310"/>
      <c r="AC87" s="310"/>
      <c r="AE87" s="4">
        <f t="shared" si="3"/>
        <v>0</v>
      </c>
      <c r="AF87" s="310"/>
      <c r="AG87" s="310"/>
      <c r="AI87" s="4">
        <f t="shared" si="4"/>
        <v>0</v>
      </c>
    </row>
    <row r="88" spans="1:35" ht="15.75" x14ac:dyDescent="0.25">
      <c r="A88" s="277"/>
      <c r="B88" s="278" t="s">
        <v>410</v>
      </c>
      <c r="C88" s="279">
        <v>0.52</v>
      </c>
      <c r="D88" s="310"/>
      <c r="E88" s="310"/>
      <c r="F88" s="4"/>
      <c r="G88" s="4">
        <f t="shared" si="0"/>
        <v>0</v>
      </c>
      <c r="H88" s="310"/>
      <c r="I88" s="310"/>
      <c r="J88" s="300"/>
      <c r="K88" s="4">
        <f t="shared" ref="K88:K119" si="10">$C88*H88/100</f>
        <v>0</v>
      </c>
      <c r="L88" s="310"/>
      <c r="M88" s="310"/>
      <c r="O88" s="4">
        <f t="shared" si="9"/>
        <v>0</v>
      </c>
      <c r="P88" s="310"/>
      <c r="Q88" s="310"/>
      <c r="S88" s="4">
        <f t="shared" si="5"/>
        <v>0</v>
      </c>
      <c r="T88" s="310"/>
      <c r="U88" s="310"/>
      <c r="W88" s="4">
        <f t="shared" si="1"/>
        <v>0</v>
      </c>
      <c r="X88" s="310"/>
      <c r="Y88" s="310"/>
      <c r="AA88" s="4">
        <f t="shared" si="2"/>
        <v>0</v>
      </c>
      <c r="AB88" s="310"/>
      <c r="AC88" s="310"/>
      <c r="AE88" s="4">
        <f t="shared" si="3"/>
        <v>0</v>
      </c>
      <c r="AF88" s="310"/>
      <c r="AG88" s="310"/>
      <c r="AI88" s="4">
        <f t="shared" si="4"/>
        <v>0</v>
      </c>
    </row>
    <row r="89" spans="1:35" ht="31.5" x14ac:dyDescent="0.25">
      <c r="A89" s="277"/>
      <c r="B89" s="278" t="s">
        <v>411</v>
      </c>
      <c r="C89" s="279">
        <v>0.17</v>
      </c>
      <c r="D89" s="310"/>
      <c r="E89" s="310"/>
      <c r="F89" s="4"/>
      <c r="G89" s="4">
        <f t="shared" si="0"/>
        <v>0</v>
      </c>
      <c r="H89" s="310"/>
      <c r="I89" s="310"/>
      <c r="J89" s="300"/>
      <c r="K89" s="4">
        <f t="shared" si="10"/>
        <v>0</v>
      </c>
      <c r="L89" s="310"/>
      <c r="M89" s="310"/>
      <c r="O89" s="4">
        <f t="shared" si="9"/>
        <v>0</v>
      </c>
      <c r="P89" s="310"/>
      <c r="Q89" s="310"/>
      <c r="S89" s="4">
        <f t="shared" si="5"/>
        <v>0</v>
      </c>
      <c r="T89" s="310"/>
      <c r="U89" s="310"/>
      <c r="W89" s="4">
        <f t="shared" si="1"/>
        <v>0</v>
      </c>
      <c r="X89" s="310"/>
      <c r="Y89" s="310"/>
      <c r="AA89" s="4">
        <f t="shared" si="2"/>
        <v>0</v>
      </c>
      <c r="AB89" s="310"/>
      <c r="AC89" s="310"/>
      <c r="AE89" s="4">
        <f t="shared" si="3"/>
        <v>0</v>
      </c>
      <c r="AF89" s="310"/>
      <c r="AG89" s="310"/>
      <c r="AI89" s="4">
        <f t="shared" si="4"/>
        <v>0</v>
      </c>
    </row>
    <row r="90" spans="1:35" ht="31.5" x14ac:dyDescent="0.25">
      <c r="A90" s="277"/>
      <c r="B90" s="278" t="s">
        <v>412</v>
      </c>
      <c r="C90" s="279">
        <v>0.22</v>
      </c>
      <c r="D90" s="310"/>
      <c r="E90" s="310"/>
      <c r="F90" s="4"/>
      <c r="G90" s="4">
        <f t="shared" si="0"/>
        <v>0</v>
      </c>
      <c r="H90" s="310"/>
      <c r="I90" s="310"/>
      <c r="J90" s="300"/>
      <c r="K90" s="4">
        <f t="shared" si="10"/>
        <v>0</v>
      </c>
      <c r="L90" s="310"/>
      <c r="M90" s="310"/>
      <c r="O90" s="4">
        <f t="shared" si="9"/>
        <v>0</v>
      </c>
      <c r="P90" s="310"/>
      <c r="Q90" s="310"/>
      <c r="S90" s="4">
        <f t="shared" si="5"/>
        <v>0</v>
      </c>
      <c r="T90" s="310"/>
      <c r="U90" s="310"/>
      <c r="W90" s="4">
        <f t="shared" si="1"/>
        <v>0</v>
      </c>
      <c r="X90" s="310"/>
      <c r="Y90" s="310"/>
      <c r="AA90" s="4">
        <f t="shared" si="2"/>
        <v>0</v>
      </c>
      <c r="AB90" s="310"/>
      <c r="AC90" s="310"/>
      <c r="AE90" s="4">
        <f t="shared" si="3"/>
        <v>0</v>
      </c>
      <c r="AF90" s="310"/>
      <c r="AG90" s="310"/>
      <c r="AI90" s="4">
        <f t="shared" si="4"/>
        <v>0</v>
      </c>
    </row>
    <row r="91" spans="1:35" ht="15.75" x14ac:dyDescent="0.25">
      <c r="A91" s="277"/>
      <c r="B91" s="278" t="s">
        <v>413</v>
      </c>
      <c r="C91" s="279">
        <v>1.26</v>
      </c>
      <c r="D91" s="310"/>
      <c r="E91" s="310"/>
      <c r="F91" s="4"/>
      <c r="G91" s="4">
        <f t="shared" si="0"/>
        <v>0</v>
      </c>
      <c r="H91" s="310"/>
      <c r="I91" s="310"/>
      <c r="J91" s="300"/>
      <c r="K91" s="4">
        <f t="shared" si="10"/>
        <v>0</v>
      </c>
      <c r="L91" s="310"/>
      <c r="M91" s="310"/>
      <c r="O91" s="4">
        <f t="shared" si="9"/>
        <v>0</v>
      </c>
      <c r="P91" s="310"/>
      <c r="Q91" s="310"/>
      <c r="S91" s="4">
        <f t="shared" si="5"/>
        <v>0</v>
      </c>
      <c r="T91" s="310"/>
      <c r="U91" s="310"/>
      <c r="W91" s="4">
        <f t="shared" si="1"/>
        <v>0</v>
      </c>
      <c r="X91" s="310"/>
      <c r="Y91" s="310"/>
      <c r="AA91" s="4">
        <f t="shared" si="2"/>
        <v>0</v>
      </c>
      <c r="AB91" s="310"/>
      <c r="AC91" s="310"/>
      <c r="AE91" s="4">
        <f t="shared" si="3"/>
        <v>0</v>
      </c>
      <c r="AF91" s="310"/>
      <c r="AG91" s="310"/>
      <c r="AI91" s="4">
        <f t="shared" si="4"/>
        <v>0</v>
      </c>
    </row>
    <row r="92" spans="1:35" ht="15.75" x14ac:dyDescent="0.25">
      <c r="A92" s="277"/>
      <c r="B92" s="278" t="s">
        <v>414</v>
      </c>
      <c r="C92" s="279">
        <v>1.74</v>
      </c>
      <c r="D92" s="310"/>
      <c r="E92" s="310"/>
      <c r="F92" s="4"/>
      <c r="G92" s="4">
        <f t="shared" si="0"/>
        <v>0</v>
      </c>
      <c r="H92" s="310"/>
      <c r="I92" s="310"/>
      <c r="J92" s="300"/>
      <c r="K92" s="4">
        <f t="shared" si="10"/>
        <v>0</v>
      </c>
      <c r="L92" s="310"/>
      <c r="M92" s="310"/>
      <c r="O92" s="4">
        <f t="shared" si="9"/>
        <v>0</v>
      </c>
      <c r="P92" s="310"/>
      <c r="Q92" s="310"/>
      <c r="S92" s="4">
        <f t="shared" si="5"/>
        <v>0</v>
      </c>
      <c r="T92" s="310"/>
      <c r="U92" s="310"/>
      <c r="W92" s="4">
        <f t="shared" si="1"/>
        <v>0</v>
      </c>
      <c r="X92" s="310"/>
      <c r="Y92" s="310"/>
      <c r="AA92" s="4">
        <f t="shared" si="2"/>
        <v>0</v>
      </c>
      <c r="AB92" s="310"/>
      <c r="AC92" s="310"/>
      <c r="AE92" s="4">
        <f t="shared" si="3"/>
        <v>0</v>
      </c>
      <c r="AF92" s="310"/>
      <c r="AG92" s="310"/>
      <c r="AI92" s="4">
        <f t="shared" si="4"/>
        <v>0</v>
      </c>
    </row>
    <row r="93" spans="1:35" ht="15.75" x14ac:dyDescent="0.25">
      <c r="A93" s="277"/>
      <c r="B93" s="278" t="s">
        <v>415</v>
      </c>
      <c r="C93" s="279">
        <v>2</v>
      </c>
      <c r="D93" s="310"/>
      <c r="E93" s="310"/>
      <c r="F93" s="4"/>
      <c r="G93" s="4">
        <f t="shared" si="0"/>
        <v>0</v>
      </c>
      <c r="H93" s="310"/>
      <c r="I93" s="310"/>
      <c r="J93" s="300"/>
      <c r="K93" s="4">
        <f t="shared" si="10"/>
        <v>0</v>
      </c>
      <c r="L93" s="310"/>
      <c r="M93" s="310"/>
      <c r="O93" s="4">
        <f t="shared" si="9"/>
        <v>0</v>
      </c>
      <c r="P93" s="310"/>
      <c r="Q93" s="310"/>
      <c r="S93" s="4">
        <f t="shared" si="5"/>
        <v>0</v>
      </c>
      <c r="T93" s="310"/>
      <c r="U93" s="310"/>
      <c r="W93" s="4">
        <f t="shared" si="1"/>
        <v>0</v>
      </c>
      <c r="X93" s="310"/>
      <c r="Y93" s="310"/>
      <c r="AA93" s="4">
        <f t="shared" si="2"/>
        <v>0</v>
      </c>
      <c r="AB93" s="310"/>
      <c r="AC93" s="310"/>
      <c r="AE93" s="4">
        <f t="shared" si="3"/>
        <v>0</v>
      </c>
      <c r="AF93" s="310"/>
      <c r="AG93" s="310"/>
      <c r="AI93" s="4">
        <f t="shared" si="4"/>
        <v>0</v>
      </c>
    </row>
    <row r="94" spans="1:35" ht="15.75" x14ac:dyDescent="0.25">
      <c r="A94" s="277"/>
      <c r="B94" s="278" t="s">
        <v>603</v>
      </c>
      <c r="C94" s="279">
        <v>1.87</v>
      </c>
      <c r="D94" s="310"/>
      <c r="E94" s="310"/>
      <c r="F94" s="4"/>
      <c r="G94" s="4">
        <f t="shared" si="0"/>
        <v>0</v>
      </c>
      <c r="H94" s="310"/>
      <c r="I94" s="310"/>
      <c r="J94" s="300"/>
      <c r="K94" s="4">
        <f t="shared" si="10"/>
        <v>0</v>
      </c>
      <c r="L94" s="310"/>
      <c r="M94" s="310"/>
      <c r="O94" s="4">
        <f t="shared" si="9"/>
        <v>0</v>
      </c>
      <c r="P94" s="310"/>
      <c r="Q94" s="310"/>
      <c r="S94" s="4">
        <f t="shared" si="5"/>
        <v>0</v>
      </c>
      <c r="T94" s="310"/>
      <c r="U94" s="310"/>
      <c r="W94" s="4">
        <f t="shared" si="1"/>
        <v>0</v>
      </c>
      <c r="X94" s="310"/>
      <c r="Y94" s="310"/>
      <c r="AA94" s="4">
        <f t="shared" si="2"/>
        <v>0</v>
      </c>
      <c r="AB94" s="310"/>
      <c r="AC94" s="310"/>
      <c r="AE94" s="4">
        <f t="shared" si="3"/>
        <v>0</v>
      </c>
      <c r="AF94" s="310"/>
      <c r="AG94" s="310"/>
      <c r="AI94" s="4">
        <f t="shared" si="4"/>
        <v>0</v>
      </c>
    </row>
    <row r="95" spans="1:35" ht="15.75" x14ac:dyDescent="0.25">
      <c r="A95" s="277"/>
      <c r="B95" s="278" t="s">
        <v>604</v>
      </c>
      <c r="C95" s="279">
        <v>1.87</v>
      </c>
      <c r="D95" s="310"/>
      <c r="E95" s="310"/>
      <c r="F95" s="4"/>
      <c r="G95" s="4">
        <f>$C95*F95/100</f>
        <v>0</v>
      </c>
      <c r="H95" s="310"/>
      <c r="I95" s="310"/>
      <c r="J95" s="300"/>
      <c r="K95" s="4">
        <f t="shared" si="10"/>
        <v>0</v>
      </c>
      <c r="L95" s="310"/>
      <c r="M95" s="310"/>
      <c r="O95" s="4">
        <f t="shared" si="9"/>
        <v>0</v>
      </c>
      <c r="P95" s="310"/>
      <c r="Q95" s="310"/>
      <c r="S95" s="4">
        <f>$C95*P95/100</f>
        <v>0</v>
      </c>
      <c r="T95" s="310"/>
      <c r="U95" s="310"/>
      <c r="W95" s="4">
        <f>$C95*V95/100</f>
        <v>0</v>
      </c>
      <c r="X95" s="310"/>
      <c r="Y95" s="310"/>
      <c r="AA95" s="4">
        <f>$C95*Z95/100</f>
        <v>0</v>
      </c>
      <c r="AB95" s="310"/>
      <c r="AC95" s="310"/>
      <c r="AE95" s="4">
        <f>$C95*AD95/100</f>
        <v>0</v>
      </c>
      <c r="AF95" s="310"/>
      <c r="AG95" s="310"/>
      <c r="AI95" s="4">
        <f>$C95*AH95/100</f>
        <v>0</v>
      </c>
    </row>
    <row r="96" spans="1:35" ht="15.75" x14ac:dyDescent="0.25">
      <c r="A96" s="282"/>
      <c r="B96" s="280" t="s">
        <v>425</v>
      </c>
      <c r="C96" s="279"/>
      <c r="D96" s="310"/>
      <c r="E96" s="310"/>
      <c r="F96" s="4"/>
      <c r="G96" s="4">
        <f t="shared" si="0"/>
        <v>0</v>
      </c>
      <c r="H96" s="310"/>
      <c r="I96" s="310"/>
      <c r="J96" s="300"/>
      <c r="K96" s="4">
        <f t="shared" si="10"/>
        <v>0</v>
      </c>
      <c r="L96" s="310"/>
      <c r="M96" s="310"/>
      <c r="O96" s="4">
        <f t="shared" si="9"/>
        <v>0</v>
      </c>
      <c r="P96" s="310"/>
      <c r="Q96" s="310"/>
      <c r="S96" s="4">
        <f t="shared" si="5"/>
        <v>0</v>
      </c>
      <c r="T96" s="310"/>
      <c r="U96" s="310"/>
      <c r="W96" s="4">
        <f t="shared" si="1"/>
        <v>0</v>
      </c>
      <c r="X96" s="310"/>
      <c r="Y96" s="310"/>
      <c r="AA96" s="4">
        <f t="shared" si="2"/>
        <v>0</v>
      </c>
      <c r="AB96" s="310"/>
      <c r="AC96" s="310"/>
      <c r="AE96" s="4">
        <f t="shared" si="3"/>
        <v>0</v>
      </c>
      <c r="AF96" s="310"/>
      <c r="AG96" s="310"/>
      <c r="AI96" s="4">
        <f t="shared" si="4"/>
        <v>0</v>
      </c>
    </row>
    <row r="97" spans="1:35" ht="15.75" x14ac:dyDescent="0.25">
      <c r="A97" s="277"/>
      <c r="B97" s="278" t="s">
        <v>426</v>
      </c>
      <c r="C97" s="279">
        <v>0.26</v>
      </c>
      <c r="D97" s="309">
        <f>MAX(C97:C119)</f>
        <v>2.4900000000000002</v>
      </c>
      <c r="E97" s="310">
        <f>MIN(C97:C119)</f>
        <v>0.12</v>
      </c>
      <c r="F97" s="4"/>
      <c r="G97" s="4">
        <f t="shared" si="0"/>
        <v>0</v>
      </c>
      <c r="H97" s="309">
        <f>MAX(C97:C119)</f>
        <v>2.4900000000000002</v>
      </c>
      <c r="I97" s="310">
        <f>MIN(C97:C119)</f>
        <v>0.12</v>
      </c>
      <c r="J97" s="300"/>
      <c r="K97" s="4">
        <f t="shared" si="10"/>
        <v>6.4740000000000006E-3</v>
      </c>
      <c r="L97" s="309">
        <v>2.4900000000000002</v>
      </c>
      <c r="M97" s="310">
        <v>0.12</v>
      </c>
      <c r="O97" s="4">
        <f t="shared" si="9"/>
        <v>0</v>
      </c>
      <c r="P97" s="309">
        <v>2.4900000000000002</v>
      </c>
      <c r="Q97" s="310">
        <v>0.12</v>
      </c>
      <c r="S97" s="4">
        <f t="shared" si="5"/>
        <v>6.4740000000000006E-3</v>
      </c>
      <c r="T97" s="309">
        <v>2.4900000000000002</v>
      </c>
      <c r="U97" s="310">
        <v>0.12</v>
      </c>
      <c r="W97" s="4">
        <f t="shared" si="1"/>
        <v>0</v>
      </c>
      <c r="X97" s="309">
        <v>2.4900000000000002</v>
      </c>
      <c r="Y97" s="310">
        <v>0.12</v>
      </c>
      <c r="AA97" s="4">
        <f t="shared" si="2"/>
        <v>0</v>
      </c>
      <c r="AB97" s="309">
        <v>2.4900000000000002</v>
      </c>
      <c r="AC97" s="310">
        <v>0.12</v>
      </c>
      <c r="AE97" s="4">
        <f t="shared" si="3"/>
        <v>0</v>
      </c>
      <c r="AF97" s="309">
        <f>MAX(C97:C119)</f>
        <v>2.4900000000000002</v>
      </c>
      <c r="AG97" s="310">
        <f>MIN(C97:C119)</f>
        <v>0.12</v>
      </c>
      <c r="AI97" s="4">
        <f t="shared" si="4"/>
        <v>0</v>
      </c>
    </row>
    <row r="98" spans="1:35" ht="15.75" x14ac:dyDescent="0.25">
      <c r="A98" s="277"/>
      <c r="B98" s="278" t="s">
        <v>427</v>
      </c>
      <c r="C98" s="279">
        <v>0.35</v>
      </c>
      <c r="D98" s="310"/>
      <c r="E98" s="310"/>
      <c r="F98" s="4"/>
      <c r="G98" s="4">
        <f t="shared" si="0"/>
        <v>0</v>
      </c>
      <c r="H98" s="310"/>
      <c r="I98" s="310"/>
      <c r="J98" s="300"/>
      <c r="K98" s="4">
        <f t="shared" si="10"/>
        <v>0</v>
      </c>
      <c r="L98" s="310"/>
      <c r="M98" s="310"/>
      <c r="O98" s="4">
        <f t="shared" si="9"/>
        <v>0</v>
      </c>
      <c r="P98" s="310"/>
      <c r="Q98" s="310"/>
      <c r="S98" s="4">
        <f t="shared" si="5"/>
        <v>0</v>
      </c>
      <c r="T98" s="310"/>
      <c r="U98" s="310"/>
      <c r="W98" s="4">
        <f t="shared" si="1"/>
        <v>0</v>
      </c>
      <c r="X98" s="310"/>
      <c r="Y98" s="310"/>
      <c r="AA98" s="4">
        <f t="shared" si="2"/>
        <v>0</v>
      </c>
      <c r="AB98" s="310"/>
      <c r="AC98" s="310"/>
      <c r="AE98" s="4">
        <f t="shared" si="3"/>
        <v>0</v>
      </c>
      <c r="AF98" s="310"/>
      <c r="AG98" s="310"/>
      <c r="AI98" s="4">
        <f t="shared" si="4"/>
        <v>0</v>
      </c>
    </row>
    <row r="99" spans="1:35" ht="15.75" x14ac:dyDescent="0.25">
      <c r="A99" s="277"/>
      <c r="B99" s="278" t="s">
        <v>428</v>
      </c>
      <c r="C99" s="279">
        <v>0.12</v>
      </c>
      <c r="D99" s="310"/>
      <c r="E99" s="310"/>
      <c r="F99" s="4"/>
      <c r="G99" s="4">
        <f t="shared" si="0"/>
        <v>0</v>
      </c>
      <c r="H99" s="310"/>
      <c r="I99" s="310"/>
      <c r="J99" s="300"/>
      <c r="K99" s="4">
        <f t="shared" si="10"/>
        <v>0</v>
      </c>
      <c r="L99" s="310"/>
      <c r="M99" s="310"/>
      <c r="O99" s="4">
        <f t="shared" si="9"/>
        <v>0</v>
      </c>
      <c r="P99" s="310"/>
      <c r="Q99" s="310"/>
      <c r="S99" s="4">
        <f t="shared" si="5"/>
        <v>0</v>
      </c>
      <c r="T99" s="310"/>
      <c r="U99" s="310"/>
      <c r="W99" s="4">
        <f t="shared" si="1"/>
        <v>0</v>
      </c>
      <c r="X99" s="310"/>
      <c r="Y99" s="310"/>
      <c r="AA99" s="4">
        <f t="shared" si="2"/>
        <v>0</v>
      </c>
      <c r="AB99" s="310"/>
      <c r="AC99" s="310"/>
      <c r="AE99" s="4">
        <f t="shared" si="3"/>
        <v>0</v>
      </c>
      <c r="AF99" s="310"/>
      <c r="AG99" s="310"/>
      <c r="AI99" s="4">
        <f t="shared" si="4"/>
        <v>0</v>
      </c>
    </row>
    <row r="100" spans="1:35" ht="15.75" x14ac:dyDescent="0.25">
      <c r="A100" s="277"/>
      <c r="B100" s="278" t="s">
        <v>429</v>
      </c>
      <c r="C100" s="279">
        <v>0.15</v>
      </c>
      <c r="D100" s="310"/>
      <c r="E100" s="310"/>
      <c r="F100" s="4"/>
      <c r="G100" s="4">
        <f t="shared" si="0"/>
        <v>0</v>
      </c>
      <c r="H100" s="310"/>
      <c r="I100" s="310"/>
      <c r="J100" s="300"/>
      <c r="K100" s="4">
        <f t="shared" si="10"/>
        <v>0</v>
      </c>
      <c r="L100" s="310"/>
      <c r="M100" s="310"/>
      <c r="O100" s="4">
        <f t="shared" si="9"/>
        <v>0</v>
      </c>
      <c r="P100" s="310"/>
      <c r="Q100" s="310"/>
      <c r="S100" s="4">
        <f t="shared" si="5"/>
        <v>0</v>
      </c>
      <c r="T100" s="310"/>
      <c r="U100" s="310"/>
      <c r="W100" s="4">
        <f t="shared" si="1"/>
        <v>0</v>
      </c>
      <c r="X100" s="310"/>
      <c r="Y100" s="310"/>
      <c r="AA100" s="4">
        <f t="shared" si="2"/>
        <v>0</v>
      </c>
      <c r="AB100" s="310"/>
      <c r="AC100" s="310"/>
      <c r="AE100" s="4">
        <f t="shared" si="3"/>
        <v>0</v>
      </c>
      <c r="AF100" s="310"/>
      <c r="AG100" s="310"/>
      <c r="AI100" s="4">
        <f t="shared" si="4"/>
        <v>0</v>
      </c>
    </row>
    <row r="101" spans="1:35" ht="15.75" x14ac:dyDescent="0.25">
      <c r="A101" s="277"/>
      <c r="B101" s="278" t="s">
        <v>535</v>
      </c>
      <c r="C101" s="279">
        <v>1.82</v>
      </c>
      <c r="D101" s="310"/>
      <c r="E101" s="310"/>
      <c r="F101" s="4"/>
      <c r="G101" s="4">
        <f>$C101*F101/100</f>
        <v>0</v>
      </c>
      <c r="H101" s="310"/>
      <c r="I101" s="310"/>
      <c r="J101" s="300"/>
      <c r="K101" s="4">
        <f t="shared" si="10"/>
        <v>0</v>
      </c>
      <c r="L101" s="310"/>
      <c r="M101" s="310"/>
      <c r="O101" s="4">
        <f t="shared" si="9"/>
        <v>0</v>
      </c>
      <c r="P101" s="310"/>
      <c r="Q101" s="310"/>
      <c r="S101" s="4">
        <f>$C101*P101/100</f>
        <v>0</v>
      </c>
      <c r="T101" s="310"/>
      <c r="U101" s="310"/>
      <c r="W101" s="4">
        <f>$C101*V101/100</f>
        <v>0</v>
      </c>
      <c r="X101" s="310"/>
      <c r="Y101" s="310"/>
      <c r="AA101" s="4">
        <f>$C101*Z101/100</f>
        <v>0</v>
      </c>
      <c r="AB101" s="310"/>
      <c r="AC101" s="310"/>
      <c r="AE101" s="4">
        <f>$C101*AD101/100</f>
        <v>0</v>
      </c>
      <c r="AF101" s="310"/>
      <c r="AG101" s="310"/>
      <c r="AI101" s="4">
        <f>$C101*AH101/100</f>
        <v>0</v>
      </c>
    </row>
    <row r="102" spans="1:35" ht="31.5" x14ac:dyDescent="0.25">
      <c r="A102" s="277"/>
      <c r="B102" s="278" t="s">
        <v>536</v>
      </c>
      <c r="C102" s="279">
        <v>1.67</v>
      </c>
      <c r="D102" s="310"/>
      <c r="E102" s="310"/>
      <c r="F102" s="4"/>
      <c r="G102" s="4">
        <f>$C102*F102/100</f>
        <v>0</v>
      </c>
      <c r="H102" s="310"/>
      <c r="I102" s="310"/>
      <c r="J102" s="300"/>
      <c r="K102" s="4">
        <f t="shared" si="10"/>
        <v>0</v>
      </c>
      <c r="L102" s="310"/>
      <c r="M102" s="310"/>
      <c r="O102" s="4">
        <f t="shared" si="9"/>
        <v>0</v>
      </c>
      <c r="P102" s="310"/>
      <c r="Q102" s="310"/>
      <c r="S102" s="4">
        <f>$C102*P102/100</f>
        <v>0</v>
      </c>
      <c r="T102" s="310"/>
      <c r="U102" s="310"/>
      <c r="W102" s="4">
        <f>$C102*V102/100</f>
        <v>0</v>
      </c>
      <c r="X102" s="310"/>
      <c r="Y102" s="310"/>
      <c r="AA102" s="4">
        <f>$C102*Z102/100</f>
        <v>0</v>
      </c>
      <c r="AB102" s="310"/>
      <c r="AC102" s="310"/>
      <c r="AE102" s="4">
        <f>$C102*AD102/100</f>
        <v>0</v>
      </c>
      <c r="AF102" s="310"/>
      <c r="AG102" s="310"/>
      <c r="AI102" s="4">
        <f>$C102*AH102/100</f>
        <v>0</v>
      </c>
    </row>
    <row r="103" spans="1:35" ht="15.75" x14ac:dyDescent="0.25">
      <c r="A103" s="277"/>
      <c r="B103" s="278" t="s">
        <v>538</v>
      </c>
      <c r="C103" s="279">
        <v>1.67</v>
      </c>
      <c r="D103" s="310"/>
      <c r="E103" s="310"/>
      <c r="F103" s="4"/>
      <c r="G103" s="4">
        <f>$C103*F103/100</f>
        <v>0</v>
      </c>
      <c r="H103" s="310"/>
      <c r="I103" s="310"/>
      <c r="J103" s="300"/>
      <c r="K103" s="4">
        <f t="shared" si="10"/>
        <v>0</v>
      </c>
      <c r="L103" s="310"/>
      <c r="M103" s="310"/>
      <c r="O103" s="4">
        <f t="shared" si="9"/>
        <v>0</v>
      </c>
      <c r="P103" s="310"/>
      <c r="Q103" s="310"/>
      <c r="S103" s="4">
        <f>$C103*P103/100</f>
        <v>0</v>
      </c>
      <c r="T103" s="310"/>
      <c r="U103" s="310"/>
      <c r="W103" s="4">
        <f>$C103*V103/100</f>
        <v>0</v>
      </c>
      <c r="X103" s="310"/>
      <c r="Y103" s="310"/>
      <c r="AA103" s="4">
        <f>$C103*Z103/100</f>
        <v>0</v>
      </c>
      <c r="AB103" s="310"/>
      <c r="AC103" s="310"/>
      <c r="AE103" s="4">
        <f>$C103*AD103/100</f>
        <v>0</v>
      </c>
      <c r="AF103" s="310"/>
      <c r="AG103" s="310"/>
      <c r="AI103" s="4">
        <f>$C103*AH103/100</f>
        <v>0</v>
      </c>
    </row>
    <row r="104" spans="1:35" ht="15.75" x14ac:dyDescent="0.25">
      <c r="A104" s="277"/>
      <c r="B104" s="278" t="s">
        <v>605</v>
      </c>
      <c r="C104" s="279">
        <v>0.19</v>
      </c>
      <c r="D104" s="310"/>
      <c r="E104" s="310"/>
      <c r="F104" s="4"/>
      <c r="G104" s="4">
        <f t="shared" si="0"/>
        <v>0</v>
      </c>
      <c r="H104" s="310"/>
      <c r="I104" s="310"/>
      <c r="J104" s="300"/>
      <c r="K104" s="4">
        <f t="shared" si="10"/>
        <v>0</v>
      </c>
      <c r="L104" s="310"/>
      <c r="M104" s="310"/>
      <c r="O104" s="4">
        <f t="shared" si="9"/>
        <v>0</v>
      </c>
      <c r="P104" s="310"/>
      <c r="Q104" s="310"/>
      <c r="S104" s="4">
        <f t="shared" si="5"/>
        <v>0</v>
      </c>
      <c r="T104" s="310"/>
      <c r="U104" s="310"/>
      <c r="W104" s="4">
        <f t="shared" si="1"/>
        <v>0</v>
      </c>
      <c r="X104" s="310"/>
      <c r="Y104" s="310"/>
      <c r="AA104" s="4">
        <f t="shared" si="2"/>
        <v>0</v>
      </c>
      <c r="AB104" s="310"/>
      <c r="AC104" s="310"/>
      <c r="AE104" s="4">
        <f t="shared" si="3"/>
        <v>0</v>
      </c>
      <c r="AF104" s="310"/>
      <c r="AG104" s="310"/>
      <c r="AI104" s="4">
        <f t="shared" si="4"/>
        <v>0</v>
      </c>
    </row>
    <row r="105" spans="1:35" ht="15.75" x14ac:dyDescent="0.25">
      <c r="A105" s="277"/>
      <c r="B105" s="278" t="s">
        <v>540</v>
      </c>
      <c r="C105" s="279">
        <v>0.26</v>
      </c>
      <c r="D105" s="310"/>
      <c r="E105" s="310"/>
      <c r="F105" s="4"/>
      <c r="G105" s="4">
        <f t="shared" si="0"/>
        <v>0</v>
      </c>
      <c r="H105" s="310"/>
      <c r="I105" s="310"/>
      <c r="J105" s="300"/>
      <c r="K105" s="4">
        <f t="shared" si="10"/>
        <v>0</v>
      </c>
      <c r="L105" s="310"/>
      <c r="M105" s="310"/>
      <c r="O105" s="4">
        <f t="shared" si="9"/>
        <v>0</v>
      </c>
      <c r="P105" s="310"/>
      <c r="Q105" s="310"/>
      <c r="S105" s="4">
        <f t="shared" si="5"/>
        <v>0</v>
      </c>
      <c r="T105" s="310"/>
      <c r="U105" s="310"/>
      <c r="W105" s="4">
        <f t="shared" si="1"/>
        <v>0</v>
      </c>
      <c r="X105" s="310"/>
      <c r="Y105" s="310"/>
      <c r="AA105" s="4">
        <f t="shared" si="2"/>
        <v>0</v>
      </c>
      <c r="AB105" s="310"/>
      <c r="AC105" s="310"/>
      <c r="AE105" s="4">
        <f t="shared" si="3"/>
        <v>0</v>
      </c>
      <c r="AF105" s="310"/>
      <c r="AG105" s="310"/>
      <c r="AI105" s="4">
        <f t="shared" si="4"/>
        <v>0</v>
      </c>
    </row>
    <row r="106" spans="1:35" ht="15.75" x14ac:dyDescent="0.25">
      <c r="A106" s="277"/>
      <c r="B106" s="278" t="s">
        <v>541</v>
      </c>
      <c r="C106" s="279">
        <v>0.35</v>
      </c>
      <c r="D106" s="310"/>
      <c r="E106" s="310"/>
      <c r="F106" s="4"/>
      <c r="G106" s="4">
        <f t="shared" si="0"/>
        <v>0</v>
      </c>
      <c r="H106" s="310"/>
      <c r="I106" s="310"/>
      <c r="J106" s="300"/>
      <c r="K106" s="4">
        <f t="shared" si="10"/>
        <v>0</v>
      </c>
      <c r="L106" s="310"/>
      <c r="M106" s="310"/>
      <c r="O106" s="4">
        <f t="shared" si="9"/>
        <v>0</v>
      </c>
      <c r="P106" s="310"/>
      <c r="Q106" s="310"/>
      <c r="S106" s="4">
        <f t="shared" si="5"/>
        <v>0</v>
      </c>
      <c r="T106" s="310"/>
      <c r="U106" s="310"/>
      <c r="W106" s="4">
        <f t="shared" si="1"/>
        <v>0</v>
      </c>
      <c r="X106" s="310"/>
      <c r="Y106" s="310"/>
      <c r="AA106" s="4">
        <f t="shared" si="2"/>
        <v>0</v>
      </c>
      <c r="AB106" s="310"/>
      <c r="AC106" s="310"/>
      <c r="AE106" s="4">
        <f t="shared" si="3"/>
        <v>0</v>
      </c>
      <c r="AF106" s="310"/>
      <c r="AG106" s="310"/>
      <c r="AI106" s="4">
        <f t="shared" si="4"/>
        <v>0</v>
      </c>
    </row>
    <row r="107" spans="1:35" ht="31.5" x14ac:dyDescent="0.25">
      <c r="A107" s="277"/>
      <c r="B107" s="278" t="s">
        <v>542</v>
      </c>
      <c r="C107" s="279">
        <v>0.9</v>
      </c>
      <c r="D107" s="310"/>
      <c r="E107" s="310"/>
      <c r="F107" s="4"/>
      <c r="G107" s="4">
        <f t="shared" si="0"/>
        <v>0</v>
      </c>
      <c r="H107" s="310"/>
      <c r="I107" s="310"/>
      <c r="J107" s="300"/>
      <c r="K107" s="4">
        <f t="shared" si="10"/>
        <v>0</v>
      </c>
      <c r="L107" s="310"/>
      <c r="M107" s="310"/>
      <c r="O107" s="4">
        <f t="shared" si="9"/>
        <v>0</v>
      </c>
      <c r="P107" s="310"/>
      <c r="Q107" s="310"/>
      <c r="S107" s="4">
        <f t="shared" si="5"/>
        <v>0</v>
      </c>
      <c r="T107" s="310"/>
      <c r="U107" s="310"/>
      <c r="W107" s="4">
        <f t="shared" si="1"/>
        <v>0</v>
      </c>
      <c r="X107" s="310"/>
      <c r="Y107" s="310"/>
      <c r="AA107" s="4">
        <f t="shared" si="2"/>
        <v>0</v>
      </c>
      <c r="AB107" s="310"/>
      <c r="AC107" s="310"/>
      <c r="AE107" s="4">
        <f t="shared" si="3"/>
        <v>0</v>
      </c>
      <c r="AF107" s="310"/>
      <c r="AG107" s="310"/>
      <c r="AI107" s="4">
        <f t="shared" si="4"/>
        <v>0</v>
      </c>
    </row>
    <row r="108" spans="1:35" ht="15.75" x14ac:dyDescent="0.25">
      <c r="A108" s="277"/>
      <c r="B108" s="278" t="s">
        <v>543</v>
      </c>
      <c r="C108" s="279">
        <v>1.71</v>
      </c>
      <c r="D108" s="310"/>
      <c r="E108" s="310"/>
      <c r="F108" s="4"/>
      <c r="G108" s="4">
        <f t="shared" si="0"/>
        <v>0</v>
      </c>
      <c r="H108" s="310"/>
      <c r="I108" s="310"/>
      <c r="J108" s="300"/>
      <c r="K108" s="4">
        <f t="shared" si="10"/>
        <v>0</v>
      </c>
      <c r="L108" s="310"/>
      <c r="M108" s="310"/>
      <c r="O108" s="4">
        <f t="shared" si="9"/>
        <v>0</v>
      </c>
      <c r="P108" s="310"/>
      <c r="Q108" s="310"/>
      <c r="S108" s="4">
        <f t="shared" si="5"/>
        <v>0</v>
      </c>
      <c r="T108" s="310"/>
      <c r="U108" s="310"/>
      <c r="W108" s="4">
        <f t="shared" si="1"/>
        <v>0</v>
      </c>
      <c r="X108" s="310"/>
      <c r="Y108" s="310"/>
      <c r="AA108" s="4">
        <f t="shared" si="2"/>
        <v>0</v>
      </c>
      <c r="AB108" s="310"/>
      <c r="AC108" s="310"/>
      <c r="AE108" s="4">
        <f t="shared" si="3"/>
        <v>0</v>
      </c>
      <c r="AF108" s="310"/>
      <c r="AG108" s="310"/>
      <c r="AI108" s="4">
        <f t="shared" si="4"/>
        <v>0</v>
      </c>
    </row>
    <row r="109" spans="1:35" ht="15.75" x14ac:dyDescent="0.25">
      <c r="A109" s="277"/>
      <c r="B109" s="278" t="s">
        <v>544</v>
      </c>
      <c r="C109" s="279">
        <v>1.41</v>
      </c>
      <c r="D109" s="310"/>
      <c r="E109" s="310"/>
      <c r="F109" s="4"/>
      <c r="G109" s="4">
        <f t="shared" si="0"/>
        <v>0</v>
      </c>
      <c r="H109" s="310"/>
      <c r="I109" s="310"/>
      <c r="J109" s="300"/>
      <c r="K109" s="4">
        <f t="shared" si="10"/>
        <v>0</v>
      </c>
      <c r="L109" s="310"/>
      <c r="M109" s="310"/>
      <c r="O109" s="4">
        <f t="shared" si="9"/>
        <v>0</v>
      </c>
      <c r="P109" s="310"/>
      <c r="Q109" s="310"/>
      <c r="S109" s="4">
        <f t="shared" si="5"/>
        <v>0</v>
      </c>
      <c r="T109" s="310"/>
      <c r="U109" s="310"/>
      <c r="W109" s="4">
        <f t="shared" si="1"/>
        <v>0</v>
      </c>
      <c r="X109" s="310"/>
      <c r="Y109" s="310"/>
      <c r="AA109" s="4">
        <f t="shared" si="2"/>
        <v>0</v>
      </c>
      <c r="AB109" s="310"/>
      <c r="AC109" s="310"/>
      <c r="AE109" s="4">
        <f t="shared" si="3"/>
        <v>0</v>
      </c>
      <c r="AF109" s="310"/>
      <c r="AG109" s="310"/>
      <c r="AI109" s="4">
        <f t="shared" si="4"/>
        <v>0</v>
      </c>
    </row>
    <row r="110" spans="1:35" ht="15.75" x14ac:dyDescent="0.25">
      <c r="A110" s="277"/>
      <c r="B110" s="278" t="s">
        <v>545</v>
      </c>
      <c r="C110" s="279">
        <v>0.89</v>
      </c>
      <c r="D110" s="310"/>
      <c r="E110" s="310"/>
      <c r="F110" s="4"/>
      <c r="G110" s="4">
        <f t="shared" si="0"/>
        <v>0</v>
      </c>
      <c r="H110" s="310"/>
      <c r="I110" s="310"/>
      <c r="J110" s="300"/>
      <c r="K110" s="4">
        <f t="shared" si="10"/>
        <v>0</v>
      </c>
      <c r="L110" s="310"/>
      <c r="M110" s="310"/>
      <c r="O110" s="4">
        <f t="shared" si="9"/>
        <v>0</v>
      </c>
      <c r="P110" s="310"/>
      <c r="Q110" s="310"/>
      <c r="S110" s="4">
        <f t="shared" si="5"/>
        <v>0</v>
      </c>
      <c r="T110" s="310"/>
      <c r="U110" s="310"/>
      <c r="W110" s="4">
        <f t="shared" si="1"/>
        <v>0</v>
      </c>
      <c r="X110" s="310"/>
      <c r="Y110" s="310"/>
      <c r="AA110" s="4">
        <f t="shared" si="2"/>
        <v>0</v>
      </c>
      <c r="AB110" s="310"/>
      <c r="AC110" s="310"/>
      <c r="AE110" s="4">
        <f t="shared" si="3"/>
        <v>0</v>
      </c>
      <c r="AF110" s="310"/>
      <c r="AG110" s="310"/>
      <c r="AI110" s="4">
        <f t="shared" si="4"/>
        <v>0</v>
      </c>
    </row>
    <row r="111" spans="1:35" ht="31.5" x14ac:dyDescent="0.25">
      <c r="A111" s="277"/>
      <c r="B111" s="278" t="s">
        <v>546</v>
      </c>
      <c r="C111" s="279">
        <v>0.65</v>
      </c>
      <c r="D111" s="310"/>
      <c r="E111" s="310"/>
      <c r="F111" s="4"/>
      <c r="G111" s="4">
        <f t="shared" si="0"/>
        <v>0</v>
      </c>
      <c r="H111" s="310"/>
      <c r="I111" s="310"/>
      <c r="J111" s="300"/>
      <c r="K111" s="4">
        <f t="shared" si="10"/>
        <v>0</v>
      </c>
      <c r="L111" s="310"/>
      <c r="M111" s="310"/>
      <c r="O111" s="4">
        <f t="shared" si="9"/>
        <v>0</v>
      </c>
      <c r="P111" s="310"/>
      <c r="Q111" s="310"/>
      <c r="S111" s="4">
        <f t="shared" si="5"/>
        <v>0</v>
      </c>
      <c r="T111" s="310"/>
      <c r="U111" s="310"/>
      <c r="W111" s="4">
        <f t="shared" si="1"/>
        <v>0</v>
      </c>
      <c r="X111" s="310"/>
      <c r="Y111" s="310"/>
      <c r="AA111" s="4">
        <f t="shared" si="2"/>
        <v>0</v>
      </c>
      <c r="AB111" s="310"/>
      <c r="AC111" s="310"/>
      <c r="AE111" s="4">
        <f t="shared" si="3"/>
        <v>0</v>
      </c>
      <c r="AF111" s="310"/>
      <c r="AG111" s="310"/>
      <c r="AI111" s="4">
        <f t="shared" si="4"/>
        <v>0</v>
      </c>
    </row>
    <row r="112" spans="1:35" ht="15.75" x14ac:dyDescent="0.25">
      <c r="A112" s="277"/>
      <c r="B112" s="278" t="s">
        <v>547</v>
      </c>
      <c r="C112" s="279">
        <v>0.64</v>
      </c>
      <c r="D112" s="310"/>
      <c r="E112" s="310"/>
      <c r="F112" s="4"/>
      <c r="G112" s="4">
        <f t="shared" si="0"/>
        <v>0</v>
      </c>
      <c r="H112" s="310"/>
      <c r="I112" s="310"/>
      <c r="J112" s="300"/>
      <c r="K112" s="4">
        <f t="shared" si="10"/>
        <v>0</v>
      </c>
      <c r="L112" s="310"/>
      <c r="M112" s="310"/>
      <c r="O112" s="4">
        <f t="shared" si="9"/>
        <v>0</v>
      </c>
      <c r="P112" s="310"/>
      <c r="Q112" s="310"/>
      <c r="S112" s="4">
        <f t="shared" si="5"/>
        <v>0</v>
      </c>
      <c r="T112" s="310"/>
      <c r="U112" s="310"/>
      <c r="W112" s="4">
        <f t="shared" si="1"/>
        <v>0</v>
      </c>
      <c r="X112" s="310"/>
      <c r="Y112" s="310"/>
      <c r="AA112" s="4">
        <f t="shared" si="2"/>
        <v>0</v>
      </c>
      <c r="AB112" s="310"/>
      <c r="AC112" s="310"/>
      <c r="AE112" s="4">
        <f t="shared" si="3"/>
        <v>0</v>
      </c>
      <c r="AF112" s="310"/>
      <c r="AG112" s="310"/>
      <c r="AI112" s="4">
        <f t="shared" si="4"/>
        <v>0</v>
      </c>
    </row>
    <row r="113" spans="1:35" ht="31.5" x14ac:dyDescent="0.25">
      <c r="A113" s="277"/>
      <c r="B113" s="278" t="s">
        <v>548</v>
      </c>
      <c r="C113" s="279">
        <v>0.21</v>
      </c>
      <c r="D113" s="310"/>
      <c r="E113" s="310"/>
      <c r="F113" s="4"/>
      <c r="G113" s="4">
        <f t="shared" si="0"/>
        <v>0</v>
      </c>
      <c r="H113" s="310"/>
      <c r="I113" s="310"/>
      <c r="J113" s="300"/>
      <c r="K113" s="4">
        <f t="shared" si="10"/>
        <v>0</v>
      </c>
      <c r="L113" s="310"/>
      <c r="M113" s="310"/>
      <c r="O113" s="4">
        <f t="shared" si="9"/>
        <v>0</v>
      </c>
      <c r="P113" s="310"/>
      <c r="Q113" s="310"/>
      <c r="S113" s="4">
        <f t="shared" si="5"/>
        <v>0</v>
      </c>
      <c r="T113" s="310"/>
      <c r="U113" s="310"/>
      <c r="W113" s="4">
        <f t="shared" si="1"/>
        <v>0</v>
      </c>
      <c r="X113" s="310"/>
      <c r="Y113" s="310"/>
      <c r="AA113" s="4">
        <f t="shared" si="2"/>
        <v>0</v>
      </c>
      <c r="AB113" s="310"/>
      <c r="AC113" s="310"/>
      <c r="AE113" s="4">
        <f t="shared" si="3"/>
        <v>0</v>
      </c>
      <c r="AF113" s="310"/>
      <c r="AG113" s="310"/>
      <c r="AI113" s="4">
        <f t="shared" si="4"/>
        <v>0</v>
      </c>
    </row>
    <row r="114" spans="1:35" ht="31.5" x14ac:dyDescent="0.25">
      <c r="A114" s="277"/>
      <c r="B114" s="278" t="s">
        <v>549</v>
      </c>
      <c r="C114" s="279">
        <v>0.28000000000000003</v>
      </c>
      <c r="D114" s="310"/>
      <c r="E114" s="310"/>
      <c r="F114" s="4"/>
      <c r="G114" s="4">
        <f t="shared" si="0"/>
        <v>0</v>
      </c>
      <c r="H114" s="310"/>
      <c r="I114" s="310"/>
      <c r="J114" s="300"/>
      <c r="K114" s="4">
        <f t="shared" si="10"/>
        <v>0</v>
      </c>
      <c r="L114" s="310"/>
      <c r="M114" s="310"/>
      <c r="O114" s="4">
        <f t="shared" si="9"/>
        <v>0</v>
      </c>
      <c r="P114" s="310"/>
      <c r="Q114" s="310"/>
      <c r="S114" s="4">
        <f t="shared" si="5"/>
        <v>0</v>
      </c>
      <c r="T114" s="310"/>
      <c r="U114" s="310"/>
      <c r="W114" s="4">
        <f t="shared" si="1"/>
        <v>0</v>
      </c>
      <c r="X114" s="310"/>
      <c r="Y114" s="310"/>
      <c r="AA114" s="4">
        <f t="shared" si="2"/>
        <v>0</v>
      </c>
      <c r="AB114" s="310"/>
      <c r="AC114" s="310"/>
      <c r="AE114" s="4">
        <f t="shared" si="3"/>
        <v>0</v>
      </c>
      <c r="AF114" s="310"/>
      <c r="AG114" s="310"/>
      <c r="AI114" s="4">
        <f t="shared" si="4"/>
        <v>0</v>
      </c>
    </row>
    <row r="115" spans="1:35" ht="15.75" x14ac:dyDescent="0.25">
      <c r="A115" s="277"/>
      <c r="B115" s="278" t="s">
        <v>550</v>
      </c>
      <c r="C115" s="279">
        <v>1.57</v>
      </c>
      <c r="D115" s="310"/>
      <c r="E115" s="310"/>
      <c r="F115" s="4"/>
      <c r="G115" s="4">
        <f t="shared" si="0"/>
        <v>0</v>
      </c>
      <c r="H115" s="310"/>
      <c r="I115" s="310"/>
      <c r="J115" s="300"/>
      <c r="K115" s="4">
        <f t="shared" si="10"/>
        <v>0</v>
      </c>
      <c r="L115" s="310"/>
      <c r="M115" s="310"/>
      <c r="O115" s="4">
        <f t="shared" si="9"/>
        <v>0</v>
      </c>
      <c r="P115" s="310"/>
      <c r="Q115" s="310"/>
      <c r="S115" s="4">
        <f t="shared" si="5"/>
        <v>0</v>
      </c>
      <c r="T115" s="310"/>
      <c r="U115" s="310"/>
      <c r="W115" s="4">
        <f t="shared" si="1"/>
        <v>0</v>
      </c>
      <c r="X115" s="310"/>
      <c r="Y115" s="310"/>
      <c r="AA115" s="4">
        <f t="shared" si="2"/>
        <v>0</v>
      </c>
      <c r="AB115" s="310"/>
      <c r="AC115" s="310"/>
      <c r="AE115" s="4">
        <f t="shared" si="3"/>
        <v>0</v>
      </c>
      <c r="AF115" s="310"/>
      <c r="AG115" s="310"/>
      <c r="AI115" s="4">
        <f t="shared" si="4"/>
        <v>0</v>
      </c>
    </row>
    <row r="116" spans="1:35" ht="15.75" x14ac:dyDescent="0.25">
      <c r="A116" s="277"/>
      <c r="B116" s="278" t="s">
        <v>551</v>
      </c>
      <c r="C116" s="279">
        <v>2.16</v>
      </c>
      <c r="D116" s="310"/>
      <c r="E116" s="310"/>
      <c r="F116" s="4"/>
      <c r="G116" s="4">
        <f t="shared" si="0"/>
        <v>0</v>
      </c>
      <c r="H116" s="310"/>
      <c r="I116" s="310"/>
      <c r="J116" s="300"/>
      <c r="K116" s="4">
        <f t="shared" si="10"/>
        <v>0</v>
      </c>
      <c r="L116" s="310"/>
      <c r="M116" s="310"/>
      <c r="O116" s="4">
        <f t="shared" si="9"/>
        <v>0</v>
      </c>
      <c r="P116" s="310"/>
      <c r="Q116" s="310"/>
      <c r="S116" s="4">
        <f t="shared" si="5"/>
        <v>0</v>
      </c>
      <c r="T116" s="310"/>
      <c r="U116" s="310"/>
      <c r="W116" s="4">
        <f t="shared" si="1"/>
        <v>0</v>
      </c>
      <c r="X116" s="310"/>
      <c r="Y116" s="310"/>
      <c r="AA116" s="4">
        <f t="shared" si="2"/>
        <v>0</v>
      </c>
      <c r="AB116" s="310"/>
      <c r="AC116" s="310"/>
      <c r="AE116" s="4">
        <f t="shared" si="3"/>
        <v>0</v>
      </c>
      <c r="AF116" s="310"/>
      <c r="AG116" s="310"/>
      <c r="AI116" s="4">
        <f t="shared" si="4"/>
        <v>0</v>
      </c>
    </row>
    <row r="117" spans="1:35" ht="15.75" x14ac:dyDescent="0.25">
      <c r="A117" s="277"/>
      <c r="B117" s="278" t="s">
        <v>552</v>
      </c>
      <c r="C117" s="279">
        <v>2.4900000000000002</v>
      </c>
      <c r="D117" s="310"/>
      <c r="E117" s="310"/>
      <c r="F117" s="4"/>
      <c r="G117" s="4">
        <f t="shared" si="0"/>
        <v>0</v>
      </c>
      <c r="H117" s="310"/>
      <c r="I117" s="310"/>
      <c r="J117" s="300"/>
      <c r="K117" s="4">
        <f t="shared" si="10"/>
        <v>0</v>
      </c>
      <c r="L117" s="310"/>
      <c r="M117" s="310"/>
      <c r="O117" s="4">
        <f t="shared" si="9"/>
        <v>0</v>
      </c>
      <c r="P117" s="310"/>
      <c r="Q117" s="310"/>
      <c r="S117" s="4">
        <f t="shared" si="5"/>
        <v>0</v>
      </c>
      <c r="T117" s="310"/>
      <c r="U117" s="310"/>
      <c r="W117" s="4">
        <f t="shared" si="1"/>
        <v>0</v>
      </c>
      <c r="X117" s="310"/>
      <c r="Y117" s="310"/>
      <c r="AA117" s="4">
        <f t="shared" si="2"/>
        <v>0</v>
      </c>
      <c r="AB117" s="310"/>
      <c r="AC117" s="310"/>
      <c r="AE117" s="4">
        <f t="shared" si="3"/>
        <v>0</v>
      </c>
      <c r="AF117" s="310"/>
      <c r="AG117" s="310"/>
      <c r="AI117" s="4">
        <f t="shared" si="4"/>
        <v>0</v>
      </c>
    </row>
    <row r="118" spans="1:35" ht="15.75" x14ac:dyDescent="0.25">
      <c r="A118" s="277"/>
      <c r="B118" s="278" t="s">
        <v>553</v>
      </c>
      <c r="C118" s="279">
        <v>2.33</v>
      </c>
      <c r="D118" s="310"/>
      <c r="E118" s="310"/>
      <c r="F118" s="4"/>
      <c r="G118" s="4">
        <f t="shared" si="0"/>
        <v>0</v>
      </c>
      <c r="H118" s="310"/>
      <c r="I118" s="310"/>
      <c r="J118" s="300"/>
      <c r="K118" s="4">
        <f t="shared" si="10"/>
        <v>0</v>
      </c>
      <c r="L118" s="310"/>
      <c r="M118" s="310"/>
      <c r="O118" s="4">
        <f t="shared" si="9"/>
        <v>0</v>
      </c>
      <c r="P118" s="310"/>
      <c r="Q118" s="310"/>
      <c r="S118" s="4">
        <f t="shared" si="5"/>
        <v>0</v>
      </c>
      <c r="T118" s="310"/>
      <c r="U118" s="310"/>
      <c r="W118" s="4">
        <f t="shared" si="1"/>
        <v>0</v>
      </c>
      <c r="X118" s="310"/>
      <c r="Y118" s="310"/>
      <c r="AA118" s="4">
        <f t="shared" si="2"/>
        <v>0</v>
      </c>
      <c r="AB118" s="310"/>
      <c r="AC118" s="310"/>
      <c r="AE118" s="4">
        <f t="shared" si="3"/>
        <v>0</v>
      </c>
      <c r="AF118" s="310"/>
      <c r="AG118" s="310"/>
      <c r="AI118" s="4">
        <f t="shared" si="4"/>
        <v>0</v>
      </c>
    </row>
    <row r="119" spans="1:35" ht="15.75" x14ac:dyDescent="0.25">
      <c r="A119" s="277"/>
      <c r="B119" s="278" t="s">
        <v>554</v>
      </c>
      <c r="C119" s="279">
        <v>0.44</v>
      </c>
      <c r="D119" s="310"/>
      <c r="E119" s="310"/>
      <c r="F119" s="4"/>
      <c r="G119" s="4">
        <f t="shared" si="0"/>
        <v>0</v>
      </c>
      <c r="H119" s="310"/>
      <c r="I119" s="310"/>
      <c r="J119" s="300"/>
      <c r="K119" s="4">
        <f t="shared" si="10"/>
        <v>0</v>
      </c>
      <c r="L119" s="310"/>
      <c r="M119" s="310"/>
      <c r="O119" s="4">
        <f t="shared" si="9"/>
        <v>0</v>
      </c>
      <c r="P119" s="310"/>
      <c r="Q119" s="310"/>
      <c r="S119" s="4">
        <f t="shared" si="5"/>
        <v>0</v>
      </c>
      <c r="T119" s="310"/>
      <c r="U119" s="310"/>
      <c r="W119" s="4">
        <f t="shared" si="1"/>
        <v>0</v>
      </c>
      <c r="X119" s="310"/>
      <c r="Y119" s="310"/>
      <c r="AA119" s="4">
        <f t="shared" si="2"/>
        <v>0</v>
      </c>
      <c r="AB119" s="310"/>
      <c r="AC119" s="310"/>
      <c r="AE119" s="4">
        <f t="shared" si="3"/>
        <v>0</v>
      </c>
      <c r="AF119" s="310"/>
      <c r="AG119" s="310"/>
      <c r="AI119" s="4">
        <f t="shared" si="4"/>
        <v>0</v>
      </c>
    </row>
    <row r="120" spans="1:35" ht="15.75" x14ac:dyDescent="0.25">
      <c r="A120" s="4">
        <v>9</v>
      </c>
      <c r="B120" s="280" t="s">
        <v>313</v>
      </c>
      <c r="C120" s="279"/>
      <c r="D120" s="310"/>
      <c r="E120" s="310"/>
      <c r="F120" s="4"/>
      <c r="G120" s="4">
        <f t="shared" si="0"/>
        <v>0</v>
      </c>
      <c r="H120" s="310"/>
      <c r="I120" s="310"/>
      <c r="J120" s="300"/>
      <c r="K120" s="4">
        <f t="shared" ref="K120:K142" si="11">$C120*H120/100</f>
        <v>0</v>
      </c>
      <c r="L120" s="310"/>
      <c r="M120" s="310"/>
      <c r="O120" s="4">
        <f t="shared" si="9"/>
        <v>0</v>
      </c>
      <c r="P120" s="310"/>
      <c r="Q120" s="310"/>
      <c r="S120" s="4">
        <f t="shared" si="5"/>
        <v>0</v>
      </c>
      <c r="T120" s="310"/>
      <c r="U120" s="310"/>
      <c r="W120" s="4">
        <f t="shared" si="1"/>
        <v>0</v>
      </c>
      <c r="X120" s="310"/>
      <c r="Y120" s="310"/>
      <c r="AA120" s="4">
        <f t="shared" si="2"/>
        <v>0</v>
      </c>
      <c r="AB120" s="310"/>
      <c r="AC120" s="310"/>
      <c r="AE120" s="4">
        <f t="shared" si="3"/>
        <v>0</v>
      </c>
      <c r="AF120" s="310"/>
      <c r="AG120" s="310"/>
      <c r="AI120" s="4">
        <f t="shared" si="4"/>
        <v>0</v>
      </c>
    </row>
    <row r="121" spans="1:35" ht="35.25" customHeight="1" x14ac:dyDescent="0.25">
      <c r="A121" s="277"/>
      <c r="B121" s="278" t="s">
        <v>454</v>
      </c>
      <c r="C121" s="279">
        <v>0.3</v>
      </c>
      <c r="D121" s="309">
        <f>MAX(C121:C138)</f>
        <v>3.56</v>
      </c>
      <c r="E121" s="310">
        <f>MIN(C121:C138)</f>
        <v>0.19</v>
      </c>
      <c r="F121" s="4"/>
      <c r="G121" s="4">
        <f t="shared" si="0"/>
        <v>0</v>
      </c>
      <c r="H121" s="309">
        <f>MAX(C121:C138)</f>
        <v>3.56</v>
      </c>
      <c r="I121" s="310">
        <f>MIN(C121:C138)</f>
        <v>0.19</v>
      </c>
      <c r="J121" s="300"/>
      <c r="K121" s="4">
        <f t="shared" si="11"/>
        <v>1.068E-2</v>
      </c>
      <c r="L121" s="309">
        <v>3.56</v>
      </c>
      <c r="M121" s="310">
        <v>0.19</v>
      </c>
      <c r="O121" s="4">
        <f t="shared" si="9"/>
        <v>0</v>
      </c>
      <c r="P121" s="309">
        <v>3.56</v>
      </c>
      <c r="Q121" s="310">
        <v>0.19</v>
      </c>
      <c r="S121" s="4">
        <f t="shared" si="5"/>
        <v>1.068E-2</v>
      </c>
      <c r="T121" s="309">
        <v>3.56</v>
      </c>
      <c r="U121" s="310">
        <v>0.19</v>
      </c>
      <c r="W121" s="4">
        <f t="shared" si="1"/>
        <v>0</v>
      </c>
      <c r="X121" s="309">
        <v>3.56</v>
      </c>
      <c r="Y121" s="310">
        <v>0.19</v>
      </c>
      <c r="AA121" s="4">
        <f t="shared" si="2"/>
        <v>0</v>
      </c>
      <c r="AB121" s="309">
        <v>3.56</v>
      </c>
      <c r="AC121" s="310">
        <v>0.19</v>
      </c>
      <c r="AE121" s="4">
        <f t="shared" si="3"/>
        <v>0</v>
      </c>
      <c r="AF121" s="309">
        <f>MAX(C121:C138)</f>
        <v>3.56</v>
      </c>
      <c r="AG121" s="310">
        <f>MIN(C121:C138)</f>
        <v>0.19</v>
      </c>
      <c r="AI121" s="4">
        <f t="shared" si="4"/>
        <v>0</v>
      </c>
    </row>
    <row r="122" spans="1:35" ht="35.25" customHeight="1" x14ac:dyDescent="0.25">
      <c r="A122" s="277"/>
      <c r="B122" s="278" t="s">
        <v>455</v>
      </c>
      <c r="C122" s="279">
        <v>0.54</v>
      </c>
      <c r="D122" s="310"/>
      <c r="E122" s="310"/>
      <c r="F122" s="4"/>
      <c r="G122" s="4">
        <f t="shared" si="0"/>
        <v>0</v>
      </c>
      <c r="H122" s="310"/>
      <c r="I122" s="310"/>
      <c r="J122" s="300"/>
      <c r="K122" s="4">
        <f t="shared" si="11"/>
        <v>0</v>
      </c>
      <c r="L122" s="310"/>
      <c r="M122" s="310"/>
      <c r="O122" s="4">
        <f t="shared" si="9"/>
        <v>0</v>
      </c>
      <c r="P122" s="310"/>
      <c r="Q122" s="310"/>
      <c r="S122" s="4">
        <f t="shared" si="5"/>
        <v>0</v>
      </c>
      <c r="T122" s="310"/>
      <c r="U122" s="310"/>
      <c r="W122" s="4">
        <f t="shared" si="1"/>
        <v>0</v>
      </c>
      <c r="X122" s="310"/>
      <c r="Y122" s="310"/>
      <c r="AA122" s="4">
        <f t="shared" si="2"/>
        <v>0</v>
      </c>
      <c r="AB122" s="310"/>
      <c r="AC122" s="310"/>
      <c r="AE122" s="4">
        <f t="shared" si="3"/>
        <v>0</v>
      </c>
      <c r="AF122" s="310"/>
      <c r="AG122" s="310"/>
      <c r="AI122" s="4">
        <f t="shared" si="4"/>
        <v>0</v>
      </c>
    </row>
    <row r="123" spans="1:35" ht="35.25" customHeight="1" x14ac:dyDescent="0.25">
      <c r="A123" s="277"/>
      <c r="B123" s="278" t="s">
        <v>456</v>
      </c>
      <c r="C123" s="279">
        <v>0.19</v>
      </c>
      <c r="D123" s="310"/>
      <c r="E123" s="310"/>
      <c r="F123" s="4"/>
      <c r="G123" s="4">
        <f t="shared" si="0"/>
        <v>0</v>
      </c>
      <c r="H123" s="310"/>
      <c r="I123" s="310"/>
      <c r="J123" s="300"/>
      <c r="K123" s="4">
        <f t="shared" si="11"/>
        <v>0</v>
      </c>
      <c r="L123" s="310"/>
      <c r="M123" s="310"/>
      <c r="O123" s="4">
        <f t="shared" si="9"/>
        <v>0</v>
      </c>
      <c r="P123" s="310"/>
      <c r="Q123" s="310"/>
      <c r="S123" s="4">
        <f t="shared" si="5"/>
        <v>0</v>
      </c>
      <c r="T123" s="310"/>
      <c r="U123" s="310"/>
      <c r="W123" s="4">
        <f t="shared" si="1"/>
        <v>0</v>
      </c>
      <c r="X123" s="310"/>
      <c r="Y123" s="310"/>
      <c r="AA123" s="4">
        <f t="shared" si="2"/>
        <v>0</v>
      </c>
      <c r="AB123" s="310"/>
      <c r="AC123" s="310"/>
      <c r="AE123" s="4">
        <f t="shared" si="3"/>
        <v>0</v>
      </c>
      <c r="AF123" s="310"/>
      <c r="AG123" s="310"/>
      <c r="AI123" s="4">
        <f t="shared" si="4"/>
        <v>0</v>
      </c>
    </row>
    <row r="124" spans="1:35" ht="35.25" customHeight="1" x14ac:dyDescent="0.25">
      <c r="A124" s="277"/>
      <c r="B124" s="278" t="s">
        <v>457</v>
      </c>
      <c r="C124" s="279">
        <v>0.43</v>
      </c>
      <c r="D124" s="310"/>
      <c r="E124" s="310"/>
      <c r="F124" s="4"/>
      <c r="G124" s="4">
        <f t="shared" si="0"/>
        <v>0</v>
      </c>
      <c r="H124" s="310"/>
      <c r="I124" s="310"/>
      <c r="J124" s="300"/>
      <c r="K124" s="4">
        <f t="shared" si="11"/>
        <v>0</v>
      </c>
      <c r="L124" s="310"/>
      <c r="M124" s="310"/>
      <c r="O124" s="4">
        <f t="shared" si="9"/>
        <v>0</v>
      </c>
      <c r="P124" s="310"/>
      <c r="Q124" s="310"/>
      <c r="S124" s="4">
        <f t="shared" si="5"/>
        <v>0</v>
      </c>
      <c r="T124" s="310"/>
      <c r="U124" s="310"/>
      <c r="W124" s="4">
        <f t="shared" si="1"/>
        <v>0</v>
      </c>
      <c r="X124" s="310"/>
      <c r="Y124" s="310"/>
      <c r="AA124" s="4">
        <f t="shared" si="2"/>
        <v>0</v>
      </c>
      <c r="AB124" s="310"/>
      <c r="AC124" s="310"/>
      <c r="AE124" s="4">
        <f t="shared" si="3"/>
        <v>0</v>
      </c>
      <c r="AF124" s="310"/>
      <c r="AG124" s="310"/>
      <c r="AI124" s="4">
        <f t="shared" si="4"/>
        <v>0</v>
      </c>
    </row>
    <row r="125" spans="1:35" ht="35.25" customHeight="1" x14ac:dyDescent="0.25">
      <c r="A125" s="277"/>
      <c r="B125" s="278" t="s">
        <v>458</v>
      </c>
      <c r="C125" s="279">
        <v>0.41</v>
      </c>
      <c r="D125" s="310"/>
      <c r="E125" s="310"/>
      <c r="F125" s="4"/>
      <c r="G125" s="4">
        <f t="shared" si="0"/>
        <v>0</v>
      </c>
      <c r="H125" s="310"/>
      <c r="I125" s="310"/>
      <c r="J125" s="300"/>
      <c r="K125" s="4">
        <f t="shared" si="11"/>
        <v>0</v>
      </c>
      <c r="L125" s="310"/>
      <c r="M125" s="310"/>
      <c r="O125" s="4">
        <f t="shared" si="9"/>
        <v>0</v>
      </c>
      <c r="P125" s="310"/>
      <c r="Q125" s="310"/>
      <c r="S125" s="4">
        <f t="shared" si="5"/>
        <v>0</v>
      </c>
      <c r="T125" s="310"/>
      <c r="U125" s="310"/>
      <c r="W125" s="4">
        <f t="shared" si="1"/>
        <v>0</v>
      </c>
      <c r="X125" s="310"/>
      <c r="Y125" s="310"/>
      <c r="AA125" s="4">
        <f t="shared" si="2"/>
        <v>0</v>
      </c>
      <c r="AB125" s="310"/>
      <c r="AC125" s="310"/>
      <c r="AE125" s="4">
        <f t="shared" si="3"/>
        <v>0</v>
      </c>
      <c r="AF125" s="310"/>
      <c r="AG125" s="310"/>
      <c r="AI125" s="4">
        <f t="shared" si="4"/>
        <v>0</v>
      </c>
    </row>
    <row r="126" spans="1:35" ht="35.25" customHeight="1" x14ac:dyDescent="0.25">
      <c r="A126" s="277"/>
      <c r="B126" s="278" t="s">
        <v>459</v>
      </c>
      <c r="C126" s="279">
        <v>0.52</v>
      </c>
      <c r="D126" s="310"/>
      <c r="E126" s="310"/>
      <c r="F126" s="4"/>
      <c r="G126" s="4">
        <f t="shared" si="0"/>
        <v>0</v>
      </c>
      <c r="H126" s="310"/>
      <c r="I126" s="310"/>
      <c r="J126" s="300"/>
      <c r="K126" s="4">
        <f t="shared" si="11"/>
        <v>0</v>
      </c>
      <c r="L126" s="310"/>
      <c r="M126" s="310"/>
      <c r="O126" s="4">
        <f t="shared" si="9"/>
        <v>0</v>
      </c>
      <c r="P126" s="310"/>
      <c r="Q126" s="310"/>
      <c r="S126" s="4">
        <f t="shared" si="5"/>
        <v>0</v>
      </c>
      <c r="T126" s="310"/>
      <c r="U126" s="310"/>
      <c r="W126" s="4">
        <f t="shared" si="1"/>
        <v>0</v>
      </c>
      <c r="X126" s="310"/>
      <c r="Y126" s="310"/>
      <c r="AA126" s="4">
        <f t="shared" si="2"/>
        <v>0</v>
      </c>
      <c r="AB126" s="310"/>
      <c r="AC126" s="310"/>
      <c r="AE126" s="4">
        <f t="shared" si="3"/>
        <v>0</v>
      </c>
      <c r="AF126" s="310"/>
      <c r="AG126" s="310"/>
      <c r="AI126" s="4">
        <f t="shared" si="4"/>
        <v>0</v>
      </c>
    </row>
    <row r="127" spans="1:35" ht="35.25" customHeight="1" x14ac:dyDescent="0.25">
      <c r="A127" s="277"/>
      <c r="B127" s="278" t="s">
        <v>460</v>
      </c>
      <c r="C127" s="279">
        <v>1.21</v>
      </c>
      <c r="D127" s="310"/>
      <c r="E127" s="310"/>
      <c r="F127" s="4"/>
      <c r="G127" s="4">
        <f t="shared" si="0"/>
        <v>0</v>
      </c>
      <c r="H127" s="310"/>
      <c r="I127" s="310"/>
      <c r="J127" s="300"/>
      <c r="K127" s="4">
        <f t="shared" si="11"/>
        <v>0</v>
      </c>
      <c r="L127" s="310"/>
      <c r="M127" s="310"/>
      <c r="O127" s="4">
        <f t="shared" si="9"/>
        <v>0</v>
      </c>
      <c r="P127" s="310"/>
      <c r="Q127" s="310"/>
      <c r="S127" s="4">
        <f t="shared" si="5"/>
        <v>0</v>
      </c>
      <c r="T127" s="310"/>
      <c r="U127" s="310"/>
      <c r="W127" s="4">
        <f t="shared" si="1"/>
        <v>0</v>
      </c>
      <c r="X127" s="310"/>
      <c r="Y127" s="310"/>
      <c r="AA127" s="4">
        <f t="shared" si="2"/>
        <v>0</v>
      </c>
      <c r="AB127" s="310"/>
      <c r="AC127" s="310"/>
      <c r="AE127" s="4">
        <f t="shared" si="3"/>
        <v>0</v>
      </c>
      <c r="AF127" s="310"/>
      <c r="AG127" s="310"/>
      <c r="AI127" s="4">
        <f t="shared" si="4"/>
        <v>0</v>
      </c>
    </row>
    <row r="128" spans="1:35" ht="35.25" customHeight="1" x14ac:dyDescent="0.25">
      <c r="A128" s="277"/>
      <c r="B128" s="278" t="s">
        <v>606</v>
      </c>
      <c r="C128" s="279">
        <v>0.75</v>
      </c>
      <c r="D128" s="310"/>
      <c r="E128" s="310"/>
      <c r="F128" s="4"/>
      <c r="G128" s="4">
        <f t="shared" si="0"/>
        <v>0</v>
      </c>
      <c r="H128" s="310"/>
      <c r="I128" s="310"/>
      <c r="J128" s="300"/>
      <c r="K128" s="4">
        <f t="shared" si="11"/>
        <v>0</v>
      </c>
      <c r="L128" s="310"/>
      <c r="M128" s="310"/>
      <c r="O128" s="4">
        <f t="shared" si="9"/>
        <v>0</v>
      </c>
      <c r="P128" s="310"/>
      <c r="Q128" s="310"/>
      <c r="S128" s="4">
        <f t="shared" si="5"/>
        <v>0</v>
      </c>
      <c r="T128" s="310"/>
      <c r="U128" s="310"/>
      <c r="W128" s="4">
        <f t="shared" si="1"/>
        <v>0</v>
      </c>
      <c r="X128" s="310"/>
      <c r="Y128" s="310"/>
      <c r="AA128" s="4">
        <f t="shared" si="2"/>
        <v>0</v>
      </c>
      <c r="AB128" s="310"/>
      <c r="AC128" s="310"/>
      <c r="AE128" s="4">
        <f t="shared" si="3"/>
        <v>0</v>
      </c>
      <c r="AF128" s="310"/>
      <c r="AG128" s="310"/>
      <c r="AI128" s="4">
        <f t="shared" si="4"/>
        <v>0</v>
      </c>
    </row>
    <row r="129" spans="1:35" ht="35.25" customHeight="1" x14ac:dyDescent="0.25">
      <c r="A129" s="277"/>
      <c r="B129" s="278" t="s">
        <v>462</v>
      </c>
      <c r="C129" s="279">
        <v>1.04</v>
      </c>
      <c r="D129" s="310"/>
      <c r="E129" s="310"/>
      <c r="F129" s="4"/>
      <c r="G129" s="4">
        <f t="shared" si="0"/>
        <v>0</v>
      </c>
      <c r="H129" s="310"/>
      <c r="I129" s="310"/>
      <c r="J129" s="300"/>
      <c r="K129" s="4">
        <f t="shared" si="11"/>
        <v>0</v>
      </c>
      <c r="L129" s="310"/>
      <c r="M129" s="310"/>
      <c r="O129" s="4">
        <f t="shared" si="9"/>
        <v>0</v>
      </c>
      <c r="P129" s="310"/>
      <c r="Q129" s="310"/>
      <c r="S129" s="4">
        <f t="shared" si="5"/>
        <v>0</v>
      </c>
      <c r="T129" s="310"/>
      <c r="U129" s="310"/>
      <c r="W129" s="4">
        <f t="shared" si="1"/>
        <v>0</v>
      </c>
      <c r="X129" s="310"/>
      <c r="Y129" s="310"/>
      <c r="AA129" s="4">
        <f t="shared" si="2"/>
        <v>0</v>
      </c>
      <c r="AB129" s="310"/>
      <c r="AC129" s="310"/>
      <c r="AE129" s="4">
        <f t="shared" si="3"/>
        <v>0</v>
      </c>
      <c r="AF129" s="310"/>
      <c r="AG129" s="310"/>
      <c r="AI129" s="4">
        <f t="shared" si="4"/>
        <v>0</v>
      </c>
    </row>
    <row r="130" spans="1:35" ht="35.25" customHeight="1" x14ac:dyDescent="0.25">
      <c r="A130" s="277"/>
      <c r="B130" s="278" t="s">
        <v>463</v>
      </c>
      <c r="C130" s="279">
        <v>1.0900000000000001</v>
      </c>
      <c r="D130" s="310"/>
      <c r="E130" s="310"/>
      <c r="F130" s="4"/>
      <c r="G130" s="4">
        <f t="shared" si="0"/>
        <v>0</v>
      </c>
      <c r="H130" s="310"/>
      <c r="I130" s="310"/>
      <c r="J130" s="300"/>
      <c r="K130" s="4">
        <f t="shared" si="11"/>
        <v>0</v>
      </c>
      <c r="L130" s="310"/>
      <c r="M130" s="310"/>
      <c r="O130" s="4">
        <f t="shared" si="9"/>
        <v>0</v>
      </c>
      <c r="P130" s="310"/>
      <c r="Q130" s="310"/>
      <c r="S130" s="4">
        <f t="shared" si="5"/>
        <v>0</v>
      </c>
      <c r="T130" s="310"/>
      <c r="U130" s="310"/>
      <c r="W130" s="4">
        <f t="shared" si="1"/>
        <v>0</v>
      </c>
      <c r="X130" s="310"/>
      <c r="Y130" s="310"/>
      <c r="AA130" s="4">
        <f t="shared" si="2"/>
        <v>0</v>
      </c>
      <c r="AB130" s="310"/>
      <c r="AC130" s="310"/>
      <c r="AE130" s="4">
        <f t="shared" si="3"/>
        <v>0</v>
      </c>
      <c r="AF130" s="310"/>
      <c r="AG130" s="310"/>
      <c r="AI130" s="4">
        <f t="shared" si="4"/>
        <v>0</v>
      </c>
    </row>
    <row r="131" spans="1:35" ht="35.25" customHeight="1" x14ac:dyDescent="0.25">
      <c r="A131" s="277"/>
      <c r="B131" s="278" t="s">
        <v>464</v>
      </c>
      <c r="C131" s="279">
        <v>1.1200000000000001</v>
      </c>
      <c r="D131" s="310"/>
      <c r="E131" s="310"/>
      <c r="F131" s="4"/>
      <c r="G131" s="4">
        <f t="shared" si="0"/>
        <v>0</v>
      </c>
      <c r="H131" s="310"/>
      <c r="I131" s="310"/>
      <c r="J131" s="300"/>
      <c r="K131" s="4">
        <f t="shared" si="11"/>
        <v>0</v>
      </c>
      <c r="L131" s="310"/>
      <c r="M131" s="310"/>
      <c r="O131" s="4">
        <f t="shared" si="9"/>
        <v>0</v>
      </c>
      <c r="P131" s="310"/>
      <c r="Q131" s="310"/>
      <c r="S131" s="4">
        <f t="shared" si="5"/>
        <v>0</v>
      </c>
      <c r="T131" s="310"/>
      <c r="U131" s="310"/>
      <c r="W131" s="4">
        <f t="shared" si="1"/>
        <v>0</v>
      </c>
      <c r="X131" s="310"/>
      <c r="Y131" s="310"/>
      <c r="AA131" s="4">
        <f t="shared" si="2"/>
        <v>0</v>
      </c>
      <c r="AB131" s="310"/>
      <c r="AC131" s="310"/>
      <c r="AE131" s="4">
        <f t="shared" si="3"/>
        <v>0</v>
      </c>
      <c r="AF131" s="310"/>
      <c r="AG131" s="310"/>
      <c r="AI131" s="4">
        <f t="shared" si="4"/>
        <v>0</v>
      </c>
    </row>
    <row r="132" spans="1:35" ht="35.25" customHeight="1" x14ac:dyDescent="0.25">
      <c r="A132" s="277"/>
      <c r="B132" s="278" t="s">
        <v>465</v>
      </c>
      <c r="C132" s="279">
        <v>3.56</v>
      </c>
      <c r="D132" s="310"/>
      <c r="E132" s="310"/>
      <c r="F132" s="4"/>
      <c r="G132" s="4">
        <f t="shared" si="0"/>
        <v>0</v>
      </c>
      <c r="H132" s="310"/>
      <c r="I132" s="310"/>
      <c r="J132" s="300"/>
      <c r="K132" s="4">
        <f t="shared" si="11"/>
        <v>0</v>
      </c>
      <c r="L132" s="310"/>
      <c r="M132" s="310"/>
      <c r="O132" s="4">
        <f t="shared" si="9"/>
        <v>0</v>
      </c>
      <c r="P132" s="310"/>
      <c r="Q132" s="310"/>
      <c r="S132" s="4">
        <f t="shared" si="5"/>
        <v>0</v>
      </c>
      <c r="T132" s="310"/>
      <c r="U132" s="310"/>
      <c r="W132" s="4">
        <f t="shared" si="1"/>
        <v>0</v>
      </c>
      <c r="X132" s="310"/>
      <c r="Y132" s="310"/>
      <c r="AA132" s="4">
        <f t="shared" si="2"/>
        <v>0</v>
      </c>
      <c r="AB132" s="310"/>
      <c r="AC132" s="310"/>
      <c r="AE132" s="4">
        <f t="shared" si="3"/>
        <v>0</v>
      </c>
      <c r="AF132" s="310"/>
      <c r="AG132" s="310"/>
      <c r="AI132" s="4">
        <f t="shared" si="4"/>
        <v>0</v>
      </c>
    </row>
    <row r="133" spans="1:35" ht="35.25" customHeight="1" x14ac:dyDescent="0.25">
      <c r="A133" s="277"/>
      <c r="B133" s="278" t="s">
        <v>466</v>
      </c>
      <c r="C133" s="279">
        <v>1.19</v>
      </c>
      <c r="D133" s="310"/>
      <c r="E133" s="310"/>
      <c r="F133" s="4"/>
      <c r="G133" s="4">
        <f t="shared" si="0"/>
        <v>0</v>
      </c>
      <c r="H133" s="310"/>
      <c r="I133" s="310"/>
      <c r="J133" s="300"/>
      <c r="K133" s="4">
        <f t="shared" si="11"/>
        <v>0</v>
      </c>
      <c r="L133" s="310"/>
      <c r="M133" s="310"/>
      <c r="O133" s="4">
        <f t="shared" si="9"/>
        <v>0</v>
      </c>
      <c r="P133" s="310"/>
      <c r="Q133" s="310"/>
      <c r="S133" s="4">
        <f t="shared" si="5"/>
        <v>0</v>
      </c>
      <c r="T133" s="310"/>
      <c r="U133" s="310"/>
      <c r="W133" s="4">
        <f t="shared" si="1"/>
        <v>0</v>
      </c>
      <c r="X133" s="310"/>
      <c r="Y133" s="310"/>
      <c r="AA133" s="4">
        <f t="shared" si="2"/>
        <v>0</v>
      </c>
      <c r="AB133" s="310"/>
      <c r="AC133" s="310"/>
      <c r="AE133" s="4">
        <f t="shared" si="3"/>
        <v>0</v>
      </c>
      <c r="AF133" s="310"/>
      <c r="AG133" s="310"/>
      <c r="AI133" s="4">
        <f t="shared" si="4"/>
        <v>0</v>
      </c>
    </row>
    <row r="134" spans="1:35" ht="35.25" customHeight="1" x14ac:dyDescent="0.25">
      <c r="A134" s="277"/>
      <c r="B134" s="278" t="s">
        <v>607</v>
      </c>
      <c r="C134" s="279">
        <v>0.31</v>
      </c>
      <c r="D134" s="310"/>
      <c r="E134" s="310"/>
      <c r="F134" s="4"/>
      <c r="G134" s="4">
        <f t="shared" si="0"/>
        <v>0</v>
      </c>
      <c r="H134" s="310"/>
      <c r="I134" s="310"/>
      <c r="J134" s="300"/>
      <c r="K134" s="4">
        <f t="shared" si="11"/>
        <v>0</v>
      </c>
      <c r="L134" s="310"/>
      <c r="M134" s="310"/>
      <c r="O134" s="4">
        <f t="shared" si="9"/>
        <v>0</v>
      </c>
      <c r="P134" s="310"/>
      <c r="Q134" s="310"/>
      <c r="S134" s="4">
        <f t="shared" si="5"/>
        <v>0</v>
      </c>
      <c r="T134" s="310"/>
      <c r="U134" s="310"/>
      <c r="W134" s="4">
        <f t="shared" si="1"/>
        <v>0</v>
      </c>
      <c r="X134" s="310"/>
      <c r="Y134" s="310"/>
      <c r="AA134" s="4">
        <f t="shared" si="2"/>
        <v>0</v>
      </c>
      <c r="AB134" s="310"/>
      <c r="AC134" s="310"/>
      <c r="AE134" s="4">
        <f t="shared" si="3"/>
        <v>0</v>
      </c>
      <c r="AF134" s="310"/>
      <c r="AG134" s="310"/>
      <c r="AI134" s="4">
        <f t="shared" si="4"/>
        <v>0</v>
      </c>
    </row>
    <row r="135" spans="1:35" ht="35.25" customHeight="1" x14ac:dyDescent="0.25">
      <c r="A135" s="277"/>
      <c r="B135" s="278" t="s">
        <v>608</v>
      </c>
      <c r="C135" s="279">
        <v>1.08</v>
      </c>
      <c r="D135" s="310"/>
      <c r="E135" s="310"/>
      <c r="F135" s="4"/>
      <c r="G135" s="4">
        <f t="shared" si="0"/>
        <v>0</v>
      </c>
      <c r="H135" s="310"/>
      <c r="I135" s="310"/>
      <c r="J135" s="300"/>
      <c r="K135" s="4">
        <f t="shared" si="11"/>
        <v>0</v>
      </c>
      <c r="L135" s="310"/>
      <c r="M135" s="310"/>
      <c r="O135" s="4">
        <f t="shared" si="9"/>
        <v>0</v>
      </c>
      <c r="P135" s="310"/>
      <c r="Q135" s="310"/>
      <c r="S135" s="4">
        <f t="shared" si="5"/>
        <v>0</v>
      </c>
      <c r="T135" s="310"/>
      <c r="U135" s="310"/>
      <c r="W135" s="4">
        <f t="shared" si="1"/>
        <v>0</v>
      </c>
      <c r="X135" s="310"/>
      <c r="Y135" s="310"/>
      <c r="AA135" s="4">
        <f t="shared" si="2"/>
        <v>0</v>
      </c>
      <c r="AB135" s="310"/>
      <c r="AC135" s="310"/>
      <c r="AE135" s="4">
        <f t="shared" si="3"/>
        <v>0</v>
      </c>
      <c r="AF135" s="310"/>
      <c r="AG135" s="310"/>
      <c r="AI135" s="4">
        <f t="shared" si="4"/>
        <v>0</v>
      </c>
    </row>
    <row r="136" spans="1:35" ht="35.25" customHeight="1" x14ac:dyDescent="0.25">
      <c r="A136" s="277"/>
      <c r="B136" s="278" t="s">
        <v>609</v>
      </c>
      <c r="C136" s="279">
        <v>0.42</v>
      </c>
      <c r="D136" s="310"/>
      <c r="E136" s="310"/>
      <c r="F136" s="4"/>
      <c r="G136" s="4">
        <f t="shared" si="0"/>
        <v>0</v>
      </c>
      <c r="H136" s="310"/>
      <c r="I136" s="310"/>
      <c r="J136" s="300"/>
      <c r="K136" s="4">
        <f t="shared" si="11"/>
        <v>0</v>
      </c>
      <c r="L136" s="310"/>
      <c r="M136" s="310"/>
      <c r="O136" s="4">
        <f t="shared" si="9"/>
        <v>0</v>
      </c>
      <c r="P136" s="310"/>
      <c r="Q136" s="310"/>
      <c r="S136" s="4">
        <f t="shared" si="5"/>
        <v>0</v>
      </c>
      <c r="T136" s="310"/>
      <c r="U136" s="310"/>
      <c r="W136" s="4">
        <f t="shared" si="1"/>
        <v>0</v>
      </c>
      <c r="X136" s="310"/>
      <c r="Y136" s="310"/>
      <c r="AA136" s="4">
        <f t="shared" si="2"/>
        <v>0</v>
      </c>
      <c r="AB136" s="310"/>
      <c r="AC136" s="310"/>
      <c r="AE136" s="4">
        <f t="shared" si="3"/>
        <v>0</v>
      </c>
      <c r="AF136" s="310"/>
      <c r="AG136" s="310"/>
      <c r="AI136" s="4">
        <f t="shared" si="4"/>
        <v>0</v>
      </c>
    </row>
    <row r="137" spans="1:35" ht="35.25" customHeight="1" x14ac:dyDescent="0.25">
      <c r="A137" s="277"/>
      <c r="B137" s="278" t="s">
        <v>610</v>
      </c>
      <c r="C137" s="279">
        <v>0.47</v>
      </c>
      <c r="D137" s="310"/>
      <c r="E137" s="310"/>
      <c r="F137" s="4"/>
      <c r="G137" s="4">
        <f t="shared" si="0"/>
        <v>0</v>
      </c>
      <c r="H137" s="310"/>
      <c r="I137" s="310"/>
      <c r="J137" s="300"/>
      <c r="K137" s="4">
        <f t="shared" si="11"/>
        <v>0</v>
      </c>
      <c r="L137" s="310"/>
      <c r="M137" s="310"/>
      <c r="O137" s="4">
        <f t="shared" si="9"/>
        <v>0</v>
      </c>
      <c r="P137" s="310"/>
      <c r="Q137" s="310"/>
      <c r="S137" s="4">
        <f t="shared" si="5"/>
        <v>0</v>
      </c>
      <c r="T137" s="310"/>
      <c r="U137" s="310"/>
      <c r="W137" s="4">
        <f t="shared" si="1"/>
        <v>0</v>
      </c>
      <c r="X137" s="310"/>
      <c r="Y137" s="310"/>
      <c r="AA137" s="4">
        <f t="shared" si="2"/>
        <v>0</v>
      </c>
      <c r="AB137" s="310"/>
      <c r="AC137" s="310"/>
      <c r="AE137" s="4">
        <f t="shared" si="3"/>
        <v>0</v>
      </c>
      <c r="AF137" s="310"/>
      <c r="AG137" s="310"/>
      <c r="AI137" s="4">
        <f t="shared" si="4"/>
        <v>0</v>
      </c>
    </row>
    <row r="138" spans="1:35" ht="35.25" customHeight="1" x14ac:dyDescent="0.25">
      <c r="A138" s="277"/>
      <c r="B138" s="278" t="s">
        <v>611</v>
      </c>
      <c r="C138" s="279">
        <v>0.57999999999999996</v>
      </c>
      <c r="D138" s="310"/>
      <c r="E138" s="310"/>
      <c r="F138" s="4"/>
      <c r="G138" s="4">
        <f t="shared" si="0"/>
        <v>0</v>
      </c>
      <c r="H138" s="310"/>
      <c r="I138" s="310"/>
      <c r="J138" s="300"/>
      <c r="K138" s="4">
        <f t="shared" si="11"/>
        <v>0</v>
      </c>
      <c r="L138" s="310"/>
      <c r="M138" s="310"/>
      <c r="O138" s="4">
        <f t="shared" si="9"/>
        <v>0</v>
      </c>
      <c r="P138" s="310"/>
      <c r="Q138" s="310"/>
      <c r="S138" s="4">
        <f t="shared" si="5"/>
        <v>0</v>
      </c>
      <c r="T138" s="310"/>
      <c r="U138" s="310"/>
      <c r="W138" s="4">
        <f t="shared" si="1"/>
        <v>0</v>
      </c>
      <c r="X138" s="310"/>
      <c r="Y138" s="310"/>
      <c r="AA138" s="4">
        <f t="shared" si="2"/>
        <v>0</v>
      </c>
      <c r="AB138" s="310"/>
      <c r="AC138" s="310"/>
      <c r="AE138" s="4">
        <f t="shared" si="3"/>
        <v>0</v>
      </c>
      <c r="AF138" s="310"/>
      <c r="AG138" s="310"/>
      <c r="AI138" s="4">
        <f t="shared" si="4"/>
        <v>0</v>
      </c>
    </row>
    <row r="139" spans="1:35" ht="15.75" x14ac:dyDescent="0.25">
      <c r="A139" s="4">
        <v>10</v>
      </c>
      <c r="B139" s="280" t="s">
        <v>319</v>
      </c>
      <c r="C139" s="279"/>
      <c r="D139" s="310"/>
      <c r="E139" s="310"/>
      <c r="F139" s="4"/>
      <c r="G139" s="4">
        <f t="shared" si="0"/>
        <v>0</v>
      </c>
      <c r="H139" s="310"/>
      <c r="I139" s="310"/>
      <c r="J139" s="300"/>
      <c r="K139" s="4">
        <f t="shared" si="11"/>
        <v>0</v>
      </c>
      <c r="L139" s="310"/>
      <c r="M139" s="310"/>
      <c r="O139" s="4">
        <f t="shared" si="9"/>
        <v>0</v>
      </c>
      <c r="P139" s="310"/>
      <c r="Q139" s="310"/>
      <c r="S139" s="4">
        <f t="shared" si="5"/>
        <v>0</v>
      </c>
      <c r="T139" s="310"/>
      <c r="U139" s="310"/>
      <c r="W139" s="4">
        <f t="shared" si="1"/>
        <v>0</v>
      </c>
      <c r="X139" s="310"/>
      <c r="Y139" s="310"/>
      <c r="AA139" s="4">
        <f t="shared" si="2"/>
        <v>0</v>
      </c>
      <c r="AB139" s="310"/>
      <c r="AC139" s="310"/>
      <c r="AE139" s="4">
        <f t="shared" si="3"/>
        <v>0</v>
      </c>
      <c r="AF139" s="310"/>
      <c r="AG139" s="310"/>
      <c r="AI139" s="4">
        <f t="shared" si="4"/>
        <v>0</v>
      </c>
    </row>
    <row r="140" spans="1:35" ht="15.75" x14ac:dyDescent="0.25">
      <c r="A140" s="277"/>
      <c r="B140" s="278" t="s">
        <v>474</v>
      </c>
      <c r="C140" s="279">
        <v>0.18</v>
      </c>
      <c r="D140" s="309">
        <f>MAX(C140:C143)</f>
        <v>0.36</v>
      </c>
      <c r="E140" s="310">
        <f>MIN(C140:C143)</f>
        <v>0.18</v>
      </c>
      <c r="F140" s="4"/>
      <c r="G140" s="4">
        <f t="shared" si="0"/>
        <v>0</v>
      </c>
      <c r="H140" s="309">
        <f>MAX(C140:C143)</f>
        <v>0.36</v>
      </c>
      <c r="I140" s="310">
        <f>MIN(C140:C143)</f>
        <v>0.18</v>
      </c>
      <c r="J140" s="300"/>
      <c r="K140" s="4">
        <f t="shared" si="11"/>
        <v>6.4799999999999992E-4</v>
      </c>
      <c r="L140" s="309">
        <v>0.36</v>
      </c>
      <c r="M140" s="310">
        <v>0.18</v>
      </c>
      <c r="O140" s="4">
        <f t="shared" si="9"/>
        <v>0</v>
      </c>
      <c r="P140" s="309">
        <v>0.36</v>
      </c>
      <c r="Q140" s="310">
        <v>0.18</v>
      </c>
      <c r="S140" s="4">
        <f t="shared" si="5"/>
        <v>6.4799999999999992E-4</v>
      </c>
      <c r="T140" s="309">
        <v>0.36</v>
      </c>
      <c r="U140" s="310">
        <v>0.18</v>
      </c>
      <c r="W140" s="4">
        <f t="shared" si="1"/>
        <v>0</v>
      </c>
      <c r="X140" s="309">
        <v>0.36</v>
      </c>
      <c r="Y140" s="310">
        <v>0.18</v>
      </c>
      <c r="AA140" s="4">
        <f t="shared" si="2"/>
        <v>0</v>
      </c>
      <c r="AB140" s="309">
        <v>0.36</v>
      </c>
      <c r="AC140" s="310">
        <v>0.18</v>
      </c>
      <c r="AE140" s="4">
        <f t="shared" si="3"/>
        <v>0</v>
      </c>
      <c r="AF140" s="309">
        <f>MAX(C140:C143)</f>
        <v>0.36</v>
      </c>
      <c r="AG140" s="310">
        <f>MIN(C140:C143)</f>
        <v>0.18</v>
      </c>
      <c r="AI140" s="4">
        <f t="shared" si="4"/>
        <v>0</v>
      </c>
    </row>
    <row r="141" spans="1:35" ht="15.75" x14ac:dyDescent="0.25">
      <c r="A141" s="277"/>
      <c r="B141" s="278" t="s">
        <v>475</v>
      </c>
      <c r="C141" s="279">
        <v>0.21</v>
      </c>
      <c r="D141" s="310"/>
      <c r="E141" s="310"/>
      <c r="F141" s="4"/>
      <c r="G141" s="4">
        <f t="shared" si="0"/>
        <v>0</v>
      </c>
      <c r="H141" s="310"/>
      <c r="I141" s="310"/>
      <c r="J141" s="300"/>
      <c r="K141" s="4">
        <f t="shared" si="11"/>
        <v>0</v>
      </c>
      <c r="L141" s="310"/>
      <c r="M141" s="310"/>
      <c r="O141" s="4">
        <f t="shared" si="9"/>
        <v>0</v>
      </c>
      <c r="P141" s="310"/>
      <c r="Q141" s="310"/>
      <c r="S141" s="4">
        <f t="shared" si="5"/>
        <v>0</v>
      </c>
      <c r="T141" s="310"/>
      <c r="U141" s="310"/>
      <c r="W141" s="4">
        <f t="shared" si="1"/>
        <v>0</v>
      </c>
      <c r="X141" s="310"/>
      <c r="Y141" s="310"/>
      <c r="AA141" s="4">
        <f t="shared" si="2"/>
        <v>0</v>
      </c>
      <c r="AB141" s="310"/>
      <c r="AC141" s="310"/>
      <c r="AE141" s="4">
        <f t="shared" si="3"/>
        <v>0</v>
      </c>
      <c r="AF141" s="310"/>
      <c r="AG141" s="310"/>
      <c r="AI141" s="4">
        <f t="shared" si="4"/>
        <v>0</v>
      </c>
    </row>
    <row r="142" spans="1:35" ht="15.75" x14ac:dyDescent="0.25">
      <c r="A142" s="277"/>
      <c r="B142" s="278" t="s">
        <v>476</v>
      </c>
      <c r="C142" s="279">
        <v>0.32</v>
      </c>
      <c r="D142" s="310"/>
      <c r="E142" s="310"/>
      <c r="F142" s="4"/>
      <c r="G142" s="4">
        <f t="shared" si="0"/>
        <v>0</v>
      </c>
      <c r="H142" s="310"/>
      <c r="I142" s="310"/>
      <c r="J142" s="300"/>
      <c r="K142" s="4">
        <f t="shared" si="11"/>
        <v>0</v>
      </c>
      <c r="L142" s="310"/>
      <c r="M142" s="310"/>
      <c r="O142" s="4">
        <f t="shared" si="9"/>
        <v>0</v>
      </c>
      <c r="P142" s="310"/>
      <c r="Q142" s="310"/>
      <c r="S142" s="4">
        <f t="shared" si="5"/>
        <v>0</v>
      </c>
      <c r="T142" s="310"/>
      <c r="U142" s="310"/>
      <c r="W142" s="4">
        <f t="shared" si="1"/>
        <v>0</v>
      </c>
      <c r="X142" s="310"/>
      <c r="Y142" s="310"/>
      <c r="AA142" s="4">
        <f t="shared" si="2"/>
        <v>0</v>
      </c>
      <c r="AB142" s="310"/>
      <c r="AC142" s="310"/>
      <c r="AE142" s="4">
        <f t="shared" si="3"/>
        <v>0</v>
      </c>
      <c r="AF142" s="310"/>
      <c r="AG142" s="310"/>
      <c r="AI142" s="4">
        <f t="shared" si="4"/>
        <v>0</v>
      </c>
    </row>
    <row r="143" spans="1:35" ht="15.75" x14ac:dyDescent="0.25">
      <c r="A143" s="277"/>
      <c r="B143" s="278" t="s">
        <v>477</v>
      </c>
      <c r="C143" s="279">
        <v>0.36</v>
      </c>
      <c r="D143" s="310"/>
      <c r="E143" s="310"/>
      <c r="F143" s="4"/>
      <c r="G143" s="4">
        <f t="shared" si="0"/>
        <v>0</v>
      </c>
      <c r="H143" s="310"/>
      <c r="I143" s="310"/>
      <c r="J143" s="300"/>
      <c r="K143" s="4">
        <f t="shared" ref="K143:K148" si="12">$C143*H143/100</f>
        <v>0</v>
      </c>
      <c r="L143" s="310"/>
      <c r="M143" s="310"/>
      <c r="O143" s="4">
        <f t="shared" ref="O143:O148" si="13">$C143*N143/100</f>
        <v>0</v>
      </c>
      <c r="P143" s="310"/>
      <c r="Q143" s="310"/>
      <c r="S143" s="4">
        <f t="shared" si="5"/>
        <v>0</v>
      </c>
      <c r="T143" s="310"/>
      <c r="U143" s="310"/>
      <c r="W143" s="4">
        <f t="shared" si="1"/>
        <v>0</v>
      </c>
      <c r="X143" s="310"/>
      <c r="Y143" s="310"/>
      <c r="AA143" s="4">
        <f t="shared" si="2"/>
        <v>0</v>
      </c>
      <c r="AB143" s="310"/>
      <c r="AC143" s="310"/>
      <c r="AE143" s="4">
        <f t="shared" si="3"/>
        <v>0</v>
      </c>
      <c r="AF143" s="310"/>
      <c r="AG143" s="310"/>
      <c r="AI143" s="4">
        <f t="shared" si="4"/>
        <v>0</v>
      </c>
    </row>
    <row r="144" spans="1:35" ht="15.75" x14ac:dyDescent="0.25">
      <c r="A144" s="277">
        <v>11</v>
      </c>
      <c r="B144" s="280" t="s">
        <v>478</v>
      </c>
      <c r="C144" s="279"/>
      <c r="D144" s="310"/>
      <c r="E144" s="310"/>
      <c r="F144" s="4"/>
      <c r="G144" s="4">
        <f t="shared" si="0"/>
        <v>0</v>
      </c>
      <c r="H144" s="310"/>
      <c r="I144" s="310"/>
      <c r="J144" s="300"/>
      <c r="K144" s="4">
        <f t="shared" si="12"/>
        <v>0</v>
      </c>
      <c r="L144" s="310"/>
      <c r="M144" s="310"/>
      <c r="O144" s="4">
        <f t="shared" si="13"/>
        <v>0</v>
      </c>
      <c r="P144" s="310"/>
      <c r="Q144" s="310"/>
      <c r="S144" s="4">
        <f t="shared" si="5"/>
        <v>0</v>
      </c>
      <c r="T144" s="310"/>
      <c r="U144" s="310"/>
      <c r="W144" s="4">
        <f t="shared" si="1"/>
        <v>0</v>
      </c>
      <c r="X144" s="310"/>
      <c r="Y144" s="310"/>
      <c r="AA144" s="4">
        <f t="shared" si="2"/>
        <v>0</v>
      </c>
      <c r="AB144" s="310"/>
      <c r="AC144" s="310"/>
      <c r="AE144" s="4">
        <f t="shared" si="3"/>
        <v>0</v>
      </c>
      <c r="AF144" s="310"/>
      <c r="AG144" s="310"/>
      <c r="AI144" s="4">
        <f t="shared" si="4"/>
        <v>0</v>
      </c>
    </row>
    <row r="145" spans="1:35" ht="15.75" x14ac:dyDescent="0.25">
      <c r="A145" s="277"/>
      <c r="B145" s="278" t="s">
        <v>479</v>
      </c>
      <c r="C145" s="279">
        <v>1.62</v>
      </c>
      <c r="D145" s="309">
        <f>MAX(C145:C148)</f>
        <v>1.79</v>
      </c>
      <c r="E145" s="310">
        <f>MIN(C145:C148)</f>
        <v>1.62</v>
      </c>
      <c r="F145" s="4"/>
      <c r="G145" s="4">
        <f t="shared" si="0"/>
        <v>0</v>
      </c>
      <c r="H145" s="309">
        <f>MAX(C145:C148)</f>
        <v>1.79</v>
      </c>
      <c r="I145" s="310">
        <f>MIN(C145:C148)</f>
        <v>1.62</v>
      </c>
      <c r="J145" s="300"/>
      <c r="K145" s="4">
        <f t="shared" si="12"/>
        <v>2.8998000000000003E-2</v>
      </c>
      <c r="L145" s="309">
        <v>1.79</v>
      </c>
      <c r="M145" s="310">
        <v>1.62</v>
      </c>
      <c r="O145" s="4">
        <f t="shared" si="13"/>
        <v>0</v>
      </c>
      <c r="P145" s="309">
        <v>1.79</v>
      </c>
      <c r="Q145" s="310">
        <v>1.62</v>
      </c>
      <c r="S145" s="4">
        <f t="shared" si="5"/>
        <v>2.8998000000000003E-2</v>
      </c>
      <c r="T145" s="309">
        <v>1.79</v>
      </c>
      <c r="U145" s="310">
        <v>1.62</v>
      </c>
      <c r="W145" s="4">
        <f t="shared" si="1"/>
        <v>0</v>
      </c>
      <c r="X145" s="309">
        <v>1.79</v>
      </c>
      <c r="Y145" s="310">
        <v>1.62</v>
      </c>
      <c r="AA145" s="4">
        <f t="shared" si="2"/>
        <v>0</v>
      </c>
      <c r="AB145" s="309">
        <v>1.79</v>
      </c>
      <c r="AC145" s="310">
        <v>1.62</v>
      </c>
      <c r="AE145" s="4">
        <f t="shared" si="3"/>
        <v>0</v>
      </c>
      <c r="AF145" s="309">
        <f>MAX(C145:C148)</f>
        <v>1.79</v>
      </c>
      <c r="AG145" s="310">
        <f>MIN(C145:C148)</f>
        <v>1.62</v>
      </c>
      <c r="AI145" s="4">
        <f t="shared" si="4"/>
        <v>0</v>
      </c>
    </row>
    <row r="146" spans="1:35" ht="15.75" x14ac:dyDescent="0.25">
      <c r="A146" s="277"/>
      <c r="B146" s="278" t="s">
        <v>480</v>
      </c>
      <c r="C146" s="279">
        <v>1.7</v>
      </c>
      <c r="D146" s="310"/>
      <c r="E146" s="310"/>
      <c r="F146" s="4"/>
      <c r="G146" s="4">
        <f t="shared" si="0"/>
        <v>0</v>
      </c>
      <c r="H146" s="310"/>
      <c r="I146" s="310"/>
      <c r="J146" s="300"/>
      <c r="K146" s="4">
        <f t="shared" si="12"/>
        <v>0</v>
      </c>
      <c r="L146" s="310"/>
      <c r="M146" s="310"/>
      <c r="O146" s="4">
        <f t="shared" si="13"/>
        <v>0</v>
      </c>
      <c r="P146" s="310"/>
      <c r="Q146" s="310"/>
      <c r="S146" s="4">
        <f t="shared" si="5"/>
        <v>0</v>
      </c>
      <c r="T146" s="310"/>
      <c r="U146" s="310"/>
      <c r="W146" s="4">
        <f t="shared" si="1"/>
        <v>0</v>
      </c>
      <c r="X146" s="310"/>
      <c r="Y146" s="310"/>
      <c r="AA146" s="4">
        <f t="shared" si="2"/>
        <v>0</v>
      </c>
      <c r="AB146" s="310"/>
      <c r="AC146" s="310"/>
      <c r="AE146" s="4">
        <f t="shared" si="3"/>
        <v>0</v>
      </c>
      <c r="AF146" s="310"/>
      <c r="AG146" s="310"/>
      <c r="AI146" s="4">
        <f t="shared" si="4"/>
        <v>0</v>
      </c>
    </row>
    <row r="147" spans="1:35" ht="15.75" x14ac:dyDescent="0.25">
      <c r="A147" s="277"/>
      <c r="B147" s="278" t="s">
        <v>481</v>
      </c>
      <c r="C147" s="279">
        <v>1.73</v>
      </c>
      <c r="D147" s="310"/>
      <c r="E147" s="310"/>
      <c r="F147" s="4"/>
      <c r="G147" s="4">
        <f t="shared" si="0"/>
        <v>0</v>
      </c>
      <c r="H147" s="310"/>
      <c r="I147" s="310"/>
      <c r="J147" s="300"/>
      <c r="K147" s="4">
        <f t="shared" si="12"/>
        <v>0</v>
      </c>
      <c r="L147" s="310"/>
      <c r="M147" s="310"/>
      <c r="O147" s="4">
        <f t="shared" si="13"/>
        <v>0</v>
      </c>
      <c r="P147" s="310"/>
      <c r="Q147" s="310"/>
      <c r="S147" s="4">
        <f t="shared" si="5"/>
        <v>0</v>
      </c>
      <c r="T147" s="310"/>
      <c r="U147" s="310"/>
      <c r="W147" s="4">
        <f t="shared" si="1"/>
        <v>0</v>
      </c>
      <c r="X147" s="310"/>
      <c r="Y147" s="310"/>
      <c r="AA147" s="4">
        <f t="shared" si="2"/>
        <v>0</v>
      </c>
      <c r="AB147" s="310"/>
      <c r="AC147" s="310"/>
      <c r="AE147" s="4">
        <f t="shared" si="3"/>
        <v>0</v>
      </c>
      <c r="AF147" s="310"/>
      <c r="AG147" s="310"/>
      <c r="AI147" s="4">
        <f t="shared" si="4"/>
        <v>0</v>
      </c>
    </row>
    <row r="148" spans="1:35" ht="15.75" x14ac:dyDescent="0.25">
      <c r="A148" s="277"/>
      <c r="B148" s="278" t="s">
        <v>482</v>
      </c>
      <c r="C148" s="279">
        <v>1.79</v>
      </c>
      <c r="D148" s="310"/>
      <c r="E148" s="310"/>
      <c r="F148" s="4"/>
      <c r="G148" s="4">
        <f t="shared" si="0"/>
        <v>0</v>
      </c>
      <c r="H148" s="310"/>
      <c r="I148" s="310"/>
      <c r="J148" s="300"/>
      <c r="K148" s="4">
        <f t="shared" si="12"/>
        <v>0</v>
      </c>
      <c r="L148" s="310"/>
      <c r="M148" s="310"/>
      <c r="O148" s="4">
        <f t="shared" si="13"/>
        <v>0</v>
      </c>
      <c r="P148" s="310"/>
      <c r="Q148" s="310"/>
      <c r="S148" s="4">
        <f t="shared" si="5"/>
        <v>0</v>
      </c>
      <c r="T148" s="310"/>
      <c r="U148" s="310"/>
      <c r="W148" s="4">
        <f t="shared" si="1"/>
        <v>0</v>
      </c>
      <c r="X148" s="310"/>
      <c r="Y148" s="310"/>
      <c r="AA148" s="4">
        <f t="shared" si="2"/>
        <v>0</v>
      </c>
      <c r="AB148" s="310"/>
      <c r="AC148" s="310"/>
      <c r="AE148" s="4">
        <f t="shared" si="3"/>
        <v>0</v>
      </c>
      <c r="AF148" s="310"/>
      <c r="AG148" s="310"/>
      <c r="AI148" s="4">
        <f t="shared" si="4"/>
        <v>0</v>
      </c>
    </row>
    <row r="149" spans="1:35" ht="15.75" x14ac:dyDescent="0.25">
      <c r="A149" s="277"/>
      <c r="B149" s="278"/>
      <c r="C149" s="279"/>
      <c r="D149" s="310"/>
      <c r="E149" s="310"/>
      <c r="F149" s="4"/>
      <c r="G149" s="4"/>
      <c r="H149" s="310"/>
      <c r="I149" s="310"/>
      <c r="J149" s="302"/>
      <c r="K149" s="4"/>
      <c r="L149" s="310"/>
      <c r="M149" s="310"/>
      <c r="O149" s="4"/>
      <c r="P149" s="310"/>
      <c r="Q149" s="310"/>
      <c r="S149" s="4"/>
      <c r="T149" s="310"/>
      <c r="U149" s="310"/>
      <c r="W149" s="4"/>
      <c r="X149" s="310"/>
      <c r="Y149" s="310"/>
      <c r="AA149" s="4"/>
      <c r="AB149" s="310"/>
      <c r="AC149" s="310"/>
      <c r="AE149" s="4"/>
      <c r="AF149" s="310"/>
      <c r="AG149" s="310"/>
      <c r="AI149" s="4"/>
    </row>
    <row r="150" spans="1:35" ht="15.75" x14ac:dyDescent="0.25">
      <c r="A150" s="4"/>
      <c r="B150" s="286" t="s">
        <v>325</v>
      </c>
      <c r="C150" s="287">
        <f t="shared" ref="C150:AI150" si="14">ROUND(SUM(C5:C148),2)</f>
        <v>210.5</v>
      </c>
      <c r="D150" s="287">
        <f t="shared" si="14"/>
        <v>50.38</v>
      </c>
      <c r="E150" s="287">
        <f t="shared" si="14"/>
        <v>9.27</v>
      </c>
      <c r="F150" s="287">
        <f t="shared" si="14"/>
        <v>0</v>
      </c>
      <c r="G150" s="287">
        <f t="shared" si="14"/>
        <v>0</v>
      </c>
      <c r="H150" s="287">
        <f t="shared" si="14"/>
        <v>50.38</v>
      </c>
      <c r="I150" s="287">
        <f t="shared" si="14"/>
        <v>9.27</v>
      </c>
      <c r="J150" s="287"/>
      <c r="K150" s="287">
        <f t="shared" si="14"/>
        <v>0.94</v>
      </c>
      <c r="L150" s="287">
        <f t="shared" si="14"/>
        <v>50.38</v>
      </c>
      <c r="M150" s="287">
        <f t="shared" si="14"/>
        <v>9.27</v>
      </c>
      <c r="N150" s="287"/>
      <c r="O150" s="287">
        <f t="shared" si="14"/>
        <v>0</v>
      </c>
      <c r="P150" s="287">
        <f t="shared" si="14"/>
        <v>50.38</v>
      </c>
      <c r="Q150" s="287">
        <f t="shared" si="14"/>
        <v>9.27</v>
      </c>
      <c r="R150" s="287"/>
      <c r="S150" s="287">
        <f t="shared" si="14"/>
        <v>0.94</v>
      </c>
      <c r="T150" s="287">
        <f t="shared" si="14"/>
        <v>50.38</v>
      </c>
      <c r="U150" s="287">
        <f t="shared" si="14"/>
        <v>9.27</v>
      </c>
      <c r="V150" s="287">
        <f t="shared" si="14"/>
        <v>0</v>
      </c>
      <c r="W150" s="287">
        <f t="shared" si="14"/>
        <v>0</v>
      </c>
      <c r="X150" s="287">
        <f t="shared" si="14"/>
        <v>50.38</v>
      </c>
      <c r="Y150" s="287">
        <f t="shared" si="14"/>
        <v>9.27</v>
      </c>
      <c r="Z150" s="287">
        <f t="shared" si="14"/>
        <v>0</v>
      </c>
      <c r="AA150" s="287">
        <f t="shared" si="14"/>
        <v>0</v>
      </c>
      <c r="AB150" s="287">
        <f t="shared" si="14"/>
        <v>50.38</v>
      </c>
      <c r="AC150" s="287">
        <f t="shared" si="14"/>
        <v>9.27</v>
      </c>
      <c r="AD150" s="287">
        <f t="shared" si="14"/>
        <v>0</v>
      </c>
      <c r="AE150" s="287">
        <f t="shared" si="14"/>
        <v>0</v>
      </c>
      <c r="AF150" s="287">
        <f t="shared" si="14"/>
        <v>50.38</v>
      </c>
      <c r="AG150" s="287">
        <f t="shared" si="14"/>
        <v>9.27</v>
      </c>
      <c r="AH150" s="287">
        <f t="shared" si="14"/>
        <v>0</v>
      </c>
      <c r="AI150" s="287">
        <f t="shared" si="14"/>
        <v>0</v>
      </c>
    </row>
    <row r="151" spans="1:35" ht="31.5" x14ac:dyDescent="0.25">
      <c r="A151" s="4"/>
      <c r="B151" s="286" t="s">
        <v>327</v>
      </c>
      <c r="C151" s="288"/>
      <c r="D151" s="289">
        <f>IF(D150&gt;0,(1160.27*D150+968.39),0)</f>
        <v>59422.792600000001</v>
      </c>
      <c r="E151" s="289">
        <f>IF(E150&gt;0,(1160.27*E150+968.39),0)</f>
        <v>11724.0929</v>
      </c>
      <c r="F151" s="288">
        <f>IF(F150&gt;0,(1160.27*F150+968.39),0)</f>
        <v>0</v>
      </c>
      <c r="G151" s="288">
        <f>IF(G150&gt;0,(1160.27*G150+968.39),0)</f>
        <v>0</v>
      </c>
      <c r="H151" s="289">
        <f>IF(H150&gt;0,(337.42*H150+216.77),0)</f>
        <v>17215.989600000001</v>
      </c>
      <c r="I151" s="289">
        <f>IF(I150&gt;0,(337.42*I150+216.77),0)</f>
        <v>3344.6534000000001</v>
      </c>
      <c r="J151" s="288"/>
      <c r="K151" s="288">
        <f>IF(K150&gt;0,(337.42*K150+216.77),0)</f>
        <v>533.94479999999999</v>
      </c>
      <c r="L151" s="289">
        <f>IF(L150&gt;0,(31.6*L150+193.28),0)</f>
        <v>1785.2880000000002</v>
      </c>
      <c r="M151" s="289">
        <f>IF(M150&gt;0,(31.6*M150+193.28),0)</f>
        <v>486.21199999999999</v>
      </c>
      <c r="N151" s="288"/>
      <c r="O151" s="288">
        <f>IF(O150&gt;0,(31.6*O150+193.28),0)</f>
        <v>0</v>
      </c>
      <c r="P151" s="289">
        <f>IF(P150&gt;0,(28.04*P150+165.66),0)</f>
        <v>1578.3152</v>
      </c>
      <c r="Q151" s="289">
        <f>IF(Q150&gt;0,(28.04*Q150+165.66),0)</f>
        <v>425.59079999999994</v>
      </c>
      <c r="R151" s="288"/>
      <c r="S151" s="288">
        <f>IF(S150&gt;0,(28.04*S150+165.66),0)</f>
        <v>192.01759999999999</v>
      </c>
      <c r="T151" s="289">
        <f>IF(T150&gt;0,(24.45*T150+133.06),0)</f>
        <v>1364.8509999999999</v>
      </c>
      <c r="U151" s="289">
        <f>IF(U150&gt;0,(24.45*U150+133.06),0)</f>
        <v>359.7115</v>
      </c>
      <c r="V151" s="288"/>
      <c r="W151" s="288">
        <f>IF(W150&gt;0,(24.45*W150+133.06),0)</f>
        <v>0</v>
      </c>
      <c r="X151" s="289">
        <f>IF(X150&gt;0,(23.49*X150+114.15),0)</f>
        <v>1297.5762</v>
      </c>
      <c r="Y151" s="289">
        <f>IF(Y150&gt;0,(23.49*Y150+114.15),0)</f>
        <v>331.90229999999997</v>
      </c>
      <c r="Z151" s="288"/>
      <c r="AA151" s="288">
        <f>IF(AA150&gt;0,(23.49*AA150+114.15),0)</f>
        <v>0</v>
      </c>
      <c r="AB151" s="289">
        <f>IF(AB150&gt;0,(21.1*AB150+115.36),0)</f>
        <v>1178.3779999999999</v>
      </c>
      <c r="AC151" s="289">
        <f>IF(AC150&gt;0,(21.1*AC150+115.36),0)</f>
        <v>310.95699999999999</v>
      </c>
      <c r="AD151" s="288"/>
      <c r="AE151" s="288">
        <f>IF(AE150&gt;0,(21.1*AE150+155.36),0)</f>
        <v>0</v>
      </c>
      <c r="AF151" s="289">
        <f>IF(AF150&gt;0,(20.3*AF150+105.08),0)</f>
        <v>1127.7940000000001</v>
      </c>
      <c r="AG151" s="289">
        <f>IF(AG150&gt;0,(20.3*AG150+105.08),0)</f>
        <v>293.26100000000002</v>
      </c>
      <c r="AH151" s="288"/>
      <c r="AI151" s="288">
        <f>IF(AI150&gt;0,(20.3*AI150+105.08),0)</f>
        <v>0</v>
      </c>
    </row>
    <row r="152" spans="1:35" ht="15.75" x14ac:dyDescent="0.25">
      <c r="A152" s="4"/>
      <c r="B152" s="286" t="s">
        <v>326</v>
      </c>
      <c r="C152" s="288"/>
      <c r="D152" s="311"/>
      <c r="E152" s="311"/>
      <c r="F152" s="288"/>
      <c r="G152" s="288"/>
      <c r="H152" s="288"/>
      <c r="I152" s="288"/>
      <c r="J152" s="288"/>
      <c r="K152" s="288"/>
      <c r="L152" s="288"/>
      <c r="M152" s="288"/>
      <c r="N152" s="288"/>
      <c r="O152" s="288"/>
      <c r="P152" s="288"/>
      <c r="Q152" s="288"/>
      <c r="R152" s="288"/>
      <c r="S152" s="288"/>
      <c r="T152" s="288"/>
      <c r="U152" s="288"/>
      <c r="V152" s="288"/>
      <c r="W152" s="288"/>
      <c r="X152" s="288"/>
      <c r="Y152" s="288"/>
      <c r="Z152" s="288"/>
      <c r="AA152" s="288"/>
      <c r="AB152" s="288"/>
      <c r="AC152" s="288"/>
      <c r="AD152" s="288"/>
      <c r="AE152" s="288"/>
      <c r="AF152" s="288"/>
      <c r="AG152" s="288"/>
      <c r="AH152" s="288"/>
      <c r="AI152" s="288"/>
    </row>
    <row r="153" spans="1:35" ht="31.5" x14ac:dyDescent="0.25">
      <c r="A153" s="4"/>
      <c r="B153" s="286" t="s">
        <v>327</v>
      </c>
      <c r="C153" s="288"/>
      <c r="D153" s="311"/>
      <c r="E153" s="311"/>
      <c r="F153" s="288"/>
      <c r="G153" s="288">
        <f>(1-F152%)*G151</f>
        <v>0</v>
      </c>
      <c r="H153" s="288">
        <f>(1-G152%)*H151</f>
        <v>17215.989600000001</v>
      </c>
      <c r="I153" s="288"/>
      <c r="J153" s="288"/>
      <c r="K153" s="288">
        <f>(1-H152%)*K151</f>
        <v>533.94479999999999</v>
      </c>
      <c r="L153" s="288">
        <f>(1-K152%)*L151</f>
        <v>1785.2880000000002</v>
      </c>
      <c r="M153" s="288"/>
      <c r="N153" s="288"/>
      <c r="O153" s="288">
        <f>(1-L152%)*O151</f>
        <v>0</v>
      </c>
      <c r="P153" s="288">
        <f>(1-O152%)*P151</f>
        <v>1578.3152</v>
      </c>
      <c r="Q153" s="288"/>
      <c r="R153" s="288"/>
      <c r="S153" s="288">
        <f>(1-P152%)*S151</f>
        <v>192.01759999999999</v>
      </c>
      <c r="T153" s="288"/>
      <c r="U153" s="288"/>
      <c r="V153" s="288">
        <f>(1-S152%)*V151</f>
        <v>0</v>
      </c>
      <c r="W153" s="288">
        <f>(1-V152%)*W151</f>
        <v>0</v>
      </c>
      <c r="X153" s="288"/>
      <c r="Y153" s="288"/>
      <c r="Z153" s="288">
        <f>(1-W152%)*Z151</f>
        <v>0</v>
      </c>
      <c r="AA153" s="288">
        <f>(1-Z152%)*AA151</f>
        <v>0</v>
      </c>
      <c r="AB153" s="288"/>
      <c r="AC153" s="288"/>
      <c r="AD153" s="288">
        <f>(1-AA152%)*AD151</f>
        <v>0</v>
      </c>
      <c r="AE153" s="288">
        <f>(1-AD152%)*AE151</f>
        <v>0</v>
      </c>
      <c r="AF153" s="288"/>
      <c r="AG153" s="288"/>
      <c r="AH153" s="288">
        <f>(1-AE152%)*AH151</f>
        <v>0</v>
      </c>
      <c r="AI153" s="288">
        <f>(1-AH152%)*AI151</f>
        <v>0</v>
      </c>
    </row>
    <row r="154" spans="1:35" ht="15.75" x14ac:dyDescent="0.25">
      <c r="A154" s="4"/>
      <c r="B154" s="286" t="s">
        <v>328</v>
      </c>
      <c r="C154" s="288"/>
      <c r="D154" s="311"/>
      <c r="E154" s="311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 t="e">
        <f>Area!#REF!</f>
        <v>#REF!</v>
      </c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  <c r="AA154" s="288"/>
      <c r="AB154" s="288"/>
      <c r="AC154" s="288"/>
      <c r="AD154" s="288"/>
      <c r="AE154" s="288"/>
      <c r="AF154" s="288"/>
      <c r="AG154" s="288"/>
      <c r="AH154" s="288"/>
      <c r="AI154" s="288"/>
    </row>
    <row r="155" spans="1:35" x14ac:dyDescent="0.25">
      <c r="A155" s="4"/>
      <c r="B155" s="288" t="s">
        <v>329</v>
      </c>
      <c r="C155" s="288"/>
      <c r="D155" s="311"/>
      <c r="E155" s="311"/>
      <c r="F155" s="288"/>
      <c r="G155" s="288">
        <f>G153*G154</f>
        <v>0</v>
      </c>
      <c r="H155" s="288">
        <f t="shared" ref="H155:AI155" si="15">H153*H154</f>
        <v>0</v>
      </c>
      <c r="I155" s="288"/>
      <c r="J155" s="288"/>
      <c r="K155" s="288">
        <f t="shared" si="15"/>
        <v>0</v>
      </c>
      <c r="L155" s="288">
        <f t="shared" si="15"/>
        <v>0</v>
      </c>
      <c r="M155" s="288"/>
      <c r="N155" s="288"/>
      <c r="O155" s="289" t="e">
        <f t="shared" si="15"/>
        <v>#REF!</v>
      </c>
      <c r="P155" s="288">
        <f t="shared" si="15"/>
        <v>0</v>
      </c>
      <c r="Q155" s="288"/>
      <c r="R155" s="288"/>
      <c r="S155" s="288">
        <f t="shared" si="15"/>
        <v>0</v>
      </c>
      <c r="T155" s="288"/>
      <c r="U155" s="288"/>
      <c r="V155" s="288">
        <f t="shared" si="15"/>
        <v>0</v>
      </c>
      <c r="W155" s="288">
        <f t="shared" si="15"/>
        <v>0</v>
      </c>
      <c r="X155" s="288"/>
      <c r="Y155" s="288"/>
      <c r="Z155" s="288">
        <f t="shared" si="15"/>
        <v>0</v>
      </c>
      <c r="AA155" s="288">
        <f t="shared" si="15"/>
        <v>0</v>
      </c>
      <c r="AB155" s="288"/>
      <c r="AC155" s="288"/>
      <c r="AD155" s="288">
        <f t="shared" si="15"/>
        <v>0</v>
      </c>
      <c r="AE155" s="288">
        <f t="shared" si="15"/>
        <v>0</v>
      </c>
      <c r="AF155" s="288"/>
      <c r="AG155" s="288"/>
      <c r="AH155" s="288">
        <f t="shared" si="15"/>
        <v>0</v>
      </c>
      <c r="AI155" s="288">
        <f t="shared" si="15"/>
        <v>0</v>
      </c>
    </row>
    <row r="156" spans="1:35" ht="15.75" x14ac:dyDescent="0.25">
      <c r="B156" s="304" t="s">
        <v>614</v>
      </c>
      <c r="C156" s="132" t="e">
        <f>G155+K155+O155+S155+W155+AA155+AE155+AI155</f>
        <v>#REF!</v>
      </c>
    </row>
  </sheetData>
  <mergeCells count="23">
    <mergeCell ref="AI6:AI7"/>
    <mergeCell ref="AI8:AI13"/>
    <mergeCell ref="B2:AI2"/>
    <mergeCell ref="W6:W7"/>
    <mergeCell ref="W8:W13"/>
    <mergeCell ref="AA6:AA7"/>
    <mergeCell ref="AA8:AA13"/>
    <mergeCell ref="AE6:AE7"/>
    <mergeCell ref="AE8:AE13"/>
    <mergeCell ref="K6:K7"/>
    <mergeCell ref="K8:K13"/>
    <mergeCell ref="O6:O7"/>
    <mergeCell ref="O8:O13"/>
    <mergeCell ref="S6:S7"/>
    <mergeCell ref="S8:S13"/>
    <mergeCell ref="C6:C7"/>
    <mergeCell ref="N6:N7"/>
    <mergeCell ref="N8:N13"/>
    <mergeCell ref="F6:F7"/>
    <mergeCell ref="G6:G7"/>
    <mergeCell ref="C8:C13"/>
    <mergeCell ref="F8:F13"/>
    <mergeCell ref="G8:G1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AF57"/>
  <sheetViews>
    <sheetView tabSelected="1" workbookViewId="0">
      <selection activeCell="B6" sqref="B6"/>
    </sheetView>
  </sheetViews>
  <sheetFormatPr defaultRowHeight="15" x14ac:dyDescent="0.25"/>
  <cols>
    <col min="4" max="4" width="9.7109375" bestFit="1" customWidth="1"/>
    <col min="5" max="5" width="9.7109375" customWidth="1"/>
    <col min="7" max="7" width="9.140625" customWidth="1"/>
    <col min="9" max="9" width="10" bestFit="1" customWidth="1"/>
    <col min="12" max="12" width="11.5703125" style="369" bestFit="1" customWidth="1"/>
  </cols>
  <sheetData>
    <row r="1" spans="2:5" x14ac:dyDescent="0.25">
      <c r="B1" t="s">
        <v>2</v>
      </c>
      <c r="D1" t="s">
        <v>7</v>
      </c>
    </row>
    <row r="2" spans="2:5" x14ac:dyDescent="0.25">
      <c r="B2">
        <v>1</v>
      </c>
      <c r="D2" s="1" t="s">
        <v>8</v>
      </c>
      <c r="E2" s="1"/>
    </row>
    <row r="3" spans="2:5" x14ac:dyDescent="0.25">
      <c r="B3">
        <v>2</v>
      </c>
      <c r="D3" s="2" t="s">
        <v>9</v>
      </c>
      <c r="E3" s="2"/>
    </row>
    <row r="4" spans="2:5" x14ac:dyDescent="0.25">
      <c r="B4">
        <v>3</v>
      </c>
      <c r="D4" s="2" t="s">
        <v>10</v>
      </c>
      <c r="E4" s="2"/>
    </row>
    <row r="5" spans="2:5" x14ac:dyDescent="0.25">
      <c r="B5">
        <v>4</v>
      </c>
      <c r="D5" s="2" t="s">
        <v>11</v>
      </c>
      <c r="E5" s="2"/>
    </row>
    <row r="6" spans="2:5" x14ac:dyDescent="0.25">
      <c r="B6">
        <v>5</v>
      </c>
      <c r="D6" s="2" t="s">
        <v>12</v>
      </c>
      <c r="E6" s="2"/>
    </row>
    <row r="7" spans="2:5" x14ac:dyDescent="0.25">
      <c r="B7">
        <v>6</v>
      </c>
      <c r="D7" s="2" t="s">
        <v>13</v>
      </c>
      <c r="E7" s="2"/>
    </row>
    <row r="8" spans="2:5" x14ac:dyDescent="0.25">
      <c r="B8">
        <v>7</v>
      </c>
      <c r="D8" s="2" t="s">
        <v>14</v>
      </c>
      <c r="E8" s="2"/>
    </row>
    <row r="9" spans="2:5" x14ac:dyDescent="0.25">
      <c r="B9">
        <v>8</v>
      </c>
      <c r="D9" s="2" t="s">
        <v>15</v>
      </c>
      <c r="E9" s="2"/>
    </row>
    <row r="10" spans="2:5" x14ac:dyDescent="0.25">
      <c r="B10">
        <v>9</v>
      </c>
      <c r="D10" s="2" t="s">
        <v>16</v>
      </c>
      <c r="E10" s="2"/>
    </row>
    <row r="11" spans="2:5" x14ac:dyDescent="0.25">
      <c r="B11">
        <v>10</v>
      </c>
      <c r="D11" s="2" t="s">
        <v>17</v>
      </c>
      <c r="E11" s="2"/>
    </row>
    <row r="12" spans="2:5" x14ac:dyDescent="0.25">
      <c r="B12">
        <v>11</v>
      </c>
      <c r="D12" s="2" t="s">
        <v>18</v>
      </c>
      <c r="E12" s="2"/>
    </row>
    <row r="13" spans="2:5" x14ac:dyDescent="0.25">
      <c r="B13">
        <v>12</v>
      </c>
      <c r="D13" s="2" t="s">
        <v>19</v>
      </c>
      <c r="E13" s="2"/>
    </row>
    <row r="14" spans="2:5" x14ac:dyDescent="0.25">
      <c r="B14">
        <v>13</v>
      </c>
      <c r="D14" s="2" t="s">
        <v>20</v>
      </c>
      <c r="E14" s="2"/>
    </row>
    <row r="15" spans="2:5" x14ac:dyDescent="0.25">
      <c r="B15">
        <v>14</v>
      </c>
      <c r="D15" s="2" t="s">
        <v>21</v>
      </c>
      <c r="E15" s="2"/>
    </row>
    <row r="16" spans="2:5" x14ac:dyDescent="0.25">
      <c r="B16">
        <v>15</v>
      </c>
      <c r="D16" s="2" t="s">
        <v>22</v>
      </c>
      <c r="E16" s="2"/>
    </row>
    <row r="17" spans="2:32" x14ac:dyDescent="0.25">
      <c r="D17" s="2"/>
      <c r="E17" s="2"/>
    </row>
    <row r="18" spans="2:32" x14ac:dyDescent="0.25">
      <c r="B18" s="4" t="s">
        <v>699</v>
      </c>
      <c r="C18" s="4"/>
      <c r="D18" s="5" t="s">
        <v>8</v>
      </c>
      <c r="E18" s="5"/>
      <c r="F18" s="6" t="s">
        <v>9</v>
      </c>
      <c r="G18" s="6"/>
      <c r="H18" s="6" t="s">
        <v>10</v>
      </c>
      <c r="I18" s="6"/>
      <c r="J18" s="6" t="s">
        <v>11</v>
      </c>
      <c r="K18" s="6"/>
      <c r="L18" s="299" t="s">
        <v>12</v>
      </c>
      <c r="M18" s="6"/>
      <c r="N18" s="6" t="s">
        <v>13</v>
      </c>
      <c r="O18" s="6"/>
      <c r="P18" s="6" t="s">
        <v>14</v>
      </c>
      <c r="Q18" s="6"/>
      <c r="R18" s="6" t="s">
        <v>15</v>
      </c>
      <c r="S18" s="6"/>
      <c r="T18" s="6" t="s">
        <v>16</v>
      </c>
      <c r="U18" s="6"/>
      <c r="V18" s="6" t="s">
        <v>17</v>
      </c>
      <c r="W18" s="6"/>
      <c r="X18" s="6" t="s">
        <v>18</v>
      </c>
      <c r="Y18" s="6"/>
      <c r="Z18" s="6" t="s">
        <v>19</v>
      </c>
      <c r="AA18" s="6"/>
      <c r="AB18" s="6" t="s">
        <v>20</v>
      </c>
      <c r="AC18" s="6"/>
      <c r="AD18" s="6" t="s">
        <v>21</v>
      </c>
      <c r="AE18" s="6"/>
      <c r="AF18" s="6" t="s">
        <v>22</v>
      </c>
    </row>
    <row r="19" spans="2:32" x14ac:dyDescent="0.25">
      <c r="B19" s="4"/>
      <c r="C19" s="4"/>
      <c r="D19" s="5">
        <v>1</v>
      </c>
      <c r="E19" s="5"/>
      <c r="F19" s="5">
        <v>2</v>
      </c>
      <c r="G19" s="5"/>
      <c r="H19" s="5">
        <v>3</v>
      </c>
      <c r="I19" s="5"/>
      <c r="J19" s="5">
        <v>4</v>
      </c>
      <c r="K19" s="5"/>
      <c r="L19" s="299">
        <v>5</v>
      </c>
      <c r="M19" s="5"/>
      <c r="N19" s="5">
        <v>6</v>
      </c>
      <c r="O19" s="5"/>
      <c r="P19" s="5">
        <v>7</v>
      </c>
      <c r="Q19" s="5"/>
      <c r="R19" s="5">
        <v>8</v>
      </c>
      <c r="S19" s="5"/>
      <c r="T19" s="5">
        <v>9</v>
      </c>
      <c r="U19" s="5"/>
      <c r="V19" s="5">
        <v>10</v>
      </c>
      <c r="W19" s="5"/>
      <c r="X19" s="5">
        <v>11</v>
      </c>
      <c r="Y19" s="5"/>
      <c r="Z19" s="5">
        <v>12</v>
      </c>
      <c r="AA19" s="5"/>
      <c r="AB19" s="5">
        <v>13</v>
      </c>
      <c r="AC19" s="5"/>
      <c r="AD19" s="5">
        <v>14</v>
      </c>
      <c r="AE19" s="5"/>
      <c r="AF19" s="5">
        <v>15</v>
      </c>
    </row>
    <row r="20" spans="2:32" x14ac:dyDescent="0.25">
      <c r="B20" s="4" t="s">
        <v>56</v>
      </c>
      <c r="C20" s="4">
        <v>100</v>
      </c>
      <c r="D20" s="4">
        <v>67844</v>
      </c>
      <c r="E20" s="4">
        <f>$C$20*D20</f>
        <v>6784400</v>
      </c>
      <c r="F20" s="4">
        <v>44355</v>
      </c>
      <c r="G20" s="4">
        <f>$C$20*F20</f>
        <v>4435500</v>
      </c>
      <c r="H20" s="4">
        <v>35523</v>
      </c>
      <c r="I20" s="4">
        <f>$C$20*H20</f>
        <v>3552300</v>
      </c>
      <c r="J20" s="4">
        <v>30912</v>
      </c>
      <c r="K20" s="4">
        <f>$C$20*J20</f>
        <v>3091200</v>
      </c>
      <c r="L20" s="299">
        <v>26368</v>
      </c>
      <c r="M20" s="4">
        <f>$C$20*L20</f>
        <v>2636800</v>
      </c>
      <c r="N20" s="4">
        <v>23599</v>
      </c>
      <c r="O20" s="4">
        <f>$C$20*N20</f>
        <v>2359900</v>
      </c>
      <c r="P20" s="4">
        <v>21576</v>
      </c>
      <c r="Q20" s="4">
        <f>$C$20*P20</f>
        <v>2157600</v>
      </c>
      <c r="R20" s="4">
        <v>20351</v>
      </c>
      <c r="S20" s="4">
        <f>$C$20*R20</f>
        <v>2035100</v>
      </c>
      <c r="T20" s="4">
        <v>17283</v>
      </c>
      <c r="U20" s="4">
        <f>$C$20*T20</f>
        <v>1728300</v>
      </c>
      <c r="V20" s="4">
        <v>16267</v>
      </c>
      <c r="W20" s="4">
        <f>$C$20*V20</f>
        <v>1626700</v>
      </c>
      <c r="X20" s="4">
        <v>15202</v>
      </c>
      <c r="Y20" s="4">
        <f>$C$20*X20</f>
        <v>1520200</v>
      </c>
      <c r="Z20" s="4">
        <v>14559</v>
      </c>
      <c r="AA20" s="4">
        <f>$C$20*Z20</f>
        <v>1455900</v>
      </c>
      <c r="AB20" s="4">
        <v>14168</v>
      </c>
      <c r="AC20" s="4">
        <f>$C$20*AB20</f>
        <v>1416800</v>
      </c>
      <c r="AD20" s="4">
        <v>13275</v>
      </c>
      <c r="AE20" s="4">
        <f>$C$20*AD20</f>
        <v>1327500</v>
      </c>
      <c r="AF20" s="4">
        <v>126888</v>
      </c>
    </row>
    <row r="21" spans="2:32" x14ac:dyDescent="0.25">
      <c r="B21" s="4" t="s">
        <v>57</v>
      </c>
      <c r="C21" s="4">
        <v>200</v>
      </c>
      <c r="D21" s="4">
        <v>62975</v>
      </c>
      <c r="E21" s="4">
        <f>E20+((C21-C20)*D21)</f>
        <v>13081900</v>
      </c>
      <c r="F21" s="4">
        <v>43454</v>
      </c>
      <c r="G21" s="4">
        <f>G20+((C21-C20)*F21)</f>
        <v>8780900</v>
      </c>
      <c r="H21" s="4">
        <v>345992</v>
      </c>
      <c r="I21" s="4">
        <f>I20+((C21-C20)*H21)</f>
        <v>38151500</v>
      </c>
      <c r="J21" s="4">
        <v>30521</v>
      </c>
      <c r="K21" s="4">
        <f>K20+((C21-C20)*J21)</f>
        <v>6143300</v>
      </c>
      <c r="L21" s="299">
        <v>26031</v>
      </c>
      <c r="M21" s="4">
        <f>M20+((C21-C20)*L21)</f>
        <v>5239900</v>
      </c>
      <c r="N21" s="4">
        <v>23069</v>
      </c>
      <c r="O21" s="4">
        <f>O20+((C21-C20)*N21)</f>
        <v>4666800</v>
      </c>
      <c r="P21" s="4">
        <v>20104</v>
      </c>
      <c r="Q21" s="4">
        <f>Q20+((C21-C20)*P21)</f>
        <v>4168000</v>
      </c>
      <c r="R21" s="4">
        <v>18420</v>
      </c>
      <c r="S21" s="4">
        <f>S20+((C21-C20)*R21)</f>
        <v>3877100</v>
      </c>
      <c r="T21" s="4">
        <v>17082</v>
      </c>
      <c r="U21" s="4">
        <f>U20+((C21-C20)*T21)</f>
        <v>3436500</v>
      </c>
      <c r="V21" s="4">
        <v>15588</v>
      </c>
      <c r="W21" s="4">
        <f>W20+((C21-C20)*V21)</f>
        <v>3185500</v>
      </c>
      <c r="X21" s="4">
        <v>14625</v>
      </c>
      <c r="Y21" s="4">
        <f>Y20+((C21-C20)*X21)</f>
        <v>2982700</v>
      </c>
      <c r="Z21" s="4">
        <v>14104</v>
      </c>
      <c r="AA21" s="4">
        <f>AA20+((C21-C20)*Z21)</f>
        <v>2866300</v>
      </c>
      <c r="AB21" s="4">
        <v>13800</v>
      </c>
      <c r="AC21" s="4">
        <f>AC20+((C21-C20)*AB21)</f>
        <v>2796800</v>
      </c>
      <c r="AD21" s="4">
        <v>12537</v>
      </c>
      <c r="AE21" s="4">
        <f>AE20+((C21-C20)*AD21)</f>
        <v>2581200</v>
      </c>
      <c r="AF21" s="4">
        <v>11933</v>
      </c>
    </row>
    <row r="22" spans="2:32" x14ac:dyDescent="0.25">
      <c r="B22" s="4" t="s">
        <v>58</v>
      </c>
      <c r="C22" s="4">
        <v>300</v>
      </c>
      <c r="D22" s="4">
        <v>58106</v>
      </c>
      <c r="E22" s="4">
        <f t="shared" ref="E22:E45" si="0">E21+((C22-C21)*D22)</f>
        <v>18892500</v>
      </c>
      <c r="F22" s="4">
        <v>42553</v>
      </c>
      <c r="G22" s="4">
        <f t="shared" ref="G22:G45" si="1">G21+((C22-C21)*F22)</f>
        <v>13036200</v>
      </c>
      <c r="H22" s="4">
        <v>34261</v>
      </c>
      <c r="I22" s="4">
        <f t="shared" ref="I22:I45" si="2">I21+((C22-C21)*H22)</f>
        <v>41577600</v>
      </c>
      <c r="J22" s="4">
        <v>30130</v>
      </c>
      <c r="K22" s="4">
        <f t="shared" ref="K22:K45" si="3">K21+((C22-C21)*J22)</f>
        <v>9156300</v>
      </c>
      <c r="L22" s="299">
        <v>25694</v>
      </c>
      <c r="M22" s="4">
        <f t="shared" ref="M22:M45" si="4">M21+((C22-C21)*L22)</f>
        <v>7809300</v>
      </c>
      <c r="N22" s="4">
        <v>22539</v>
      </c>
      <c r="O22" s="4">
        <f t="shared" ref="O22:O45" si="5">O21+((C22-C21)*N22)</f>
        <v>6920700</v>
      </c>
      <c r="P22" s="4">
        <v>19022</v>
      </c>
      <c r="Q22" s="4">
        <f t="shared" ref="Q22:Q45" si="6">Q21+((C22-C21)*P22)</f>
        <v>6070200</v>
      </c>
      <c r="R22" s="4">
        <v>17315</v>
      </c>
      <c r="S22" s="4">
        <f t="shared" ref="S22:S45" si="7">S21+((C22-C21)*R22)</f>
        <v>5608600</v>
      </c>
      <c r="T22" s="4">
        <v>16898</v>
      </c>
      <c r="U22" s="4">
        <f t="shared" ref="U22:U45" si="8">U21+((C22-C21)*T22)</f>
        <v>5126300</v>
      </c>
      <c r="V22" s="4">
        <v>14991</v>
      </c>
      <c r="W22" s="4">
        <f t="shared" ref="W22:W45" si="9">W21+((C22-C21)*V22)</f>
        <v>4684600</v>
      </c>
      <c r="X22" s="4">
        <v>14128</v>
      </c>
      <c r="Y22" s="4">
        <f t="shared" ref="Y22:Y45" si="10">Y21+((C22-C21)*X22)</f>
        <v>4395500</v>
      </c>
      <c r="Z22" s="4">
        <v>13518</v>
      </c>
      <c r="AA22" s="4">
        <f t="shared" ref="AA22:AA45" si="11">AA21+((C22-C21)*Z22)</f>
        <v>4218100</v>
      </c>
      <c r="AB22" s="4">
        <v>13622</v>
      </c>
      <c r="AC22" s="4">
        <f t="shared" ref="AC22:AC45" si="12">AC21+((C22-C21)*AB22)</f>
        <v>4159000</v>
      </c>
      <c r="AD22" s="4">
        <v>11799</v>
      </c>
      <c r="AE22" s="4">
        <f t="shared" ref="AE22:AE45" si="13">AE21+((C22-C21)*AD22)</f>
        <v>3761100</v>
      </c>
      <c r="AF22" s="4">
        <v>11318</v>
      </c>
    </row>
    <row r="23" spans="2:32" x14ac:dyDescent="0.25">
      <c r="B23" s="4" t="s">
        <v>59</v>
      </c>
      <c r="C23" s="4">
        <v>400</v>
      </c>
      <c r="D23" s="4">
        <v>54919</v>
      </c>
      <c r="E23" s="4">
        <f t="shared" si="0"/>
        <v>24384400</v>
      </c>
      <c r="F23" s="4">
        <v>41705</v>
      </c>
      <c r="G23" s="4">
        <f t="shared" si="1"/>
        <v>17206700</v>
      </c>
      <c r="H23" s="4">
        <v>33805</v>
      </c>
      <c r="I23" s="4">
        <f t="shared" si="2"/>
        <v>44958100</v>
      </c>
      <c r="J23" s="4">
        <v>29745</v>
      </c>
      <c r="K23" s="4">
        <f t="shared" si="3"/>
        <v>12130800</v>
      </c>
      <c r="L23" s="299">
        <v>25445</v>
      </c>
      <c r="M23" s="4">
        <f t="shared" si="4"/>
        <v>10353800</v>
      </c>
      <c r="N23" s="4">
        <v>22284</v>
      </c>
      <c r="O23" s="4">
        <f t="shared" si="5"/>
        <v>9149100</v>
      </c>
      <c r="P23" s="4">
        <v>18829</v>
      </c>
      <c r="Q23" s="4">
        <f t="shared" si="6"/>
        <v>7953100</v>
      </c>
      <c r="R23" s="4">
        <v>17146</v>
      </c>
      <c r="S23" s="4">
        <f t="shared" si="7"/>
        <v>7323200</v>
      </c>
      <c r="T23" s="4">
        <v>16726</v>
      </c>
      <c r="U23" s="4">
        <f t="shared" si="8"/>
        <v>6798900</v>
      </c>
      <c r="V23" s="4">
        <v>14541</v>
      </c>
      <c r="W23" s="4">
        <f t="shared" si="9"/>
        <v>6138700</v>
      </c>
      <c r="X23" s="4">
        <v>13986</v>
      </c>
      <c r="Y23" s="4">
        <f t="shared" si="10"/>
        <v>5794100</v>
      </c>
      <c r="Z23" s="4">
        <v>13385</v>
      </c>
      <c r="AA23" s="4">
        <f t="shared" si="11"/>
        <v>5556600</v>
      </c>
      <c r="AB23" s="4">
        <v>13487</v>
      </c>
      <c r="AC23" s="4">
        <f t="shared" si="12"/>
        <v>5507700</v>
      </c>
      <c r="AD23" s="4">
        <v>11644</v>
      </c>
      <c r="AE23" s="4">
        <f t="shared" si="13"/>
        <v>4925500</v>
      </c>
      <c r="AF23" s="4">
        <v>11197</v>
      </c>
    </row>
    <row r="24" spans="2:32" x14ac:dyDescent="0.25">
      <c r="B24" s="4" t="s">
        <v>60</v>
      </c>
      <c r="C24" s="4">
        <v>500</v>
      </c>
      <c r="D24" s="4">
        <v>54358</v>
      </c>
      <c r="E24" s="4">
        <f t="shared" si="0"/>
        <v>29820200</v>
      </c>
      <c r="F24" s="4">
        <v>41283</v>
      </c>
      <c r="G24" s="4">
        <f t="shared" si="1"/>
        <v>21335000</v>
      </c>
      <c r="H24" s="4">
        <v>33463</v>
      </c>
      <c r="I24" s="4">
        <f t="shared" si="2"/>
        <v>48304400</v>
      </c>
      <c r="J24" s="4">
        <v>29444</v>
      </c>
      <c r="K24" s="4">
        <f t="shared" si="3"/>
        <v>15075200</v>
      </c>
      <c r="L24" s="299">
        <v>25195</v>
      </c>
      <c r="M24" s="4">
        <f t="shared" si="4"/>
        <v>12873300</v>
      </c>
      <c r="N24" s="4">
        <v>22048</v>
      </c>
      <c r="O24" s="4">
        <f t="shared" si="5"/>
        <v>11353900</v>
      </c>
      <c r="P24" s="4">
        <v>18636</v>
      </c>
      <c r="Q24" s="4">
        <f t="shared" si="6"/>
        <v>9816700</v>
      </c>
      <c r="R24" s="4">
        <v>16977</v>
      </c>
      <c r="S24" s="4">
        <f t="shared" si="7"/>
        <v>9020900</v>
      </c>
      <c r="T24" s="4">
        <v>16554</v>
      </c>
      <c r="U24" s="4">
        <f t="shared" si="8"/>
        <v>8454300</v>
      </c>
      <c r="V24" s="4">
        <v>14691</v>
      </c>
      <c r="W24" s="4">
        <f t="shared" si="9"/>
        <v>7607800</v>
      </c>
      <c r="X24" s="4">
        <v>13844</v>
      </c>
      <c r="Y24" s="4">
        <f t="shared" si="10"/>
        <v>7178500</v>
      </c>
      <c r="Z24" s="4">
        <v>13252</v>
      </c>
      <c r="AA24" s="4">
        <f t="shared" si="11"/>
        <v>6881800</v>
      </c>
      <c r="AB24" s="4">
        <v>13352</v>
      </c>
      <c r="AC24" s="4">
        <f t="shared" si="12"/>
        <v>6842900</v>
      </c>
      <c r="AD24" s="4">
        <v>11513</v>
      </c>
      <c r="AE24" s="4">
        <f t="shared" si="13"/>
        <v>6076800</v>
      </c>
      <c r="AF24" s="4">
        <v>11076</v>
      </c>
    </row>
    <row r="25" spans="2:32" x14ac:dyDescent="0.25">
      <c r="B25" s="4" t="s">
        <v>61</v>
      </c>
      <c r="C25" s="4">
        <v>600</v>
      </c>
      <c r="D25" s="4">
        <v>20732</v>
      </c>
      <c r="E25" s="4">
        <f t="shared" si="0"/>
        <v>31893400</v>
      </c>
      <c r="F25" s="4">
        <v>18639</v>
      </c>
      <c r="G25" s="4">
        <f t="shared" si="1"/>
        <v>23198900</v>
      </c>
      <c r="H25" s="4">
        <v>17813</v>
      </c>
      <c r="I25" s="4">
        <f t="shared" si="2"/>
        <v>50085700</v>
      </c>
      <c r="J25" s="4">
        <v>18643</v>
      </c>
      <c r="K25" s="4">
        <f t="shared" si="3"/>
        <v>16939500</v>
      </c>
      <c r="L25" s="299">
        <v>16694</v>
      </c>
      <c r="M25" s="4">
        <f t="shared" si="4"/>
        <v>14542700</v>
      </c>
      <c r="N25" s="4">
        <v>14505</v>
      </c>
      <c r="O25" s="4">
        <f t="shared" si="5"/>
        <v>12804400</v>
      </c>
      <c r="P25" s="4">
        <v>14141</v>
      </c>
      <c r="Q25" s="4">
        <f t="shared" si="6"/>
        <v>11230800</v>
      </c>
      <c r="R25" s="4">
        <v>12909</v>
      </c>
      <c r="S25" s="4">
        <f t="shared" si="7"/>
        <v>10311800</v>
      </c>
      <c r="T25" s="4">
        <v>11677</v>
      </c>
      <c r="U25" s="4">
        <f t="shared" si="8"/>
        <v>9622000</v>
      </c>
      <c r="V25" s="4">
        <v>11071</v>
      </c>
      <c r="W25" s="4">
        <f t="shared" si="9"/>
        <v>8714900</v>
      </c>
      <c r="X25" s="4">
        <v>10703</v>
      </c>
      <c r="Y25" s="4">
        <f t="shared" si="10"/>
        <v>8248800</v>
      </c>
      <c r="Z25" s="4">
        <v>9812</v>
      </c>
      <c r="AA25" s="4">
        <f t="shared" si="11"/>
        <v>7863000</v>
      </c>
      <c r="AB25" s="4">
        <v>7311</v>
      </c>
      <c r="AC25" s="4">
        <f t="shared" si="12"/>
        <v>7574000</v>
      </c>
      <c r="AD25" s="4">
        <v>7239</v>
      </c>
      <c r="AE25" s="4">
        <f t="shared" si="13"/>
        <v>6800700</v>
      </c>
      <c r="AF25" s="4">
        <v>6212</v>
      </c>
    </row>
    <row r="26" spans="2:32" x14ac:dyDescent="0.25">
      <c r="B26" s="4" t="s">
        <v>62</v>
      </c>
      <c r="C26" s="4">
        <v>700</v>
      </c>
      <c r="D26" s="4">
        <v>20477</v>
      </c>
      <c r="E26" s="4">
        <f t="shared" si="0"/>
        <v>33941100</v>
      </c>
      <c r="F26" s="4">
        <v>18351</v>
      </c>
      <c r="G26" s="4">
        <f t="shared" si="1"/>
        <v>25034000</v>
      </c>
      <c r="H26" s="4">
        <v>17591</v>
      </c>
      <c r="I26" s="4">
        <f t="shared" si="2"/>
        <v>51844800</v>
      </c>
      <c r="J26" s="4">
        <v>16832</v>
      </c>
      <c r="K26" s="4">
        <f t="shared" si="3"/>
        <v>18622700</v>
      </c>
      <c r="L26" s="299">
        <v>16408</v>
      </c>
      <c r="M26" s="4">
        <f t="shared" si="4"/>
        <v>16183500</v>
      </c>
      <c r="N26" s="4">
        <v>14318</v>
      </c>
      <c r="O26" s="4">
        <f t="shared" si="5"/>
        <v>14236200</v>
      </c>
      <c r="P26" s="4">
        <v>13946</v>
      </c>
      <c r="Q26" s="4">
        <f t="shared" si="6"/>
        <v>12625400</v>
      </c>
      <c r="R26" s="4">
        <v>12612</v>
      </c>
      <c r="S26" s="4">
        <f t="shared" si="7"/>
        <v>11573000</v>
      </c>
      <c r="T26" s="4">
        <v>11545</v>
      </c>
      <c r="U26" s="4">
        <f t="shared" si="8"/>
        <v>10776500</v>
      </c>
      <c r="V26" s="4">
        <v>11006</v>
      </c>
      <c r="W26" s="4">
        <f t="shared" si="9"/>
        <v>9815500</v>
      </c>
      <c r="X26" s="4">
        <v>10551</v>
      </c>
      <c r="Y26" s="4">
        <f t="shared" si="10"/>
        <v>9303900</v>
      </c>
      <c r="Z26" s="4">
        <v>9731</v>
      </c>
      <c r="AA26" s="4">
        <f t="shared" si="11"/>
        <v>8836100</v>
      </c>
      <c r="AB26" s="4">
        <v>7221</v>
      </c>
      <c r="AC26" s="4">
        <f t="shared" si="12"/>
        <v>8296100</v>
      </c>
      <c r="AD26" s="4">
        <v>7215</v>
      </c>
      <c r="AE26" s="4">
        <f t="shared" si="13"/>
        <v>7522200</v>
      </c>
      <c r="AF26" s="4">
        <v>6167</v>
      </c>
    </row>
    <row r="27" spans="2:32" x14ac:dyDescent="0.25">
      <c r="B27" s="4" t="s">
        <v>63</v>
      </c>
      <c r="C27" s="4">
        <v>800</v>
      </c>
      <c r="D27" s="4">
        <v>20213</v>
      </c>
      <c r="E27" s="4">
        <f t="shared" si="0"/>
        <v>35962400</v>
      </c>
      <c r="F27" s="4">
        <v>18501</v>
      </c>
      <c r="G27" s="4">
        <f t="shared" si="1"/>
        <v>26884100</v>
      </c>
      <c r="H27" s="4">
        <v>18739</v>
      </c>
      <c r="I27" s="4">
        <f t="shared" si="2"/>
        <v>53718700</v>
      </c>
      <c r="J27" s="4">
        <v>18220</v>
      </c>
      <c r="K27" s="4">
        <f t="shared" si="3"/>
        <v>20444700</v>
      </c>
      <c r="L27" s="299">
        <v>16394</v>
      </c>
      <c r="M27" s="4">
        <f t="shared" si="4"/>
        <v>17822900</v>
      </c>
      <c r="N27" s="4">
        <v>14154</v>
      </c>
      <c r="O27" s="4">
        <f t="shared" si="5"/>
        <v>15651600</v>
      </c>
      <c r="P27" s="4">
        <v>13967</v>
      </c>
      <c r="Q27" s="4">
        <f t="shared" si="6"/>
        <v>14022100</v>
      </c>
      <c r="R27" s="4">
        <v>13388</v>
      </c>
      <c r="S27" s="4">
        <f t="shared" si="7"/>
        <v>12911800</v>
      </c>
      <c r="T27" s="4">
        <v>12804</v>
      </c>
      <c r="U27" s="4">
        <f t="shared" si="8"/>
        <v>12056900</v>
      </c>
      <c r="V27" s="4">
        <v>12348</v>
      </c>
      <c r="W27" s="4">
        <f t="shared" si="9"/>
        <v>11050300</v>
      </c>
      <c r="X27" s="4">
        <v>11897</v>
      </c>
      <c r="Y27" s="4">
        <f t="shared" si="10"/>
        <v>10493600</v>
      </c>
      <c r="Z27" s="4">
        <v>10044</v>
      </c>
      <c r="AA27" s="4">
        <f t="shared" si="11"/>
        <v>9840500</v>
      </c>
      <c r="AB27" s="4">
        <v>8936</v>
      </c>
      <c r="AC27" s="4">
        <f t="shared" si="12"/>
        <v>9189700</v>
      </c>
      <c r="AD27" s="4">
        <v>7184</v>
      </c>
      <c r="AE27" s="4">
        <f t="shared" si="13"/>
        <v>8240600</v>
      </c>
      <c r="AF27" s="4">
        <v>6118</v>
      </c>
    </row>
    <row r="28" spans="2:32" x14ac:dyDescent="0.25">
      <c r="B28" s="4" t="s">
        <v>64</v>
      </c>
      <c r="C28" s="4">
        <v>900</v>
      </c>
      <c r="D28" s="4">
        <v>25258</v>
      </c>
      <c r="E28" s="4">
        <f t="shared" si="0"/>
        <v>38488200</v>
      </c>
      <c r="F28" s="4">
        <v>23415</v>
      </c>
      <c r="G28" s="4">
        <f t="shared" si="1"/>
        <v>29225600</v>
      </c>
      <c r="H28" s="4">
        <v>23415</v>
      </c>
      <c r="I28" s="4">
        <f t="shared" si="2"/>
        <v>56060200</v>
      </c>
      <c r="J28" s="4">
        <v>22656</v>
      </c>
      <c r="K28" s="4">
        <f t="shared" si="3"/>
        <v>22710300</v>
      </c>
      <c r="L28" s="299">
        <v>21508</v>
      </c>
      <c r="M28" s="4">
        <f t="shared" si="4"/>
        <v>19973700</v>
      </c>
      <c r="N28" s="4">
        <v>20158</v>
      </c>
      <c r="O28" s="4">
        <f t="shared" si="5"/>
        <v>17667400</v>
      </c>
      <c r="P28" s="4">
        <v>20107</v>
      </c>
      <c r="Q28" s="4">
        <f t="shared" si="6"/>
        <v>16032800</v>
      </c>
      <c r="R28" s="4">
        <v>19988</v>
      </c>
      <c r="S28" s="4">
        <f t="shared" si="7"/>
        <v>14910600</v>
      </c>
      <c r="T28" s="4">
        <v>19861</v>
      </c>
      <c r="U28" s="4">
        <f t="shared" si="8"/>
        <v>14043000</v>
      </c>
      <c r="V28" s="4">
        <v>19614</v>
      </c>
      <c r="W28" s="4">
        <f t="shared" si="9"/>
        <v>13011700</v>
      </c>
      <c r="X28" s="4">
        <v>19382</v>
      </c>
      <c r="Y28" s="4">
        <f t="shared" si="10"/>
        <v>12431800</v>
      </c>
      <c r="Z28" s="4">
        <v>16111</v>
      </c>
      <c r="AA28" s="4">
        <f t="shared" si="11"/>
        <v>11451600</v>
      </c>
      <c r="AB28" s="4">
        <v>14026</v>
      </c>
      <c r="AC28" s="4">
        <f t="shared" si="12"/>
        <v>10592300</v>
      </c>
      <c r="AD28" s="4">
        <v>7158</v>
      </c>
      <c r="AE28" s="4">
        <f t="shared" si="13"/>
        <v>8956400</v>
      </c>
      <c r="AF28" s="4">
        <v>6062</v>
      </c>
    </row>
    <row r="29" spans="2:32" x14ac:dyDescent="0.25">
      <c r="B29" s="4" t="s">
        <v>65</v>
      </c>
      <c r="C29" s="4">
        <v>1000</v>
      </c>
      <c r="D29" s="4">
        <v>25001</v>
      </c>
      <c r="E29" s="4">
        <f t="shared" si="0"/>
        <v>40988300</v>
      </c>
      <c r="F29" s="4">
        <v>23190</v>
      </c>
      <c r="G29" s="4">
        <f t="shared" si="1"/>
        <v>31544600</v>
      </c>
      <c r="H29" s="4">
        <v>23190</v>
      </c>
      <c r="I29" s="4">
        <f t="shared" si="2"/>
        <v>58379200</v>
      </c>
      <c r="J29" s="4">
        <v>23332</v>
      </c>
      <c r="K29" s="4">
        <f t="shared" si="3"/>
        <v>25043500</v>
      </c>
      <c r="L29" s="299">
        <v>21968</v>
      </c>
      <c r="M29" s="4">
        <f t="shared" si="4"/>
        <v>22170500</v>
      </c>
      <c r="N29" s="4">
        <v>21622</v>
      </c>
      <c r="O29" s="4">
        <f t="shared" si="5"/>
        <v>19829600</v>
      </c>
      <c r="P29" s="4">
        <v>20783</v>
      </c>
      <c r="Q29" s="4">
        <f t="shared" si="6"/>
        <v>18111100</v>
      </c>
      <c r="R29" s="4">
        <v>20366</v>
      </c>
      <c r="S29" s="4">
        <f t="shared" si="7"/>
        <v>16947200</v>
      </c>
      <c r="T29" s="4">
        <v>19943</v>
      </c>
      <c r="U29" s="4">
        <f t="shared" si="8"/>
        <v>16037300</v>
      </c>
      <c r="V29" s="4">
        <v>19871</v>
      </c>
      <c r="W29" s="4">
        <f t="shared" si="9"/>
        <v>14998800</v>
      </c>
      <c r="X29" s="4">
        <v>19249</v>
      </c>
      <c r="Y29" s="4">
        <f t="shared" si="10"/>
        <v>14356700</v>
      </c>
      <c r="Z29" s="4">
        <v>18181</v>
      </c>
      <c r="AA29" s="4">
        <f t="shared" si="11"/>
        <v>13269700</v>
      </c>
      <c r="AB29" s="4">
        <v>16066</v>
      </c>
      <c r="AC29" s="4">
        <f t="shared" si="12"/>
        <v>12198900</v>
      </c>
      <c r="AD29" s="4">
        <v>7130</v>
      </c>
      <c r="AE29" s="4">
        <f t="shared" si="13"/>
        <v>9669400</v>
      </c>
      <c r="AF29" s="4">
        <v>6011</v>
      </c>
    </row>
    <row r="30" spans="2:32" x14ac:dyDescent="0.25">
      <c r="B30" s="4" t="s">
        <v>66</v>
      </c>
      <c r="C30" s="4">
        <v>1100</v>
      </c>
      <c r="D30" s="4">
        <v>24751</v>
      </c>
      <c r="E30" s="4">
        <f t="shared" si="0"/>
        <v>43463400</v>
      </c>
      <c r="F30" s="4">
        <v>22575</v>
      </c>
      <c r="G30" s="4">
        <f t="shared" si="1"/>
        <v>33802100</v>
      </c>
      <c r="H30" s="4">
        <v>21758</v>
      </c>
      <c r="I30" s="4">
        <f t="shared" si="2"/>
        <v>60555000</v>
      </c>
      <c r="J30" s="4">
        <v>21064</v>
      </c>
      <c r="K30" s="4">
        <f t="shared" si="3"/>
        <v>27149900</v>
      </c>
      <c r="L30" s="299">
        <v>20168</v>
      </c>
      <c r="M30" s="4">
        <f t="shared" si="4"/>
        <v>24187300</v>
      </c>
      <c r="N30" s="4">
        <v>19825</v>
      </c>
      <c r="O30" s="4">
        <f t="shared" si="5"/>
        <v>21812100</v>
      </c>
      <c r="P30" s="4">
        <v>18009</v>
      </c>
      <c r="Q30" s="4">
        <f t="shared" si="6"/>
        <v>19912000</v>
      </c>
      <c r="R30" s="4">
        <v>17165</v>
      </c>
      <c r="S30" s="4">
        <f t="shared" si="7"/>
        <v>18663700</v>
      </c>
      <c r="T30" s="4">
        <v>16316</v>
      </c>
      <c r="U30" s="4">
        <f t="shared" si="8"/>
        <v>17668900</v>
      </c>
      <c r="V30" s="4">
        <v>7699</v>
      </c>
      <c r="W30" s="4">
        <f t="shared" si="9"/>
        <v>15768700</v>
      </c>
      <c r="X30" s="4">
        <v>7486</v>
      </c>
      <c r="Y30" s="4">
        <f t="shared" si="10"/>
        <v>15105300</v>
      </c>
      <c r="Z30" s="4">
        <v>7412</v>
      </c>
      <c r="AA30" s="4">
        <f t="shared" si="11"/>
        <v>14010900</v>
      </c>
      <c r="AB30" s="4">
        <v>7340</v>
      </c>
      <c r="AC30" s="4">
        <f t="shared" si="12"/>
        <v>12932900</v>
      </c>
      <c r="AD30" s="4">
        <v>6600</v>
      </c>
      <c r="AE30" s="4">
        <f t="shared" si="13"/>
        <v>10329400</v>
      </c>
      <c r="AF30" s="4">
        <v>5966</v>
      </c>
    </row>
    <row r="31" spans="2:32" x14ac:dyDescent="0.25">
      <c r="B31" s="4" t="s">
        <v>67</v>
      </c>
      <c r="C31" s="4">
        <v>1200</v>
      </c>
      <c r="D31" s="4">
        <v>26991</v>
      </c>
      <c r="E31" s="4">
        <f t="shared" si="0"/>
        <v>46162500</v>
      </c>
      <c r="F31" s="4">
        <v>25943</v>
      </c>
      <c r="G31" s="4">
        <f t="shared" si="1"/>
        <v>36396400</v>
      </c>
      <c r="H31" s="4">
        <v>21050</v>
      </c>
      <c r="I31" s="4">
        <f t="shared" si="2"/>
        <v>62660000</v>
      </c>
      <c r="J31" s="4">
        <v>20390</v>
      </c>
      <c r="K31" s="4">
        <f t="shared" si="3"/>
        <v>29188900</v>
      </c>
      <c r="L31" s="299">
        <v>19852</v>
      </c>
      <c r="M31" s="4">
        <f t="shared" si="4"/>
        <v>26172500</v>
      </c>
      <c r="N31" s="4">
        <v>19488</v>
      </c>
      <c r="O31" s="4">
        <f t="shared" si="5"/>
        <v>23760900</v>
      </c>
      <c r="P31" s="4">
        <v>17803</v>
      </c>
      <c r="Q31" s="4">
        <f t="shared" si="6"/>
        <v>21692300</v>
      </c>
      <c r="R31" s="4">
        <v>16905</v>
      </c>
      <c r="S31" s="4">
        <f t="shared" si="7"/>
        <v>20354200</v>
      </c>
      <c r="T31" s="4">
        <v>15843</v>
      </c>
      <c r="U31" s="4">
        <f t="shared" si="8"/>
        <v>19253200</v>
      </c>
      <c r="V31" s="4">
        <v>7623</v>
      </c>
      <c r="W31" s="4">
        <f t="shared" si="9"/>
        <v>16531000</v>
      </c>
      <c r="X31" s="4">
        <v>7335</v>
      </c>
      <c r="Y31" s="4">
        <f t="shared" si="10"/>
        <v>15838800</v>
      </c>
      <c r="Z31" s="4">
        <v>7276</v>
      </c>
      <c r="AA31" s="4">
        <f t="shared" si="11"/>
        <v>14738500</v>
      </c>
      <c r="AB31" s="4">
        <v>7249</v>
      </c>
      <c r="AC31" s="4">
        <f t="shared" si="12"/>
        <v>13657800</v>
      </c>
      <c r="AD31" s="4">
        <v>6545</v>
      </c>
      <c r="AE31" s="4">
        <f t="shared" si="13"/>
        <v>10983900</v>
      </c>
      <c r="AF31" s="4">
        <v>5916</v>
      </c>
    </row>
    <row r="32" spans="2:32" x14ac:dyDescent="0.25">
      <c r="B32" s="4" t="s">
        <v>68</v>
      </c>
      <c r="C32" s="4">
        <v>1300</v>
      </c>
      <c r="D32" s="4">
        <v>26638</v>
      </c>
      <c r="E32" s="4">
        <f t="shared" si="0"/>
        <v>48826300</v>
      </c>
      <c r="F32" s="4">
        <v>25605</v>
      </c>
      <c r="G32" s="4">
        <f t="shared" si="1"/>
        <v>38956900</v>
      </c>
      <c r="H32" s="4">
        <v>17908</v>
      </c>
      <c r="I32" s="4">
        <f t="shared" si="2"/>
        <v>64450800</v>
      </c>
      <c r="J32" s="4">
        <v>17269</v>
      </c>
      <c r="K32" s="4">
        <f t="shared" si="3"/>
        <v>30915800</v>
      </c>
      <c r="L32" s="299">
        <v>16881</v>
      </c>
      <c r="M32" s="4">
        <f t="shared" si="4"/>
        <v>27860600</v>
      </c>
      <c r="N32" s="4">
        <v>16517</v>
      </c>
      <c r="O32" s="4">
        <f t="shared" si="5"/>
        <v>25412600</v>
      </c>
      <c r="P32" s="4">
        <v>15951</v>
      </c>
      <c r="Q32" s="4">
        <f t="shared" si="6"/>
        <v>23287400</v>
      </c>
      <c r="R32" s="4">
        <v>16558</v>
      </c>
      <c r="S32" s="4">
        <f t="shared" si="7"/>
        <v>22010000</v>
      </c>
      <c r="T32" s="4">
        <v>15382</v>
      </c>
      <c r="U32" s="4">
        <f t="shared" si="8"/>
        <v>20791400</v>
      </c>
      <c r="V32" s="4">
        <v>7699</v>
      </c>
      <c r="W32" s="4">
        <f t="shared" si="9"/>
        <v>17300900</v>
      </c>
      <c r="X32" s="4">
        <v>7184</v>
      </c>
      <c r="Y32" s="4">
        <f t="shared" si="10"/>
        <v>16557200</v>
      </c>
      <c r="Z32" s="4">
        <v>7148</v>
      </c>
      <c r="AA32" s="4">
        <f t="shared" si="11"/>
        <v>15453300</v>
      </c>
      <c r="AB32" s="4">
        <v>7099</v>
      </c>
      <c r="AC32" s="4">
        <f t="shared" si="12"/>
        <v>14367700</v>
      </c>
      <c r="AD32" s="4">
        <v>5361</v>
      </c>
      <c r="AE32" s="4">
        <f t="shared" si="13"/>
        <v>11520000</v>
      </c>
      <c r="AF32" s="4">
        <v>5875</v>
      </c>
    </row>
    <row r="33" spans="2:32" x14ac:dyDescent="0.25">
      <c r="B33" s="4" t="s">
        <v>69</v>
      </c>
      <c r="C33" s="4">
        <v>1400</v>
      </c>
      <c r="D33" s="4">
        <v>26280</v>
      </c>
      <c r="E33" s="4">
        <f t="shared" si="0"/>
        <v>51454300</v>
      </c>
      <c r="F33" s="4">
        <v>25270</v>
      </c>
      <c r="G33" s="4">
        <f t="shared" si="1"/>
        <v>41483900</v>
      </c>
      <c r="H33" s="4">
        <v>17502</v>
      </c>
      <c r="I33" s="4">
        <f t="shared" si="2"/>
        <v>66201000</v>
      </c>
      <c r="J33" s="4">
        <v>16887</v>
      </c>
      <c r="K33" s="4">
        <f t="shared" si="3"/>
        <v>32604500</v>
      </c>
      <c r="L33" s="299">
        <v>166524</v>
      </c>
      <c r="M33" s="4">
        <f t="shared" si="4"/>
        <v>44513000</v>
      </c>
      <c r="N33" s="4">
        <v>16185</v>
      </c>
      <c r="O33" s="4">
        <f t="shared" si="5"/>
        <v>27031100</v>
      </c>
      <c r="P33" s="4">
        <v>15774</v>
      </c>
      <c r="Q33" s="4">
        <f t="shared" si="6"/>
        <v>24864800</v>
      </c>
      <c r="R33" s="4">
        <v>15345</v>
      </c>
      <c r="S33" s="4">
        <f t="shared" si="7"/>
        <v>23544500</v>
      </c>
      <c r="T33" s="4">
        <v>14917</v>
      </c>
      <c r="U33" s="4">
        <f t="shared" si="8"/>
        <v>22283100</v>
      </c>
      <c r="V33" s="4">
        <v>7637</v>
      </c>
      <c r="W33" s="4">
        <f t="shared" si="9"/>
        <v>18064600</v>
      </c>
      <c r="X33" s="4">
        <v>7034</v>
      </c>
      <c r="Y33" s="4">
        <f t="shared" si="10"/>
        <v>17260600</v>
      </c>
      <c r="Z33" s="4">
        <v>7020</v>
      </c>
      <c r="AA33" s="4">
        <f t="shared" si="11"/>
        <v>16155300</v>
      </c>
      <c r="AB33" s="4">
        <v>6998</v>
      </c>
      <c r="AC33" s="4">
        <f t="shared" si="12"/>
        <v>15067500</v>
      </c>
      <c r="AD33" s="4">
        <v>5310</v>
      </c>
      <c r="AE33" s="4">
        <f t="shared" si="13"/>
        <v>12051000</v>
      </c>
      <c r="AF33" s="4">
        <v>5806</v>
      </c>
    </row>
    <row r="34" spans="2:32" x14ac:dyDescent="0.25">
      <c r="B34" s="4" t="s">
        <v>70</v>
      </c>
      <c r="C34" s="4">
        <v>1500</v>
      </c>
      <c r="D34" s="4">
        <v>25927</v>
      </c>
      <c r="E34" s="4">
        <f t="shared" si="0"/>
        <v>54047000</v>
      </c>
      <c r="F34" s="4">
        <v>24932</v>
      </c>
      <c r="G34" s="4">
        <f t="shared" si="1"/>
        <v>43977100</v>
      </c>
      <c r="H34" s="4">
        <v>24569</v>
      </c>
      <c r="I34" s="4">
        <f t="shared" si="2"/>
        <v>68657900</v>
      </c>
      <c r="J34" s="4">
        <v>24203</v>
      </c>
      <c r="K34" s="4">
        <f t="shared" si="3"/>
        <v>35024800</v>
      </c>
      <c r="L34" s="299">
        <v>22284</v>
      </c>
      <c r="M34" s="4">
        <f t="shared" si="4"/>
        <v>46741400</v>
      </c>
      <c r="N34" s="4">
        <v>15195</v>
      </c>
      <c r="O34" s="4">
        <f t="shared" si="5"/>
        <v>28550600</v>
      </c>
      <c r="P34" s="4">
        <v>14783</v>
      </c>
      <c r="Q34" s="4">
        <f t="shared" si="6"/>
        <v>26343100</v>
      </c>
      <c r="R34" s="4">
        <v>14556</v>
      </c>
      <c r="S34" s="4">
        <f t="shared" si="7"/>
        <v>25000100</v>
      </c>
      <c r="T34" s="4">
        <v>14324</v>
      </c>
      <c r="U34" s="4">
        <f t="shared" si="8"/>
        <v>23715500</v>
      </c>
      <c r="V34" s="4">
        <v>13866</v>
      </c>
      <c r="W34" s="4">
        <f t="shared" si="9"/>
        <v>19451200</v>
      </c>
      <c r="X34" s="4">
        <v>12164</v>
      </c>
      <c r="Y34" s="4">
        <f t="shared" si="10"/>
        <v>18477000</v>
      </c>
      <c r="Z34" s="4">
        <v>12001</v>
      </c>
      <c r="AA34" s="4">
        <f t="shared" si="11"/>
        <v>17355400</v>
      </c>
      <c r="AB34" s="4">
        <v>11841</v>
      </c>
      <c r="AC34" s="4">
        <f t="shared" si="12"/>
        <v>16251600</v>
      </c>
      <c r="AD34" s="4">
        <v>5373</v>
      </c>
      <c r="AE34" s="4">
        <f t="shared" si="13"/>
        <v>12588300</v>
      </c>
      <c r="AF34" s="4">
        <v>5761</v>
      </c>
    </row>
    <row r="35" spans="2:32" x14ac:dyDescent="0.25">
      <c r="B35" s="4" t="s">
        <v>71</v>
      </c>
      <c r="C35" s="4">
        <v>1600</v>
      </c>
      <c r="D35" s="4">
        <v>23803</v>
      </c>
      <c r="E35" s="4">
        <f t="shared" si="0"/>
        <v>56427300</v>
      </c>
      <c r="F35" s="4">
        <v>23210</v>
      </c>
      <c r="G35" s="4">
        <f t="shared" si="1"/>
        <v>46298100</v>
      </c>
      <c r="H35" s="4">
        <v>16856</v>
      </c>
      <c r="I35" s="4">
        <f t="shared" si="2"/>
        <v>70343500</v>
      </c>
      <c r="J35" s="4">
        <v>15938</v>
      </c>
      <c r="K35" s="4">
        <f t="shared" si="3"/>
        <v>36618600</v>
      </c>
      <c r="L35" s="299">
        <v>15528</v>
      </c>
      <c r="M35" s="4">
        <f t="shared" si="4"/>
        <v>48294200</v>
      </c>
      <c r="N35" s="4">
        <v>15113</v>
      </c>
      <c r="O35" s="4">
        <f t="shared" si="5"/>
        <v>30061900</v>
      </c>
      <c r="P35" s="4">
        <v>14505</v>
      </c>
      <c r="Q35" s="4">
        <f t="shared" si="6"/>
        <v>27793600</v>
      </c>
      <c r="R35" s="4">
        <v>14209</v>
      </c>
      <c r="S35" s="4">
        <f t="shared" si="7"/>
        <v>26421000</v>
      </c>
      <c r="T35" s="4">
        <v>13912</v>
      </c>
      <c r="U35" s="4">
        <f t="shared" si="8"/>
        <v>25106700</v>
      </c>
      <c r="V35" s="4">
        <v>13452</v>
      </c>
      <c r="W35" s="4">
        <f t="shared" si="9"/>
        <v>20796400</v>
      </c>
      <c r="X35" s="4">
        <v>12033</v>
      </c>
      <c r="Y35" s="4">
        <f t="shared" si="10"/>
        <v>19680300</v>
      </c>
      <c r="Z35" s="4">
        <v>11924</v>
      </c>
      <c r="AA35" s="4">
        <f t="shared" si="11"/>
        <v>18547800</v>
      </c>
      <c r="AB35" s="4">
        <v>11700</v>
      </c>
      <c r="AC35" s="4">
        <f t="shared" si="12"/>
        <v>17421600</v>
      </c>
      <c r="AD35" s="4">
        <v>5241</v>
      </c>
      <c r="AE35" s="4">
        <f t="shared" si="13"/>
        <v>13112400</v>
      </c>
      <c r="AF35" s="4">
        <v>5533</v>
      </c>
    </row>
    <row r="36" spans="2:32" x14ac:dyDescent="0.25">
      <c r="B36" s="4" t="s">
        <v>72</v>
      </c>
      <c r="C36" s="4">
        <v>1700</v>
      </c>
      <c r="D36" s="4">
        <v>23866</v>
      </c>
      <c r="E36" s="4">
        <f t="shared" si="0"/>
        <v>58813900</v>
      </c>
      <c r="F36" s="4">
        <v>23095</v>
      </c>
      <c r="G36" s="4">
        <f t="shared" si="1"/>
        <v>48607600</v>
      </c>
      <c r="H36" s="4">
        <v>16554</v>
      </c>
      <c r="I36" s="4">
        <f t="shared" si="2"/>
        <v>71998900</v>
      </c>
      <c r="J36" s="4">
        <v>15815</v>
      </c>
      <c r="K36" s="4">
        <f t="shared" si="3"/>
        <v>38200100</v>
      </c>
      <c r="L36" s="299">
        <v>15039</v>
      </c>
      <c r="M36" s="4">
        <f t="shared" si="4"/>
        <v>49798100</v>
      </c>
      <c r="N36" s="4">
        <v>15035</v>
      </c>
      <c r="O36" s="4">
        <f t="shared" si="5"/>
        <v>31565400</v>
      </c>
      <c r="P36" s="4">
        <v>13593</v>
      </c>
      <c r="Q36" s="4">
        <f t="shared" si="6"/>
        <v>29152900</v>
      </c>
      <c r="R36" s="4">
        <v>13544</v>
      </c>
      <c r="S36" s="4">
        <f t="shared" si="7"/>
        <v>27775400</v>
      </c>
      <c r="T36" s="4">
        <v>13498</v>
      </c>
      <c r="U36" s="4">
        <f t="shared" si="8"/>
        <v>26456500</v>
      </c>
      <c r="V36" s="4">
        <v>13041</v>
      </c>
      <c r="W36" s="4">
        <f t="shared" si="9"/>
        <v>22100500</v>
      </c>
      <c r="X36" s="4">
        <v>11901</v>
      </c>
      <c r="Y36" s="4">
        <f t="shared" si="10"/>
        <v>20870400</v>
      </c>
      <c r="Z36" s="4">
        <v>11792</v>
      </c>
      <c r="AA36" s="4">
        <f t="shared" si="11"/>
        <v>19727000</v>
      </c>
      <c r="AB36" s="4">
        <v>11560</v>
      </c>
      <c r="AC36" s="4">
        <f t="shared" si="12"/>
        <v>18577600</v>
      </c>
      <c r="AD36" s="4">
        <v>5081</v>
      </c>
      <c r="AE36" s="4">
        <f t="shared" si="13"/>
        <v>13620500</v>
      </c>
      <c r="AF36" s="4">
        <v>5317</v>
      </c>
    </row>
    <row r="37" spans="2:32" x14ac:dyDescent="0.25">
      <c r="B37" s="4" t="s">
        <v>73</v>
      </c>
      <c r="C37" s="4">
        <v>1800</v>
      </c>
      <c r="D37" s="4">
        <v>23803</v>
      </c>
      <c r="E37" s="4">
        <f t="shared" si="0"/>
        <v>61194200</v>
      </c>
      <c r="F37" s="4">
        <v>22908</v>
      </c>
      <c r="G37" s="4">
        <f t="shared" si="1"/>
        <v>50898400</v>
      </c>
      <c r="H37" s="4">
        <v>16253</v>
      </c>
      <c r="I37" s="4">
        <f t="shared" si="2"/>
        <v>73624200</v>
      </c>
      <c r="J37" s="4">
        <v>15683</v>
      </c>
      <c r="K37" s="4">
        <f t="shared" si="3"/>
        <v>39768400</v>
      </c>
      <c r="L37" s="299">
        <v>15321</v>
      </c>
      <c r="M37" s="4">
        <f t="shared" si="4"/>
        <v>51330200</v>
      </c>
      <c r="N37" s="4">
        <v>14958</v>
      </c>
      <c r="O37" s="4">
        <f t="shared" si="5"/>
        <v>33061200</v>
      </c>
      <c r="P37" s="4">
        <v>13347</v>
      </c>
      <c r="Q37" s="4">
        <f t="shared" si="6"/>
        <v>30487600</v>
      </c>
      <c r="R37" s="4">
        <v>13287</v>
      </c>
      <c r="S37" s="4">
        <f t="shared" si="7"/>
        <v>29104100</v>
      </c>
      <c r="T37" s="4">
        <v>12882</v>
      </c>
      <c r="U37" s="4">
        <f t="shared" si="8"/>
        <v>27744700</v>
      </c>
      <c r="V37" s="4">
        <v>12632</v>
      </c>
      <c r="W37" s="4">
        <f t="shared" si="9"/>
        <v>23363700</v>
      </c>
      <c r="X37" s="4">
        <v>11796</v>
      </c>
      <c r="Y37" s="4">
        <f t="shared" si="10"/>
        <v>22050000</v>
      </c>
      <c r="Z37" s="4">
        <v>11715</v>
      </c>
      <c r="AA37" s="4">
        <f t="shared" si="11"/>
        <v>20898500</v>
      </c>
      <c r="AB37" s="4">
        <v>11428</v>
      </c>
      <c r="AC37" s="4">
        <f t="shared" si="12"/>
        <v>19720400</v>
      </c>
      <c r="AD37" s="4">
        <v>5789</v>
      </c>
      <c r="AE37" s="4">
        <f t="shared" si="13"/>
        <v>14199400</v>
      </c>
      <c r="AF37" s="4">
        <v>5210</v>
      </c>
    </row>
    <row r="38" spans="2:32" x14ac:dyDescent="0.25">
      <c r="B38" s="4" t="s">
        <v>74</v>
      </c>
      <c r="C38" s="4">
        <v>1900</v>
      </c>
      <c r="D38" s="4">
        <v>25576</v>
      </c>
      <c r="E38" s="4">
        <f t="shared" si="0"/>
        <v>63751800</v>
      </c>
      <c r="F38" s="4">
        <v>23929</v>
      </c>
      <c r="G38" s="4">
        <f t="shared" si="1"/>
        <v>53291300</v>
      </c>
      <c r="H38" s="4">
        <v>16517</v>
      </c>
      <c r="I38" s="4">
        <f t="shared" si="2"/>
        <v>75275900</v>
      </c>
      <c r="J38" s="4">
        <v>15603</v>
      </c>
      <c r="K38" s="4">
        <f t="shared" si="3"/>
        <v>41328700</v>
      </c>
      <c r="L38" s="299">
        <v>14834</v>
      </c>
      <c r="M38" s="4">
        <f t="shared" si="4"/>
        <v>52813600</v>
      </c>
      <c r="N38" s="4">
        <v>14679</v>
      </c>
      <c r="O38" s="4">
        <f t="shared" si="5"/>
        <v>34529100</v>
      </c>
      <c r="P38" s="4">
        <v>13069</v>
      </c>
      <c r="Q38" s="4">
        <f t="shared" si="6"/>
        <v>31794500</v>
      </c>
      <c r="R38" s="4">
        <v>12996</v>
      </c>
      <c r="S38" s="4">
        <f t="shared" si="7"/>
        <v>30403700</v>
      </c>
      <c r="T38" s="4">
        <v>12472</v>
      </c>
      <c r="U38" s="4">
        <f t="shared" si="8"/>
        <v>28991900</v>
      </c>
      <c r="V38" s="4">
        <v>12220</v>
      </c>
      <c r="W38" s="4">
        <f t="shared" si="9"/>
        <v>24585700</v>
      </c>
      <c r="X38" s="4">
        <v>11916</v>
      </c>
      <c r="Y38" s="4">
        <f t="shared" si="10"/>
        <v>23241600</v>
      </c>
      <c r="Z38" s="4">
        <v>11619</v>
      </c>
      <c r="AA38" s="4">
        <f t="shared" si="11"/>
        <v>22060400</v>
      </c>
      <c r="AB38" s="4">
        <v>11289</v>
      </c>
      <c r="AC38" s="4">
        <f t="shared" si="12"/>
        <v>20849300</v>
      </c>
      <c r="AD38" s="4">
        <v>5286</v>
      </c>
      <c r="AE38" s="4">
        <f t="shared" si="13"/>
        <v>14728000</v>
      </c>
      <c r="AF38" s="4">
        <v>5091</v>
      </c>
    </row>
    <row r="39" spans="2:32" x14ac:dyDescent="0.25">
      <c r="B39" s="4" t="s">
        <v>75</v>
      </c>
      <c r="C39" s="4">
        <v>2000</v>
      </c>
      <c r="D39" s="4">
        <v>25001</v>
      </c>
      <c r="E39" s="4">
        <f t="shared" si="0"/>
        <v>66251900</v>
      </c>
      <c r="F39" s="4">
        <v>23411</v>
      </c>
      <c r="G39" s="4">
        <f t="shared" si="1"/>
        <v>55632400</v>
      </c>
      <c r="H39" s="4">
        <v>16056</v>
      </c>
      <c r="I39" s="4">
        <f>I38+((C39-C38)*H39)</f>
        <v>76881500</v>
      </c>
      <c r="J39" s="4">
        <v>14601</v>
      </c>
      <c r="K39" s="4">
        <f t="shared" si="3"/>
        <v>42788800</v>
      </c>
      <c r="L39" s="299">
        <v>144429</v>
      </c>
      <c r="M39" s="4">
        <f t="shared" si="4"/>
        <v>67256500</v>
      </c>
      <c r="N39" s="4">
        <v>14332</v>
      </c>
      <c r="O39" s="4">
        <f t="shared" si="5"/>
        <v>35962300</v>
      </c>
      <c r="P39" s="4">
        <v>12794</v>
      </c>
      <c r="Q39" s="4">
        <f t="shared" si="6"/>
        <v>33073900</v>
      </c>
      <c r="R39" s="4">
        <v>12726</v>
      </c>
      <c r="S39" s="4">
        <f t="shared" si="7"/>
        <v>31676300</v>
      </c>
      <c r="T39" s="4">
        <v>12057</v>
      </c>
      <c r="U39" s="4">
        <f t="shared" si="8"/>
        <v>30197600</v>
      </c>
      <c r="V39" s="4">
        <v>11806</v>
      </c>
      <c r="W39" s="4">
        <f t="shared" si="9"/>
        <v>25766300</v>
      </c>
      <c r="X39" s="4">
        <v>11669</v>
      </c>
      <c r="Y39" s="4">
        <f t="shared" si="10"/>
        <v>24408500</v>
      </c>
      <c r="Z39" s="4">
        <v>11536</v>
      </c>
      <c r="AA39" s="4">
        <f t="shared" si="11"/>
        <v>23214000</v>
      </c>
      <c r="AB39" s="4">
        <v>11148</v>
      </c>
      <c r="AC39" s="4">
        <f t="shared" si="12"/>
        <v>21964100</v>
      </c>
      <c r="AD39" s="4">
        <v>5019</v>
      </c>
      <c r="AE39" s="4">
        <f t="shared" si="13"/>
        <v>15229900</v>
      </c>
      <c r="AF39" s="4">
        <v>4929</v>
      </c>
    </row>
    <row r="40" spans="2:32" x14ac:dyDescent="0.25">
      <c r="B40" s="4" t="s">
        <v>24</v>
      </c>
      <c r="C40" s="4">
        <v>2500</v>
      </c>
      <c r="D40" s="4">
        <v>25001</v>
      </c>
      <c r="E40" s="4">
        <f t="shared" si="0"/>
        <v>78752400</v>
      </c>
      <c r="F40" s="4">
        <v>23411</v>
      </c>
      <c r="G40" s="4">
        <f t="shared" si="1"/>
        <v>67337900</v>
      </c>
      <c r="H40" s="4">
        <v>16056</v>
      </c>
      <c r="I40" s="4">
        <f t="shared" si="2"/>
        <v>84909500</v>
      </c>
      <c r="J40" s="4">
        <v>14601</v>
      </c>
      <c r="K40" s="4">
        <f t="shared" si="3"/>
        <v>50089300</v>
      </c>
      <c r="L40" s="299">
        <v>14429</v>
      </c>
      <c r="M40" s="4">
        <f t="shared" si="4"/>
        <v>74471000</v>
      </c>
      <c r="N40" s="4">
        <v>14332</v>
      </c>
      <c r="O40" s="4">
        <f t="shared" si="5"/>
        <v>43128300</v>
      </c>
      <c r="P40" s="4">
        <v>13347</v>
      </c>
      <c r="Q40" s="4">
        <f t="shared" si="6"/>
        <v>39747400</v>
      </c>
      <c r="R40" s="4">
        <v>12726</v>
      </c>
      <c r="S40" s="4">
        <f t="shared" si="7"/>
        <v>38039300</v>
      </c>
      <c r="T40" s="4">
        <v>12057</v>
      </c>
      <c r="U40" s="4">
        <f t="shared" si="8"/>
        <v>36226100</v>
      </c>
      <c r="V40" s="4">
        <v>11806</v>
      </c>
      <c r="W40" s="4">
        <f t="shared" si="9"/>
        <v>31669300</v>
      </c>
      <c r="X40" s="4">
        <v>11669</v>
      </c>
      <c r="Y40" s="4">
        <f t="shared" si="10"/>
        <v>30243000</v>
      </c>
      <c r="Z40" s="4">
        <v>11536</v>
      </c>
      <c r="AA40" s="4">
        <f t="shared" si="11"/>
        <v>28982000</v>
      </c>
      <c r="AB40" s="4">
        <v>11148</v>
      </c>
      <c r="AC40" s="4">
        <f t="shared" si="12"/>
        <v>27538100</v>
      </c>
      <c r="AD40" s="4">
        <v>4880</v>
      </c>
      <c r="AE40" s="4">
        <f t="shared" si="13"/>
        <v>17669900</v>
      </c>
      <c r="AF40" s="4">
        <v>4777</v>
      </c>
    </row>
    <row r="41" spans="2:32" x14ac:dyDescent="0.25">
      <c r="B41" s="4" t="s">
        <v>25</v>
      </c>
      <c r="C41" s="4">
        <v>10000</v>
      </c>
      <c r="D41" s="4">
        <v>22762</v>
      </c>
      <c r="E41" s="4">
        <f t="shared" si="0"/>
        <v>249467400</v>
      </c>
      <c r="F41" s="4">
        <v>19478</v>
      </c>
      <c r="G41" s="4">
        <f t="shared" si="1"/>
        <v>213422900</v>
      </c>
      <c r="H41" s="4">
        <v>10427</v>
      </c>
      <c r="I41" s="4">
        <f>I40+((C41-C40)*H41)</f>
        <v>163112000</v>
      </c>
      <c r="J41" s="4">
        <v>9642</v>
      </c>
      <c r="K41" s="4">
        <f t="shared" si="3"/>
        <v>122404300</v>
      </c>
      <c r="L41" s="299">
        <v>88855</v>
      </c>
      <c r="M41" s="4">
        <f t="shared" si="4"/>
        <v>740883500</v>
      </c>
      <c r="N41" s="4">
        <v>8800</v>
      </c>
      <c r="O41" s="4">
        <f t="shared" si="5"/>
        <v>109128300</v>
      </c>
      <c r="P41" s="4">
        <v>7794</v>
      </c>
      <c r="Q41" s="4">
        <f t="shared" si="6"/>
        <v>98202400</v>
      </c>
      <c r="R41" s="4">
        <v>6787</v>
      </c>
      <c r="S41" s="4">
        <f t="shared" si="7"/>
        <v>88941800</v>
      </c>
      <c r="T41" s="4">
        <v>6535</v>
      </c>
      <c r="U41" s="4">
        <f t="shared" si="8"/>
        <v>85238600</v>
      </c>
      <c r="V41" s="4">
        <v>6282</v>
      </c>
      <c r="W41" s="4">
        <f t="shared" si="9"/>
        <v>78784300</v>
      </c>
      <c r="X41" s="4">
        <v>6157</v>
      </c>
      <c r="Y41" s="4">
        <f t="shared" si="10"/>
        <v>76420500</v>
      </c>
      <c r="Z41" s="4">
        <v>6031</v>
      </c>
      <c r="AA41" s="4">
        <f t="shared" si="11"/>
        <v>74214500</v>
      </c>
      <c r="AB41" s="4">
        <v>5875</v>
      </c>
      <c r="AC41" s="4">
        <f t="shared" si="12"/>
        <v>71600600</v>
      </c>
      <c r="AD41" s="4">
        <v>2778</v>
      </c>
      <c r="AE41" s="4">
        <f t="shared" si="13"/>
        <v>38504900</v>
      </c>
      <c r="AF41" s="4">
        <v>2678</v>
      </c>
    </row>
    <row r="42" spans="2:32" x14ac:dyDescent="0.25">
      <c r="B42" s="4" t="s">
        <v>26</v>
      </c>
      <c r="C42" s="4">
        <v>20000</v>
      </c>
      <c r="D42" s="4">
        <v>7253</v>
      </c>
      <c r="E42" s="4">
        <f t="shared" si="0"/>
        <v>321997400</v>
      </c>
      <c r="F42" s="4">
        <v>7134</v>
      </c>
      <c r="G42" s="4">
        <f t="shared" si="1"/>
        <v>284762900</v>
      </c>
      <c r="H42" s="4">
        <v>7020</v>
      </c>
      <c r="I42" s="4">
        <f t="shared" si="2"/>
        <v>233312000</v>
      </c>
      <c r="J42" s="4">
        <v>6957</v>
      </c>
      <c r="K42" s="4">
        <f t="shared" si="3"/>
        <v>191974300</v>
      </c>
      <c r="L42" s="299">
        <v>6898</v>
      </c>
      <c r="M42" s="4">
        <f t="shared" si="4"/>
        <v>809863500</v>
      </c>
      <c r="N42" s="4">
        <v>5890</v>
      </c>
      <c r="O42" s="4">
        <f t="shared" si="5"/>
        <v>168028300</v>
      </c>
      <c r="P42" s="4">
        <v>4884</v>
      </c>
      <c r="Q42" s="4">
        <f t="shared" si="6"/>
        <v>147042400</v>
      </c>
      <c r="R42" s="4">
        <v>3655</v>
      </c>
      <c r="S42" s="4">
        <f t="shared" si="7"/>
        <v>125491800</v>
      </c>
      <c r="T42" s="4">
        <v>3111</v>
      </c>
      <c r="U42" s="4">
        <f t="shared" si="8"/>
        <v>116348600</v>
      </c>
      <c r="V42" s="4">
        <v>2834</v>
      </c>
      <c r="W42" s="4">
        <f t="shared" si="9"/>
        <v>107124300</v>
      </c>
      <c r="X42" s="4">
        <v>2477</v>
      </c>
      <c r="Y42" s="4">
        <f t="shared" si="10"/>
        <v>101190500</v>
      </c>
      <c r="Z42" s="4">
        <v>2116</v>
      </c>
      <c r="AA42" s="4">
        <f t="shared" si="11"/>
        <v>95374500</v>
      </c>
      <c r="AB42" s="4">
        <v>1929</v>
      </c>
      <c r="AC42" s="4">
        <f t="shared" si="12"/>
        <v>90890600</v>
      </c>
      <c r="AD42" s="4">
        <v>1742</v>
      </c>
      <c r="AE42" s="4">
        <f t="shared" si="13"/>
        <v>55924900</v>
      </c>
      <c r="AF42" s="4">
        <v>1575</v>
      </c>
    </row>
    <row r="43" spans="2:32" x14ac:dyDescent="0.25">
      <c r="B43" s="4" t="s">
        <v>27</v>
      </c>
      <c r="C43" s="4">
        <v>40000</v>
      </c>
      <c r="D43" s="4">
        <v>5824</v>
      </c>
      <c r="E43" s="4">
        <f t="shared" si="0"/>
        <v>438477400</v>
      </c>
      <c r="F43" s="4">
        <v>5146</v>
      </c>
      <c r="G43" s="4">
        <f t="shared" si="1"/>
        <v>387682900</v>
      </c>
      <c r="H43" s="4">
        <v>4963</v>
      </c>
      <c r="I43" s="4">
        <f t="shared" si="2"/>
        <v>332572000</v>
      </c>
      <c r="J43" s="4">
        <v>4784</v>
      </c>
      <c r="K43" s="4">
        <f t="shared" si="3"/>
        <v>287654300</v>
      </c>
      <c r="L43" s="299">
        <v>4284</v>
      </c>
      <c r="M43" s="4">
        <f t="shared" si="4"/>
        <v>895543500</v>
      </c>
      <c r="N43" s="4">
        <v>3056</v>
      </c>
      <c r="O43" s="4">
        <f t="shared" si="5"/>
        <v>229148300</v>
      </c>
      <c r="P43" s="4">
        <v>2996</v>
      </c>
      <c r="Q43" s="4">
        <f t="shared" si="6"/>
        <v>206962400</v>
      </c>
      <c r="R43" s="4">
        <v>1879</v>
      </c>
      <c r="S43" s="4">
        <f t="shared" si="7"/>
        <v>163071800</v>
      </c>
      <c r="T43" s="4">
        <v>1797</v>
      </c>
      <c r="U43" s="4">
        <f t="shared" si="8"/>
        <v>152288600</v>
      </c>
      <c r="V43" s="4">
        <v>1711</v>
      </c>
      <c r="W43" s="4">
        <f t="shared" si="9"/>
        <v>141344300</v>
      </c>
      <c r="X43" s="4">
        <v>1633</v>
      </c>
      <c r="Y43" s="4">
        <f t="shared" si="10"/>
        <v>133850500</v>
      </c>
      <c r="Z43" s="4">
        <v>1551</v>
      </c>
      <c r="AA43" s="4">
        <f t="shared" si="11"/>
        <v>126394500</v>
      </c>
      <c r="AB43" s="4">
        <v>1470</v>
      </c>
      <c r="AC43" s="4">
        <f t="shared" si="12"/>
        <v>120290600</v>
      </c>
      <c r="AD43" s="4">
        <v>816</v>
      </c>
      <c r="AE43" s="4">
        <f t="shared" si="13"/>
        <v>72244900</v>
      </c>
      <c r="AF43" s="4">
        <v>575</v>
      </c>
    </row>
    <row r="44" spans="2:32" x14ac:dyDescent="0.25">
      <c r="B44" s="4" t="s">
        <v>28</v>
      </c>
      <c r="C44" s="4">
        <v>70000</v>
      </c>
      <c r="D44" s="4">
        <v>4540</v>
      </c>
      <c r="E44" s="4">
        <f t="shared" si="0"/>
        <v>574677400</v>
      </c>
      <c r="F44" s="4">
        <v>4134</v>
      </c>
      <c r="G44" s="4">
        <f t="shared" si="1"/>
        <v>511702900</v>
      </c>
      <c r="H44" s="4">
        <v>4034</v>
      </c>
      <c r="I44" s="4">
        <f t="shared" si="2"/>
        <v>453592000</v>
      </c>
      <c r="J44" s="4">
        <v>3673</v>
      </c>
      <c r="K44" s="4">
        <f t="shared" si="3"/>
        <v>397844300</v>
      </c>
      <c r="L44" s="299">
        <v>3166</v>
      </c>
      <c r="M44" s="4">
        <f t="shared" si="4"/>
        <v>990523500</v>
      </c>
      <c r="N44" s="4">
        <v>2597</v>
      </c>
      <c r="O44" s="4">
        <f t="shared" si="5"/>
        <v>307058300</v>
      </c>
      <c r="P44" s="4">
        <v>2477</v>
      </c>
      <c r="Q44" s="4">
        <f t="shared" si="6"/>
        <v>281272400</v>
      </c>
      <c r="R44" s="4">
        <v>2237</v>
      </c>
      <c r="S44" s="4">
        <f t="shared" si="7"/>
        <v>230181800</v>
      </c>
      <c r="T44" s="4">
        <v>1936</v>
      </c>
      <c r="U44" s="4">
        <f t="shared" si="8"/>
        <v>210368600</v>
      </c>
      <c r="V44" s="4">
        <v>1640</v>
      </c>
      <c r="W44" s="4">
        <f t="shared" si="9"/>
        <v>190544300</v>
      </c>
      <c r="X44" s="4">
        <v>1328</v>
      </c>
      <c r="Y44" s="4">
        <f t="shared" si="10"/>
        <v>173690500</v>
      </c>
      <c r="Z44" s="4">
        <v>850</v>
      </c>
      <c r="AA44" s="4">
        <f t="shared" si="11"/>
        <v>151894500</v>
      </c>
      <c r="AB44" s="4">
        <v>715</v>
      </c>
      <c r="AC44" s="4">
        <f t="shared" si="12"/>
        <v>141740600</v>
      </c>
      <c r="AD44" s="4">
        <v>520</v>
      </c>
      <c r="AE44" s="4">
        <f t="shared" si="13"/>
        <v>87844900</v>
      </c>
      <c r="AF44" s="4">
        <v>547</v>
      </c>
    </row>
    <row r="45" spans="2:32" x14ac:dyDescent="0.25">
      <c r="B45" s="4" t="s">
        <v>76</v>
      </c>
      <c r="C45" s="4"/>
      <c r="D45" s="4">
        <v>2012</v>
      </c>
      <c r="E45" s="4">
        <f t="shared" si="0"/>
        <v>433837400</v>
      </c>
      <c r="F45" s="4">
        <v>1874</v>
      </c>
      <c r="G45" s="4">
        <f t="shared" si="1"/>
        <v>380522900</v>
      </c>
      <c r="H45" s="4">
        <v>1848</v>
      </c>
      <c r="I45" s="4">
        <f t="shared" si="2"/>
        <v>324232000</v>
      </c>
      <c r="J45" s="4">
        <v>1738</v>
      </c>
      <c r="K45" s="4">
        <f t="shared" si="3"/>
        <v>276184300</v>
      </c>
      <c r="L45" s="299">
        <v>1488</v>
      </c>
      <c r="M45" s="4">
        <f t="shared" si="4"/>
        <v>886363500</v>
      </c>
      <c r="N45" s="4">
        <v>1218</v>
      </c>
      <c r="O45" s="4">
        <f t="shared" si="5"/>
        <v>221798300</v>
      </c>
      <c r="P45" s="4">
        <v>1079</v>
      </c>
      <c r="Q45" s="4">
        <f t="shared" si="6"/>
        <v>205742400</v>
      </c>
      <c r="R45" s="4">
        <v>1089</v>
      </c>
      <c r="S45" s="4">
        <f t="shared" si="7"/>
        <v>153951800</v>
      </c>
      <c r="T45" s="4">
        <v>707</v>
      </c>
      <c r="U45" s="4">
        <f t="shared" si="8"/>
        <v>160878600</v>
      </c>
      <c r="V45" s="4">
        <v>677</v>
      </c>
      <c r="W45" s="4">
        <f t="shared" si="9"/>
        <v>143154300</v>
      </c>
      <c r="X45" s="4">
        <v>641</v>
      </c>
      <c r="Y45" s="4">
        <f t="shared" si="10"/>
        <v>128820500</v>
      </c>
      <c r="Z45" s="4">
        <v>401</v>
      </c>
      <c r="AA45" s="4">
        <f t="shared" si="11"/>
        <v>123824500</v>
      </c>
      <c r="AB45" s="4">
        <v>364</v>
      </c>
      <c r="AC45" s="4">
        <f t="shared" si="12"/>
        <v>116260600</v>
      </c>
      <c r="AD45" s="4">
        <v>361</v>
      </c>
      <c r="AE45" s="4">
        <f t="shared" si="13"/>
        <v>62574900</v>
      </c>
      <c r="AF45" s="4">
        <v>295</v>
      </c>
    </row>
    <row r="46" spans="2:32" x14ac:dyDescent="0.25">
      <c r="D46" s="3"/>
      <c r="E46" s="3"/>
    </row>
    <row r="48" spans="2:32" x14ac:dyDescent="0.25">
      <c r="B48" t="s">
        <v>45</v>
      </c>
    </row>
    <row r="49" spans="2:2" x14ac:dyDescent="0.25">
      <c r="B49" t="s">
        <v>46</v>
      </c>
    </row>
    <row r="50" spans="2:2" x14ac:dyDescent="0.25">
      <c r="B50" t="s">
        <v>47</v>
      </c>
    </row>
    <row r="51" spans="2:2" x14ac:dyDescent="0.25">
      <c r="B51" t="s">
        <v>48</v>
      </c>
    </row>
    <row r="52" spans="2:2" x14ac:dyDescent="0.25">
      <c r="B52" t="s">
        <v>77</v>
      </c>
    </row>
    <row r="54" spans="2:2" x14ac:dyDescent="0.25">
      <c r="B54" t="s">
        <v>32</v>
      </c>
    </row>
    <row r="55" spans="2:2" x14ac:dyDescent="0.25">
      <c r="B55" t="s">
        <v>34</v>
      </c>
    </row>
    <row r="56" spans="2:2" x14ac:dyDescent="0.25">
      <c r="B56" t="s">
        <v>35</v>
      </c>
    </row>
    <row r="57" spans="2:2" x14ac:dyDescent="0.25">
      <c r="B57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H207"/>
  <sheetViews>
    <sheetView topLeftCell="A190" workbookViewId="0">
      <selection activeCell="L140" sqref="L140"/>
    </sheetView>
  </sheetViews>
  <sheetFormatPr defaultRowHeight="15" x14ac:dyDescent="0.25"/>
  <cols>
    <col min="1" max="1" width="12.140625" customWidth="1"/>
    <col min="2" max="2" width="27.7109375" customWidth="1"/>
    <col min="3" max="5" width="12.140625" customWidth="1"/>
    <col min="6" max="6" width="17.85546875" customWidth="1"/>
  </cols>
  <sheetData>
    <row r="2" spans="1:8" ht="21" thickBot="1" x14ac:dyDescent="0.35">
      <c r="A2" s="7"/>
      <c r="B2" s="8" t="s">
        <v>79</v>
      </c>
      <c r="C2" s="7"/>
      <c r="D2" s="9"/>
      <c r="E2" s="10"/>
      <c r="F2" s="7"/>
    </row>
    <row r="3" spans="1:8" ht="15.75" x14ac:dyDescent="0.25">
      <c r="A3" s="336" t="s">
        <v>80</v>
      </c>
      <c r="B3" s="336" t="s">
        <v>81</v>
      </c>
      <c r="C3" s="336" t="s">
        <v>82</v>
      </c>
      <c r="D3" s="336" t="s">
        <v>83</v>
      </c>
      <c r="E3" s="337" t="s">
        <v>84</v>
      </c>
      <c r="F3" s="335" t="s">
        <v>85</v>
      </c>
      <c r="H3">
        <f>IF(SUM(F4:F55)=0,"-",1)</f>
        <v>1</v>
      </c>
    </row>
    <row r="4" spans="1:8" ht="31.5" x14ac:dyDescent="0.25">
      <c r="A4" s="12">
        <v>1</v>
      </c>
      <c r="B4" s="19" t="s">
        <v>86</v>
      </c>
      <c r="C4" s="19"/>
      <c r="D4" s="14"/>
      <c r="E4" s="15"/>
      <c r="F4" s="17"/>
      <c r="H4" s="132" t="str">
        <f>IF(SUM(F5:F12)=0,"-",1)</f>
        <v>-</v>
      </c>
    </row>
    <row r="5" spans="1:8" ht="15.75" x14ac:dyDescent="0.25">
      <c r="A5" s="12">
        <v>1.1000000000000001</v>
      </c>
      <c r="B5" s="13" t="s">
        <v>87</v>
      </c>
      <c r="C5" s="13" t="s">
        <v>88</v>
      </c>
      <c r="D5" s="14"/>
      <c r="E5" s="15">
        <v>1605.37</v>
      </c>
      <c r="F5" s="17">
        <f>E5*D5</f>
        <v>0</v>
      </c>
      <c r="H5" t="str">
        <f>IF(F5=0,"-",1)</f>
        <v>-</v>
      </c>
    </row>
    <row r="6" spans="1:8" ht="15.75" x14ac:dyDescent="0.25">
      <c r="A6" s="16">
        <v>1.2</v>
      </c>
      <c r="B6" s="13" t="s">
        <v>89</v>
      </c>
      <c r="C6" s="13" t="s">
        <v>88</v>
      </c>
      <c r="D6" s="14"/>
      <c r="E6" s="15">
        <v>1678.86</v>
      </c>
      <c r="F6" s="17">
        <f>E6*D6</f>
        <v>0</v>
      </c>
      <c r="H6" t="str">
        <f t="shared" ref="H6:H53" si="0">IF(F6=0,"-",1)</f>
        <v>-</v>
      </c>
    </row>
    <row r="7" spans="1:8" ht="15.75" x14ac:dyDescent="0.25">
      <c r="A7" s="12">
        <v>1.3</v>
      </c>
      <c r="B7" s="13" t="s">
        <v>90</v>
      </c>
      <c r="C7" s="13" t="s">
        <v>88</v>
      </c>
      <c r="D7" s="14"/>
      <c r="E7" s="15">
        <v>1752.37</v>
      </c>
      <c r="F7" s="17">
        <f>E7*D7</f>
        <v>0</v>
      </c>
      <c r="H7" t="str">
        <f t="shared" si="0"/>
        <v>-</v>
      </c>
    </row>
    <row r="8" spans="1:8" ht="15.75" x14ac:dyDescent="0.25">
      <c r="A8" s="12">
        <v>1.4</v>
      </c>
      <c r="B8" s="13" t="s">
        <v>91</v>
      </c>
      <c r="C8" s="13" t="s">
        <v>88</v>
      </c>
      <c r="D8" s="14"/>
      <c r="E8" s="15">
        <v>1812.39</v>
      </c>
      <c r="F8" s="17">
        <f>E8*D8</f>
        <v>0</v>
      </c>
      <c r="H8" t="str">
        <f t="shared" si="0"/>
        <v>-</v>
      </c>
    </row>
    <row r="9" spans="1:8" ht="15.75" x14ac:dyDescent="0.25">
      <c r="A9" s="12">
        <v>1.5</v>
      </c>
      <c r="B9" s="13" t="s">
        <v>92</v>
      </c>
      <c r="C9" s="13" t="s">
        <v>88</v>
      </c>
      <c r="D9" s="14"/>
      <c r="E9" s="15">
        <v>1756.01</v>
      </c>
      <c r="F9" s="17">
        <f t="shared" ref="F9:F26" si="1">E9*D9</f>
        <v>0</v>
      </c>
      <c r="H9" t="str">
        <f t="shared" si="0"/>
        <v>-</v>
      </c>
    </row>
    <row r="10" spans="1:8" ht="15.75" x14ac:dyDescent="0.25">
      <c r="A10" s="12">
        <v>1.6</v>
      </c>
      <c r="B10" s="13" t="s">
        <v>93</v>
      </c>
      <c r="C10" s="13" t="s">
        <v>88</v>
      </c>
      <c r="D10" s="14"/>
      <c r="E10" s="15">
        <v>1575.99</v>
      </c>
      <c r="F10" s="17">
        <f t="shared" si="1"/>
        <v>0</v>
      </c>
      <c r="H10" t="str">
        <f t="shared" si="0"/>
        <v>-</v>
      </c>
    </row>
    <row r="11" spans="1:8" ht="15.75" x14ac:dyDescent="0.25">
      <c r="A11" s="12">
        <v>1.7</v>
      </c>
      <c r="B11" s="119" t="s">
        <v>94</v>
      </c>
      <c r="C11" s="13" t="s">
        <v>88</v>
      </c>
      <c r="D11" s="14"/>
      <c r="E11" s="15">
        <v>1756.01</v>
      </c>
      <c r="F11" s="17">
        <f t="shared" si="1"/>
        <v>0</v>
      </c>
      <c r="H11" t="str">
        <f t="shared" si="0"/>
        <v>-</v>
      </c>
    </row>
    <row r="12" spans="1:8" ht="47.25" x14ac:dyDescent="0.25">
      <c r="A12" s="12">
        <v>1.8</v>
      </c>
      <c r="B12" s="13" t="s">
        <v>95</v>
      </c>
      <c r="C12" s="13" t="s">
        <v>96</v>
      </c>
      <c r="D12" s="14"/>
      <c r="E12" s="15">
        <v>62.84</v>
      </c>
      <c r="F12" s="18">
        <f t="shared" si="1"/>
        <v>0</v>
      </c>
      <c r="H12" t="str">
        <f t="shared" si="0"/>
        <v>-</v>
      </c>
    </row>
    <row r="13" spans="1:8" ht="31.5" x14ac:dyDescent="0.25">
      <c r="A13" s="12">
        <v>2</v>
      </c>
      <c r="B13" s="19" t="s">
        <v>99</v>
      </c>
      <c r="C13" s="19"/>
      <c r="D13" s="14"/>
      <c r="E13" s="15">
        <v>0</v>
      </c>
      <c r="F13" s="17"/>
      <c r="H13" s="132" t="str">
        <f>IF(SUM(F14:F17)=0,"-",1)</f>
        <v>-</v>
      </c>
    </row>
    <row r="14" spans="1:8" ht="15.75" x14ac:dyDescent="0.25">
      <c r="A14" s="12">
        <v>2.1</v>
      </c>
      <c r="B14" s="119" t="s">
        <v>87</v>
      </c>
      <c r="C14" s="13" t="s">
        <v>88</v>
      </c>
      <c r="D14" s="14"/>
      <c r="E14" s="15">
        <v>1679.81</v>
      </c>
      <c r="F14" s="17">
        <f t="shared" si="1"/>
        <v>0</v>
      </c>
      <c r="H14" t="str">
        <f t="shared" si="0"/>
        <v>-</v>
      </c>
    </row>
    <row r="15" spans="1:8" ht="15.75" x14ac:dyDescent="0.25">
      <c r="A15" s="12">
        <v>2.2000000000000002</v>
      </c>
      <c r="B15" s="13" t="s">
        <v>178</v>
      </c>
      <c r="C15" s="13" t="s">
        <v>88</v>
      </c>
      <c r="D15" s="14"/>
      <c r="E15" s="15">
        <v>1743.72</v>
      </c>
      <c r="F15" s="17">
        <f t="shared" si="1"/>
        <v>0</v>
      </c>
      <c r="H15" t="str">
        <f t="shared" si="0"/>
        <v>-</v>
      </c>
    </row>
    <row r="16" spans="1:8" ht="15.75" x14ac:dyDescent="0.25">
      <c r="A16" s="12">
        <v>2.4</v>
      </c>
      <c r="B16" s="13" t="s">
        <v>90</v>
      </c>
      <c r="C16" s="13" t="s">
        <v>88</v>
      </c>
      <c r="D16" s="14"/>
      <c r="E16" s="15">
        <v>1807.64</v>
      </c>
      <c r="F16" s="17">
        <f t="shared" si="1"/>
        <v>0</v>
      </c>
      <c r="H16" t="str">
        <f t="shared" si="0"/>
        <v>-</v>
      </c>
    </row>
    <row r="17" spans="1:8" s="126" customFormat="1" ht="15.75" x14ac:dyDescent="0.25">
      <c r="A17" s="122">
        <v>2.5</v>
      </c>
      <c r="B17" s="119" t="s">
        <v>97</v>
      </c>
      <c r="C17" s="119" t="s">
        <v>98</v>
      </c>
      <c r="D17" s="123"/>
      <c r="E17" s="124">
        <v>989.95</v>
      </c>
      <c r="F17" s="125">
        <f t="shared" si="1"/>
        <v>0</v>
      </c>
      <c r="H17" t="str">
        <f t="shared" si="0"/>
        <v>-</v>
      </c>
    </row>
    <row r="18" spans="1:8" ht="15.75" x14ac:dyDescent="0.25">
      <c r="A18" s="12">
        <v>3</v>
      </c>
      <c r="B18" s="19" t="s">
        <v>101</v>
      </c>
      <c r="C18" s="19"/>
      <c r="D18" s="14"/>
      <c r="E18" s="15"/>
      <c r="F18" s="20">
        <f t="shared" si="1"/>
        <v>0</v>
      </c>
      <c r="H18" s="132">
        <f>IF(SUM(F19:F26)=0,"-",1)</f>
        <v>1</v>
      </c>
    </row>
    <row r="19" spans="1:8" ht="15.75" x14ac:dyDescent="0.25">
      <c r="A19" s="12">
        <v>3.1</v>
      </c>
      <c r="B19" s="13" t="s">
        <v>87</v>
      </c>
      <c r="C19" s="13" t="s">
        <v>96</v>
      </c>
      <c r="D19" s="14"/>
      <c r="E19" s="15">
        <v>444.21</v>
      </c>
      <c r="F19" s="17">
        <f t="shared" si="1"/>
        <v>0</v>
      </c>
      <c r="H19" t="str">
        <f t="shared" si="0"/>
        <v>-</v>
      </c>
    </row>
    <row r="20" spans="1:8" ht="15.75" x14ac:dyDescent="0.25">
      <c r="A20" s="12">
        <v>3.2</v>
      </c>
      <c r="B20" s="13" t="s">
        <v>89</v>
      </c>
      <c r="C20" s="13" t="s">
        <v>96</v>
      </c>
      <c r="D20" s="14"/>
      <c r="E20" s="15">
        <v>532.4</v>
      </c>
      <c r="F20" s="17">
        <f t="shared" si="1"/>
        <v>0</v>
      </c>
      <c r="H20" t="str">
        <f t="shared" si="0"/>
        <v>-</v>
      </c>
    </row>
    <row r="21" spans="1:8" ht="15.75" x14ac:dyDescent="0.25">
      <c r="A21" s="12">
        <v>3.3</v>
      </c>
      <c r="B21" s="13" t="s">
        <v>90</v>
      </c>
      <c r="C21" s="13" t="s">
        <v>96</v>
      </c>
      <c r="D21" s="14"/>
      <c r="E21" s="15">
        <v>620.61</v>
      </c>
      <c r="F21" s="17">
        <f t="shared" si="1"/>
        <v>0</v>
      </c>
      <c r="H21" t="str">
        <f t="shared" si="0"/>
        <v>-</v>
      </c>
    </row>
    <row r="22" spans="1:8" ht="15.75" x14ac:dyDescent="0.25">
      <c r="A22" s="12">
        <v>3.4</v>
      </c>
      <c r="B22" s="13" t="s">
        <v>102</v>
      </c>
      <c r="C22" s="13" t="s">
        <v>96</v>
      </c>
      <c r="D22" s="14"/>
      <c r="E22" s="15">
        <v>692.63</v>
      </c>
      <c r="F22" s="17">
        <f t="shared" si="1"/>
        <v>0</v>
      </c>
      <c r="H22" t="str">
        <f t="shared" si="0"/>
        <v>-</v>
      </c>
    </row>
    <row r="23" spans="1:8" ht="15.75" x14ac:dyDescent="0.25">
      <c r="A23" s="12">
        <v>3.5</v>
      </c>
      <c r="B23" s="13" t="s">
        <v>92</v>
      </c>
      <c r="C23" s="13" t="s">
        <v>96</v>
      </c>
      <c r="D23" s="14"/>
      <c r="E23" s="15">
        <v>750.12</v>
      </c>
      <c r="F23" s="17">
        <f t="shared" si="1"/>
        <v>0</v>
      </c>
      <c r="H23" t="str">
        <f t="shared" si="0"/>
        <v>-</v>
      </c>
    </row>
    <row r="24" spans="1:8" ht="15.75" x14ac:dyDescent="0.25">
      <c r="A24" s="12">
        <v>3.6</v>
      </c>
      <c r="B24" s="13" t="s">
        <v>93</v>
      </c>
      <c r="C24" s="13" t="s">
        <v>96</v>
      </c>
      <c r="D24" s="14"/>
      <c r="E24" s="15">
        <v>692.63</v>
      </c>
      <c r="F24" s="17">
        <f t="shared" si="1"/>
        <v>0</v>
      </c>
      <c r="H24" t="str">
        <f t="shared" si="0"/>
        <v>-</v>
      </c>
    </row>
    <row r="25" spans="1:8" ht="15.75" x14ac:dyDescent="0.25">
      <c r="A25" s="12">
        <v>3.7</v>
      </c>
      <c r="B25" s="13" t="s">
        <v>94</v>
      </c>
      <c r="C25" s="13" t="s">
        <v>96</v>
      </c>
      <c r="D25" s="14">
        <f>+(8+11.83-3)*2.5</f>
        <v>42.074999999999996</v>
      </c>
      <c r="E25" s="15">
        <v>750.12</v>
      </c>
      <c r="F25" s="17">
        <f t="shared" si="1"/>
        <v>31561.298999999995</v>
      </c>
      <c r="H25">
        <f t="shared" si="0"/>
        <v>1</v>
      </c>
    </row>
    <row r="26" spans="1:8" ht="15.75" x14ac:dyDescent="0.25">
      <c r="A26" s="12">
        <v>3.8</v>
      </c>
      <c r="B26" s="119" t="s">
        <v>103</v>
      </c>
      <c r="C26" s="13" t="s">
        <v>96</v>
      </c>
      <c r="D26" s="14"/>
      <c r="E26" s="15">
        <v>62.84</v>
      </c>
      <c r="F26" s="17">
        <f t="shared" si="1"/>
        <v>0</v>
      </c>
      <c r="H26" t="str">
        <f t="shared" si="0"/>
        <v>-</v>
      </c>
    </row>
    <row r="27" spans="1:8" ht="15.75" x14ac:dyDescent="0.25">
      <c r="A27" s="12">
        <v>4</v>
      </c>
      <c r="B27" s="19" t="s">
        <v>104</v>
      </c>
      <c r="C27" s="19"/>
      <c r="D27" s="14"/>
      <c r="E27" s="15"/>
      <c r="F27" s="17"/>
      <c r="H27" s="132" t="str">
        <f>IF(SUM(F28:F35)=0,"-",1)</f>
        <v>-</v>
      </c>
    </row>
    <row r="28" spans="1:8" ht="15.75" x14ac:dyDescent="0.25">
      <c r="A28" s="12">
        <v>4.0999999999999996</v>
      </c>
      <c r="B28" s="119" t="s">
        <v>87</v>
      </c>
      <c r="C28" s="13" t="s">
        <v>96</v>
      </c>
      <c r="D28" s="14"/>
      <c r="E28" s="15">
        <v>1659.38</v>
      </c>
      <c r="F28" s="17">
        <f t="shared" ref="F28:F54" si="2">E28*D28</f>
        <v>0</v>
      </c>
      <c r="H28" t="str">
        <f t="shared" si="0"/>
        <v>-</v>
      </c>
    </row>
    <row r="29" spans="1:8" ht="15.75" x14ac:dyDescent="0.25">
      <c r="A29" s="12">
        <v>4.2</v>
      </c>
      <c r="B29" s="13" t="s">
        <v>89</v>
      </c>
      <c r="C29" s="13" t="s">
        <v>96</v>
      </c>
      <c r="D29" s="14"/>
      <c r="E29" s="15">
        <v>1710.51</v>
      </c>
      <c r="F29" s="17">
        <f t="shared" si="2"/>
        <v>0</v>
      </c>
      <c r="H29" t="str">
        <f t="shared" si="0"/>
        <v>-</v>
      </c>
    </row>
    <row r="30" spans="1:8" ht="15.75" x14ac:dyDescent="0.25">
      <c r="A30" s="12">
        <v>4.3</v>
      </c>
      <c r="B30" s="119" t="s">
        <v>90</v>
      </c>
      <c r="C30" s="13" t="s">
        <v>96</v>
      </c>
      <c r="D30" s="14"/>
      <c r="E30" s="15">
        <v>1761.65</v>
      </c>
      <c r="F30" s="17">
        <f t="shared" si="2"/>
        <v>0</v>
      </c>
      <c r="H30" t="str">
        <f t="shared" si="0"/>
        <v>-</v>
      </c>
    </row>
    <row r="31" spans="1:8" ht="15.75" x14ac:dyDescent="0.25">
      <c r="A31" s="12">
        <v>4.4000000000000004</v>
      </c>
      <c r="B31" s="13" t="s">
        <v>102</v>
      </c>
      <c r="C31" s="13" t="s">
        <v>96</v>
      </c>
      <c r="D31" s="14"/>
      <c r="E31" s="15">
        <v>1803.4</v>
      </c>
      <c r="F31" s="17">
        <f t="shared" si="2"/>
        <v>0</v>
      </c>
      <c r="H31" t="str">
        <f t="shared" si="0"/>
        <v>-</v>
      </c>
    </row>
    <row r="32" spans="1:8" ht="15.75" x14ac:dyDescent="0.25">
      <c r="A32" s="12">
        <v>4.5</v>
      </c>
      <c r="B32" s="119" t="s">
        <v>105</v>
      </c>
      <c r="C32" s="13" t="s">
        <v>96</v>
      </c>
      <c r="D32" s="14"/>
      <c r="E32" s="15">
        <v>1947.42</v>
      </c>
      <c r="F32" s="17">
        <f t="shared" si="2"/>
        <v>0</v>
      </c>
      <c r="H32" t="str">
        <f t="shared" si="0"/>
        <v>-</v>
      </c>
    </row>
    <row r="33" spans="1:8" ht="15.75" x14ac:dyDescent="0.25">
      <c r="A33" s="12">
        <v>4.5999999999999996</v>
      </c>
      <c r="B33" s="13" t="s">
        <v>93</v>
      </c>
      <c r="C33" s="13" t="s">
        <v>96</v>
      </c>
      <c r="D33" s="14"/>
      <c r="E33" s="15">
        <v>1659.38</v>
      </c>
      <c r="F33" s="17">
        <f t="shared" si="2"/>
        <v>0</v>
      </c>
      <c r="H33" t="str">
        <f t="shared" si="0"/>
        <v>-</v>
      </c>
    </row>
    <row r="34" spans="1:8" ht="15.75" x14ac:dyDescent="0.25">
      <c r="A34" s="12">
        <v>4.7</v>
      </c>
      <c r="B34" s="13" t="s">
        <v>94</v>
      </c>
      <c r="C34" s="13" t="s">
        <v>96</v>
      </c>
      <c r="D34" s="14"/>
      <c r="E34" s="15">
        <v>1803.4</v>
      </c>
      <c r="F34" s="17">
        <f t="shared" si="2"/>
        <v>0</v>
      </c>
      <c r="H34" t="str">
        <f t="shared" si="0"/>
        <v>-</v>
      </c>
    </row>
    <row r="35" spans="1:8" ht="15.75" x14ac:dyDescent="0.25">
      <c r="A35" s="12">
        <v>4.8</v>
      </c>
      <c r="B35" s="119" t="s">
        <v>103</v>
      </c>
      <c r="C35" s="13" t="s">
        <v>96</v>
      </c>
      <c r="D35" s="14"/>
      <c r="E35" s="15">
        <v>62.84</v>
      </c>
      <c r="F35" s="17">
        <f t="shared" si="2"/>
        <v>0</v>
      </c>
      <c r="H35" t="str">
        <f t="shared" si="0"/>
        <v>-</v>
      </c>
    </row>
    <row r="36" spans="1:8" ht="15.75" x14ac:dyDescent="0.25">
      <c r="A36" s="12">
        <v>5</v>
      </c>
      <c r="B36" s="19" t="s">
        <v>106</v>
      </c>
      <c r="C36" s="19"/>
      <c r="D36" s="14"/>
      <c r="E36" s="15"/>
      <c r="F36" s="17"/>
      <c r="H36" s="132" t="str">
        <f>IF(SUM(F37:F44)=0,"-",1)</f>
        <v>-</v>
      </c>
    </row>
    <row r="37" spans="1:8" ht="15.75" x14ac:dyDescent="0.25">
      <c r="A37" s="12">
        <v>5.0999999999999996</v>
      </c>
      <c r="B37" s="119" t="s">
        <v>87</v>
      </c>
      <c r="C37" s="13" t="s">
        <v>96</v>
      </c>
      <c r="D37" s="14"/>
      <c r="E37" s="15">
        <v>1015.44</v>
      </c>
      <c r="F37" s="17">
        <f t="shared" si="2"/>
        <v>0</v>
      </c>
      <c r="H37" t="str">
        <f t="shared" si="0"/>
        <v>-</v>
      </c>
    </row>
    <row r="38" spans="1:8" ht="15.75" x14ac:dyDescent="0.25">
      <c r="A38" s="12">
        <v>5.2</v>
      </c>
      <c r="B38" s="13" t="s">
        <v>89</v>
      </c>
      <c r="C38" s="13" t="s">
        <v>96</v>
      </c>
      <c r="D38" s="14"/>
      <c r="E38" s="15">
        <v>1144.07</v>
      </c>
      <c r="F38" s="17">
        <f t="shared" si="2"/>
        <v>0</v>
      </c>
      <c r="H38" t="str">
        <f t="shared" si="0"/>
        <v>-</v>
      </c>
    </row>
    <row r="39" spans="1:8" ht="15.75" x14ac:dyDescent="0.25">
      <c r="A39" s="12">
        <v>5.3</v>
      </c>
      <c r="B39" s="119" t="s">
        <v>90</v>
      </c>
      <c r="C39" s="13" t="s">
        <v>96</v>
      </c>
      <c r="D39" s="14"/>
      <c r="E39" s="15">
        <v>1272.7</v>
      </c>
      <c r="F39" s="17">
        <f t="shared" si="2"/>
        <v>0</v>
      </c>
      <c r="H39" t="str">
        <f t="shared" si="0"/>
        <v>-</v>
      </c>
    </row>
    <row r="40" spans="1:8" ht="15.75" x14ac:dyDescent="0.25">
      <c r="A40" s="12">
        <v>5.4</v>
      </c>
      <c r="B40" s="13" t="s">
        <v>102</v>
      </c>
      <c r="C40" s="13" t="s">
        <v>96</v>
      </c>
      <c r="D40" s="14"/>
      <c r="E40" s="15">
        <v>1195.46</v>
      </c>
      <c r="F40" s="21">
        <f t="shared" si="2"/>
        <v>0</v>
      </c>
      <c r="H40" t="str">
        <f t="shared" si="0"/>
        <v>-</v>
      </c>
    </row>
    <row r="41" spans="1:8" ht="15.75" x14ac:dyDescent="0.25">
      <c r="A41" s="12">
        <v>5.5</v>
      </c>
      <c r="B41" s="119" t="s">
        <v>105</v>
      </c>
      <c r="C41" s="13" t="s">
        <v>96</v>
      </c>
      <c r="D41" s="14"/>
      <c r="E41" s="15">
        <v>1375.48</v>
      </c>
      <c r="F41" s="22">
        <f t="shared" si="2"/>
        <v>0</v>
      </c>
      <c r="H41" t="str">
        <f t="shared" si="0"/>
        <v>-</v>
      </c>
    </row>
    <row r="42" spans="1:8" ht="15.75" x14ac:dyDescent="0.25">
      <c r="A42" s="12">
        <v>5.6</v>
      </c>
      <c r="B42" s="13" t="s">
        <v>93</v>
      </c>
      <c r="C42" s="13" t="s">
        <v>96</v>
      </c>
      <c r="D42" s="14"/>
      <c r="E42" s="15">
        <v>1195.46</v>
      </c>
      <c r="F42" s="18">
        <f t="shared" si="2"/>
        <v>0</v>
      </c>
      <c r="H42" t="str">
        <f t="shared" si="0"/>
        <v>-</v>
      </c>
    </row>
    <row r="43" spans="1:8" ht="15.75" x14ac:dyDescent="0.25">
      <c r="A43" s="12">
        <v>5.7</v>
      </c>
      <c r="B43" s="13" t="s">
        <v>94</v>
      </c>
      <c r="C43" s="13" t="s">
        <v>96</v>
      </c>
      <c r="D43" s="14"/>
      <c r="E43" s="15">
        <v>1375.48</v>
      </c>
      <c r="F43" s="18">
        <f t="shared" si="2"/>
        <v>0</v>
      </c>
      <c r="H43" t="str">
        <f t="shared" si="0"/>
        <v>-</v>
      </c>
    </row>
    <row r="44" spans="1:8" ht="15.75" x14ac:dyDescent="0.25">
      <c r="A44" s="12">
        <v>5.8</v>
      </c>
      <c r="B44" s="119" t="s">
        <v>107</v>
      </c>
      <c r="C44" s="13" t="s">
        <v>96</v>
      </c>
      <c r="D44" s="14"/>
      <c r="E44" s="15">
        <v>62.84</v>
      </c>
      <c r="F44" s="18">
        <f t="shared" si="2"/>
        <v>0</v>
      </c>
      <c r="H44" t="str">
        <f t="shared" si="0"/>
        <v>-</v>
      </c>
    </row>
    <row r="45" spans="1:8" ht="15.75" x14ac:dyDescent="0.25">
      <c r="A45" s="12">
        <v>6</v>
      </c>
      <c r="B45" s="23" t="s">
        <v>108</v>
      </c>
      <c r="C45" s="13"/>
      <c r="D45" s="14"/>
      <c r="E45" s="15"/>
      <c r="F45" s="18"/>
      <c r="H45" s="132">
        <f>IF(SUM(F46:F53)=0,"-",1)</f>
        <v>1</v>
      </c>
    </row>
    <row r="46" spans="1:8" ht="15.75" x14ac:dyDescent="0.25">
      <c r="A46" s="12">
        <v>6.1</v>
      </c>
      <c r="B46" s="24" t="s">
        <v>87</v>
      </c>
      <c r="C46" s="13" t="s">
        <v>96</v>
      </c>
      <c r="D46" s="14"/>
      <c r="E46" s="15">
        <v>322.85000000000002</v>
      </c>
      <c r="F46" s="18">
        <f>E46*D46</f>
        <v>0</v>
      </c>
      <c r="H46" t="str">
        <f t="shared" si="0"/>
        <v>-</v>
      </c>
    </row>
    <row r="47" spans="1:8" ht="15.75" x14ac:dyDescent="0.25">
      <c r="A47" s="12">
        <v>7</v>
      </c>
      <c r="B47" s="23" t="s">
        <v>109</v>
      </c>
      <c r="C47" s="13"/>
      <c r="D47" s="14"/>
      <c r="E47" s="15"/>
      <c r="F47" s="18"/>
      <c r="H47" s="132">
        <f>IF(SUM(F48:F55)=0,"-",1)</f>
        <v>1</v>
      </c>
    </row>
    <row r="48" spans="1:8" ht="15.75" x14ac:dyDescent="0.25">
      <c r="A48" s="12">
        <v>7.1</v>
      </c>
      <c r="B48" s="24" t="s">
        <v>87</v>
      </c>
      <c r="C48" s="13" t="s">
        <v>96</v>
      </c>
      <c r="D48" s="14"/>
      <c r="E48" s="15">
        <v>437.78</v>
      </c>
      <c r="F48" s="25">
        <f t="shared" si="2"/>
        <v>0</v>
      </c>
      <c r="H48" t="str">
        <f t="shared" si="0"/>
        <v>-</v>
      </c>
    </row>
    <row r="49" spans="1:8" ht="15.75" x14ac:dyDescent="0.25">
      <c r="A49" s="12">
        <v>8</v>
      </c>
      <c r="B49" s="26" t="s">
        <v>110</v>
      </c>
      <c r="C49" s="13" t="s">
        <v>96</v>
      </c>
      <c r="D49" s="14"/>
      <c r="E49" s="15">
        <v>2120</v>
      </c>
      <c r="F49" s="17">
        <f t="shared" si="2"/>
        <v>0</v>
      </c>
      <c r="H49" t="str">
        <f t="shared" si="0"/>
        <v>-</v>
      </c>
    </row>
    <row r="50" spans="1:8" ht="15.75" x14ac:dyDescent="0.25">
      <c r="A50" s="12">
        <v>9</v>
      </c>
      <c r="B50" s="13" t="s">
        <v>111</v>
      </c>
      <c r="C50" s="13" t="s">
        <v>98</v>
      </c>
      <c r="D50" s="14"/>
      <c r="E50" s="15">
        <v>848.4</v>
      </c>
      <c r="F50" s="17">
        <f t="shared" si="2"/>
        <v>0</v>
      </c>
      <c r="H50" t="str">
        <f t="shared" si="0"/>
        <v>-</v>
      </c>
    </row>
    <row r="51" spans="1:8" ht="31.5" x14ac:dyDescent="0.25">
      <c r="A51" s="12">
        <v>10</v>
      </c>
      <c r="B51" s="13" t="s">
        <v>112</v>
      </c>
      <c r="C51" s="13" t="s">
        <v>96</v>
      </c>
      <c r="D51" s="14"/>
      <c r="E51" s="15">
        <v>1950</v>
      </c>
      <c r="F51" s="17">
        <f t="shared" si="2"/>
        <v>0</v>
      </c>
      <c r="H51" t="str">
        <f t="shared" si="0"/>
        <v>-</v>
      </c>
    </row>
    <row r="52" spans="1:8" ht="31.5" x14ac:dyDescent="0.25">
      <c r="A52" s="122">
        <v>11</v>
      </c>
      <c r="B52" s="13" t="s">
        <v>113</v>
      </c>
      <c r="C52" s="13" t="s">
        <v>96</v>
      </c>
      <c r="D52" s="14">
        <v>12</v>
      </c>
      <c r="E52" s="15">
        <v>2800</v>
      </c>
      <c r="F52" s="17">
        <f t="shared" si="2"/>
        <v>33600</v>
      </c>
      <c r="H52">
        <f t="shared" si="0"/>
        <v>1</v>
      </c>
    </row>
    <row r="53" spans="1:8" ht="47.25" x14ac:dyDescent="0.25">
      <c r="A53" s="122">
        <v>12</v>
      </c>
      <c r="B53" s="27" t="s">
        <v>114</v>
      </c>
      <c r="C53" s="13" t="s">
        <v>96</v>
      </c>
      <c r="D53" s="14"/>
      <c r="E53" s="15">
        <v>4550</v>
      </c>
      <c r="F53" s="17">
        <f t="shared" si="2"/>
        <v>0</v>
      </c>
      <c r="H53" t="str">
        <f t="shared" si="0"/>
        <v>-</v>
      </c>
    </row>
    <row r="54" spans="1:8" ht="16.5" thickBot="1" x14ac:dyDescent="0.3">
      <c r="A54" s="28">
        <v>13</v>
      </c>
      <c r="B54" s="29" t="s">
        <v>115</v>
      </c>
      <c r="C54" s="30" t="s">
        <v>98</v>
      </c>
      <c r="D54" s="14">
        <f>8+11</f>
        <v>19</v>
      </c>
      <c r="E54" s="15">
        <v>441.2</v>
      </c>
      <c r="F54" s="17">
        <f t="shared" si="2"/>
        <v>8382.7999999999993</v>
      </c>
      <c r="H54">
        <f>IF(F54=0,"-",1)</f>
        <v>1</v>
      </c>
    </row>
    <row r="55" spans="1:8" ht="15.75" x14ac:dyDescent="0.25">
      <c r="A55" s="31"/>
      <c r="B55" s="32" t="s">
        <v>116</v>
      </c>
      <c r="C55" s="33"/>
      <c r="D55" s="34"/>
      <c r="E55" s="34">
        <v>0</v>
      </c>
      <c r="F55" s="35">
        <f>SUM(F6:F54)</f>
        <v>73544.099000000002</v>
      </c>
      <c r="H55">
        <f>IF(F55=0,"-",1)</f>
        <v>1</v>
      </c>
    </row>
    <row r="56" spans="1:8" ht="15.75" x14ac:dyDescent="0.25">
      <c r="A56" s="31"/>
      <c r="B56" s="36"/>
      <c r="C56" s="37"/>
      <c r="D56" s="38"/>
      <c r="E56" s="38">
        <v>0</v>
      </c>
      <c r="F56" s="39"/>
      <c r="H56" t="str">
        <f>IF(D56=0,"-",1)</f>
        <v>-</v>
      </c>
    </row>
    <row r="57" spans="1:8" ht="21" thickBot="1" x14ac:dyDescent="0.35">
      <c r="A57" s="31"/>
      <c r="B57" s="8" t="s">
        <v>117</v>
      </c>
      <c r="C57" s="40"/>
      <c r="D57" s="41"/>
      <c r="E57" s="41">
        <v>0</v>
      </c>
      <c r="F57" s="42"/>
      <c r="H57" s="132" t="str">
        <f>IF(SUM(F58:F65)=0,"-",1)</f>
        <v>-</v>
      </c>
    </row>
    <row r="58" spans="1:8" ht="16.5" thickBot="1" x14ac:dyDescent="0.3">
      <c r="A58" s="11" t="s">
        <v>80</v>
      </c>
      <c r="B58" s="11" t="s">
        <v>81</v>
      </c>
      <c r="C58" s="11" t="s">
        <v>82</v>
      </c>
      <c r="D58" s="43" t="s">
        <v>83</v>
      </c>
      <c r="E58" s="44" t="s">
        <v>118</v>
      </c>
      <c r="F58" s="45" t="s">
        <v>85</v>
      </c>
      <c r="H58" s="132">
        <f>IF(SUM(F59:F66)=0,"-",1)</f>
        <v>1</v>
      </c>
    </row>
    <row r="59" spans="1:8" ht="31.5" x14ac:dyDescent="0.25">
      <c r="A59" s="46">
        <v>1</v>
      </c>
      <c r="B59" s="47" t="s">
        <v>119</v>
      </c>
      <c r="C59" s="47" t="s">
        <v>96</v>
      </c>
      <c r="D59" s="47"/>
      <c r="E59" s="48">
        <v>91.23</v>
      </c>
      <c r="F59" s="49">
        <f t="shared" ref="F59:F75" si="3">D59*E59</f>
        <v>0</v>
      </c>
      <c r="H59" t="str">
        <f t="shared" ref="H59:H77" si="4">IF(F59=0,"-",1)</f>
        <v>-</v>
      </c>
    </row>
    <row r="60" spans="1:8" ht="31.5" x14ac:dyDescent="0.25">
      <c r="A60" s="12">
        <v>2</v>
      </c>
      <c r="B60" s="13" t="s">
        <v>120</v>
      </c>
      <c r="C60" s="13" t="s">
        <v>96</v>
      </c>
      <c r="D60" s="13"/>
      <c r="E60" s="15">
        <v>165</v>
      </c>
      <c r="F60" s="18">
        <f t="shared" si="3"/>
        <v>0</v>
      </c>
      <c r="H60" t="str">
        <f t="shared" si="4"/>
        <v>-</v>
      </c>
    </row>
    <row r="61" spans="1:8" ht="31.5" x14ac:dyDescent="0.25">
      <c r="A61" s="12">
        <v>3</v>
      </c>
      <c r="B61" s="13" t="s">
        <v>121</v>
      </c>
      <c r="C61" s="13" t="s">
        <v>96</v>
      </c>
      <c r="D61" s="50"/>
      <c r="E61" s="15">
        <v>496.95</v>
      </c>
      <c r="F61" s="51">
        <f t="shared" si="3"/>
        <v>0</v>
      </c>
      <c r="H61" t="str">
        <f t="shared" si="4"/>
        <v>-</v>
      </c>
    </row>
    <row r="62" spans="1:8" ht="15.75" x14ac:dyDescent="0.25">
      <c r="A62" s="12">
        <v>4</v>
      </c>
      <c r="B62" s="13" t="s">
        <v>122</v>
      </c>
      <c r="C62" s="13" t="s">
        <v>96</v>
      </c>
      <c r="D62" s="13"/>
      <c r="E62" s="15">
        <v>1142.8599999999999</v>
      </c>
      <c r="F62" s="21">
        <f t="shared" si="3"/>
        <v>0</v>
      </c>
      <c r="H62" t="str">
        <f t="shared" si="4"/>
        <v>-</v>
      </c>
    </row>
    <row r="63" spans="1:8" ht="31.5" x14ac:dyDescent="0.25">
      <c r="A63" s="12">
        <v>5</v>
      </c>
      <c r="B63" s="13" t="s">
        <v>123</v>
      </c>
      <c r="C63" s="13" t="s">
        <v>96</v>
      </c>
      <c r="D63" s="13"/>
      <c r="E63" s="15">
        <v>699.23</v>
      </c>
      <c r="F63" s="21">
        <f t="shared" si="3"/>
        <v>0</v>
      </c>
      <c r="H63" t="str">
        <f t="shared" si="4"/>
        <v>-</v>
      </c>
    </row>
    <row r="64" spans="1:8" ht="15.75" x14ac:dyDescent="0.25">
      <c r="A64" s="12">
        <v>6</v>
      </c>
      <c r="B64" s="13" t="s">
        <v>124</v>
      </c>
      <c r="C64" s="13" t="s">
        <v>96</v>
      </c>
      <c r="D64" s="50"/>
      <c r="E64" s="15">
        <v>898.24</v>
      </c>
      <c r="F64" s="17">
        <f t="shared" si="3"/>
        <v>0</v>
      </c>
      <c r="H64" t="str">
        <f t="shared" si="4"/>
        <v>-</v>
      </c>
    </row>
    <row r="65" spans="1:8" ht="15.75" x14ac:dyDescent="0.25">
      <c r="A65" s="12">
        <v>7</v>
      </c>
      <c r="B65" s="119" t="s">
        <v>125</v>
      </c>
      <c r="C65" s="13" t="s">
        <v>96</v>
      </c>
      <c r="D65" s="13"/>
      <c r="E65" s="15">
        <v>1227.04</v>
      </c>
      <c r="F65" s="51">
        <f t="shared" si="3"/>
        <v>0</v>
      </c>
      <c r="H65" t="str">
        <f t="shared" si="4"/>
        <v>-</v>
      </c>
    </row>
    <row r="66" spans="1:8" ht="31.5" x14ac:dyDescent="0.25">
      <c r="A66" s="12">
        <v>8</v>
      </c>
      <c r="B66" s="13" t="s">
        <v>126</v>
      </c>
      <c r="C66" s="13" t="s">
        <v>96</v>
      </c>
      <c r="D66" s="376">
        <f>94-Area!D4</f>
        <v>20.174000000000007</v>
      </c>
      <c r="E66" s="15">
        <v>849.82</v>
      </c>
      <c r="F66" s="17">
        <f t="shared" si="3"/>
        <v>17144.268680000008</v>
      </c>
      <c r="H66">
        <f t="shared" si="4"/>
        <v>1</v>
      </c>
    </row>
    <row r="67" spans="1:8" ht="31.5" x14ac:dyDescent="0.25">
      <c r="A67" s="12">
        <v>9</v>
      </c>
      <c r="B67" s="13" t="s">
        <v>127</v>
      </c>
      <c r="C67" s="13" t="s">
        <v>96</v>
      </c>
      <c r="D67" s="50"/>
      <c r="E67" s="15">
        <v>1128.5</v>
      </c>
      <c r="F67" s="17">
        <f t="shared" si="3"/>
        <v>0</v>
      </c>
      <c r="H67" t="str">
        <f t="shared" si="4"/>
        <v>-</v>
      </c>
    </row>
    <row r="68" spans="1:8" ht="31.5" x14ac:dyDescent="0.25">
      <c r="A68" s="12">
        <v>10</v>
      </c>
      <c r="B68" s="13" t="s">
        <v>128</v>
      </c>
      <c r="C68" s="13" t="s">
        <v>96</v>
      </c>
      <c r="D68" s="13"/>
      <c r="E68" s="15">
        <v>1512.28</v>
      </c>
      <c r="F68" s="17">
        <f t="shared" si="3"/>
        <v>0</v>
      </c>
      <c r="H68" t="str">
        <f t="shared" si="4"/>
        <v>-</v>
      </c>
    </row>
    <row r="69" spans="1:8" ht="31.5" x14ac:dyDescent="0.25">
      <c r="A69" s="122">
        <v>11</v>
      </c>
      <c r="B69" s="13" t="s">
        <v>129</v>
      </c>
      <c r="C69" s="13" t="s">
        <v>96</v>
      </c>
      <c r="D69" s="50"/>
      <c r="E69" s="15">
        <v>1366.44</v>
      </c>
      <c r="F69" s="17">
        <f t="shared" si="3"/>
        <v>0</v>
      </c>
      <c r="H69" t="str">
        <f t="shared" si="4"/>
        <v>-</v>
      </c>
    </row>
    <row r="70" spans="1:8" ht="31.5" x14ac:dyDescent="0.25">
      <c r="A70" s="12">
        <v>12</v>
      </c>
      <c r="B70" s="13" t="s">
        <v>130</v>
      </c>
      <c r="C70" s="13" t="s">
        <v>96</v>
      </c>
      <c r="D70" s="27"/>
      <c r="E70" s="15">
        <v>989.22</v>
      </c>
      <c r="F70" s="51">
        <f t="shared" si="3"/>
        <v>0</v>
      </c>
      <c r="H70" t="str">
        <f t="shared" si="4"/>
        <v>-</v>
      </c>
    </row>
    <row r="71" spans="1:8" ht="31.5" x14ac:dyDescent="0.25">
      <c r="A71" s="12">
        <v>13</v>
      </c>
      <c r="B71" s="13" t="s">
        <v>131</v>
      </c>
      <c r="C71" s="13" t="s">
        <v>96</v>
      </c>
      <c r="D71" s="27"/>
      <c r="E71" s="15">
        <v>1885.15</v>
      </c>
      <c r="F71" s="17">
        <f t="shared" si="3"/>
        <v>0</v>
      </c>
      <c r="H71" t="str">
        <f t="shared" si="4"/>
        <v>-</v>
      </c>
    </row>
    <row r="72" spans="1:8" ht="31.5" x14ac:dyDescent="0.25">
      <c r="A72" s="12">
        <v>14</v>
      </c>
      <c r="B72" s="13" t="s">
        <v>132</v>
      </c>
      <c r="C72" s="13" t="s">
        <v>96</v>
      </c>
      <c r="D72" s="13"/>
      <c r="E72" s="15">
        <v>1507.94</v>
      </c>
      <c r="F72" s="18">
        <f t="shared" si="3"/>
        <v>0</v>
      </c>
      <c r="H72" t="str">
        <f t="shared" si="4"/>
        <v>-</v>
      </c>
    </row>
    <row r="73" spans="1:8" ht="31.5" x14ac:dyDescent="0.25">
      <c r="A73" s="122">
        <v>15</v>
      </c>
      <c r="B73" s="13" t="s">
        <v>133</v>
      </c>
      <c r="C73" s="13" t="s">
        <v>96</v>
      </c>
      <c r="D73" s="50"/>
      <c r="E73" s="15">
        <v>1227.04</v>
      </c>
      <c r="F73" s="22">
        <f t="shared" si="3"/>
        <v>0</v>
      </c>
      <c r="H73" t="str">
        <f t="shared" si="4"/>
        <v>-</v>
      </c>
    </row>
    <row r="74" spans="1:8" ht="31.5" x14ac:dyDescent="0.25">
      <c r="A74" s="12">
        <v>16</v>
      </c>
      <c r="B74" s="13" t="s">
        <v>132</v>
      </c>
      <c r="C74" s="13" t="s">
        <v>96</v>
      </c>
      <c r="D74" s="352"/>
      <c r="E74" s="15">
        <v>840.73</v>
      </c>
      <c r="F74" s="18">
        <f t="shared" si="3"/>
        <v>0</v>
      </c>
      <c r="H74" t="str">
        <f t="shared" si="4"/>
        <v>-</v>
      </c>
    </row>
    <row r="75" spans="1:8" ht="16.5" thickBot="1" x14ac:dyDescent="0.3">
      <c r="A75" s="52">
        <v>17</v>
      </c>
      <c r="B75" s="27" t="s">
        <v>134</v>
      </c>
      <c r="C75" s="27" t="s">
        <v>98</v>
      </c>
      <c r="D75" s="50"/>
      <c r="E75" s="15">
        <v>400.22</v>
      </c>
      <c r="F75" s="53">
        <f t="shared" si="3"/>
        <v>0</v>
      </c>
      <c r="H75" t="str">
        <f t="shared" si="4"/>
        <v>-</v>
      </c>
    </row>
    <row r="76" spans="1:8" ht="15.75" x14ac:dyDescent="0.25">
      <c r="A76" s="7"/>
      <c r="B76" s="54" t="s">
        <v>135</v>
      </c>
      <c r="C76" s="54"/>
      <c r="D76" s="54"/>
      <c r="E76" s="54"/>
      <c r="F76" s="55">
        <f>SUM(F59:F75)</f>
        <v>17144.268680000008</v>
      </c>
      <c r="H76">
        <f t="shared" si="4"/>
        <v>1</v>
      </c>
    </row>
    <row r="77" spans="1:8" ht="15.75" x14ac:dyDescent="0.25">
      <c r="A77" s="7"/>
      <c r="B77" s="56"/>
      <c r="C77" s="56"/>
      <c r="D77" s="56"/>
      <c r="E77" s="56"/>
      <c r="F77" s="56"/>
      <c r="H77" t="str">
        <f t="shared" si="4"/>
        <v>-</v>
      </c>
    </row>
    <row r="78" spans="1:8" ht="18" x14ac:dyDescent="0.25">
      <c r="A78" s="57"/>
      <c r="B78" s="399" t="s">
        <v>136</v>
      </c>
      <c r="C78" s="399"/>
      <c r="D78" s="399"/>
      <c r="E78" s="58"/>
      <c r="F78" s="58">
        <f>(F76+F55)*2.75</f>
        <v>249393.01112000004</v>
      </c>
      <c r="H78">
        <f>IF(F78=0,"-",1)</f>
        <v>1</v>
      </c>
    </row>
    <row r="79" spans="1:8" ht="15.75" x14ac:dyDescent="0.25">
      <c r="A79" s="59" t="s">
        <v>137</v>
      </c>
      <c r="B79" s="60"/>
      <c r="C79" s="60"/>
      <c r="D79" s="61"/>
      <c r="E79" s="61"/>
      <c r="F79" s="62"/>
      <c r="H79" s="132" t="str">
        <f>IF(SUM(F80:F87)=0,"-",1)</f>
        <v>-</v>
      </c>
    </row>
    <row r="80" spans="1:8" ht="15.75" x14ac:dyDescent="0.25">
      <c r="A80" s="59" t="s">
        <v>138</v>
      </c>
      <c r="B80" s="60"/>
      <c r="C80" s="60"/>
      <c r="D80" s="61"/>
      <c r="E80" s="61"/>
      <c r="F80" s="62"/>
      <c r="H80" s="132" t="str">
        <f>IF(SUM(F81:F88)=0,"-",1)</f>
        <v>-</v>
      </c>
    </row>
    <row r="81" spans="1:8" ht="16.5" thickBot="1" x14ac:dyDescent="0.3">
      <c r="A81" s="59" t="s">
        <v>139</v>
      </c>
      <c r="B81" s="63"/>
      <c r="C81" s="63"/>
      <c r="D81" s="64"/>
      <c r="E81" s="64">
        <v>0</v>
      </c>
      <c r="F81" s="65"/>
      <c r="H81" s="132" t="str">
        <f>IF(SUM(F82:F89)=0,"-",1)</f>
        <v>-</v>
      </c>
    </row>
    <row r="82" spans="1:8" ht="16.5" thickBot="1" x14ac:dyDescent="0.3">
      <c r="A82" s="66" t="s">
        <v>140</v>
      </c>
      <c r="B82" s="67" t="s">
        <v>141</v>
      </c>
      <c r="C82" s="68" t="s">
        <v>142</v>
      </c>
      <c r="D82" s="69" t="s">
        <v>83</v>
      </c>
      <c r="E82" s="69" t="s">
        <v>118</v>
      </c>
      <c r="F82" s="70" t="s">
        <v>85</v>
      </c>
      <c r="H82" s="132" t="str">
        <f>IF(SUM(F83:F90)=0,"-",1)</f>
        <v>-</v>
      </c>
    </row>
    <row r="83" spans="1:8" ht="15.75" x14ac:dyDescent="0.25">
      <c r="A83" s="71">
        <v>1</v>
      </c>
      <c r="B83" s="71">
        <v>250</v>
      </c>
      <c r="C83" s="71" t="s">
        <v>143</v>
      </c>
      <c r="D83" s="72"/>
      <c r="E83" s="48">
        <v>1620</v>
      </c>
      <c r="F83" s="73">
        <f t="shared" ref="F83:F92" si="5">E83*D83</f>
        <v>0</v>
      </c>
      <c r="H83" t="str">
        <f t="shared" ref="H83:H136" si="6">IF(F83=0,"-",1)</f>
        <v>-</v>
      </c>
    </row>
    <row r="84" spans="1:8" ht="15.75" x14ac:dyDescent="0.25">
      <c r="A84" s="74">
        <v>2</v>
      </c>
      <c r="B84" s="75">
        <v>500</v>
      </c>
      <c r="C84" s="75" t="s">
        <v>143</v>
      </c>
      <c r="D84" s="76"/>
      <c r="E84" s="15">
        <v>2775</v>
      </c>
      <c r="F84" s="77">
        <f t="shared" si="5"/>
        <v>0</v>
      </c>
      <c r="H84" t="str">
        <f t="shared" si="6"/>
        <v>-</v>
      </c>
    </row>
    <row r="85" spans="1:8" ht="15.75" x14ac:dyDescent="0.25">
      <c r="A85" s="75">
        <v>3</v>
      </c>
      <c r="B85" s="75">
        <v>1000</v>
      </c>
      <c r="C85" s="78" t="s">
        <v>143</v>
      </c>
      <c r="D85" s="76"/>
      <c r="E85" s="15">
        <v>5025</v>
      </c>
      <c r="F85" s="77">
        <f t="shared" si="5"/>
        <v>0</v>
      </c>
      <c r="H85" t="str">
        <f t="shared" si="6"/>
        <v>-</v>
      </c>
    </row>
    <row r="86" spans="1:8" ht="15.75" x14ac:dyDescent="0.25">
      <c r="A86" s="79">
        <v>4</v>
      </c>
      <c r="B86" s="75">
        <v>1500</v>
      </c>
      <c r="C86" s="78" t="s">
        <v>143</v>
      </c>
      <c r="D86" s="76"/>
      <c r="E86" s="15">
        <v>5700</v>
      </c>
      <c r="F86" s="77">
        <f t="shared" si="5"/>
        <v>0</v>
      </c>
      <c r="H86" t="str">
        <f t="shared" si="6"/>
        <v>-</v>
      </c>
    </row>
    <row r="87" spans="1:8" ht="15.75" x14ac:dyDescent="0.25">
      <c r="A87" s="80">
        <v>5</v>
      </c>
      <c r="B87" s="74">
        <v>2000</v>
      </c>
      <c r="C87" s="78" t="s">
        <v>143</v>
      </c>
      <c r="D87" s="76"/>
      <c r="E87" s="15">
        <v>7950</v>
      </c>
      <c r="F87" s="81">
        <f t="shared" si="5"/>
        <v>0</v>
      </c>
      <c r="H87" t="str">
        <f t="shared" si="6"/>
        <v>-</v>
      </c>
    </row>
    <row r="88" spans="1:8" ht="15.75" x14ac:dyDescent="0.25">
      <c r="A88" s="75">
        <v>7</v>
      </c>
      <c r="B88" s="83">
        <v>3000</v>
      </c>
      <c r="C88" s="83" t="s">
        <v>143</v>
      </c>
      <c r="D88" s="76"/>
      <c r="E88" s="15">
        <v>12300</v>
      </c>
      <c r="F88" s="77">
        <f t="shared" si="5"/>
        <v>0</v>
      </c>
      <c r="H88" t="str">
        <f t="shared" si="6"/>
        <v>-</v>
      </c>
    </row>
    <row r="89" spans="1:8" ht="15.75" x14ac:dyDescent="0.25">
      <c r="A89" s="79">
        <v>8</v>
      </c>
      <c r="B89" s="83">
        <v>4000</v>
      </c>
      <c r="C89" s="83" t="s">
        <v>143</v>
      </c>
      <c r="D89" s="76"/>
      <c r="E89" s="15">
        <v>16950</v>
      </c>
      <c r="F89" s="81">
        <f t="shared" si="5"/>
        <v>0</v>
      </c>
      <c r="H89" t="str">
        <f t="shared" si="6"/>
        <v>-</v>
      </c>
    </row>
    <row r="90" spans="1:8" ht="15.75" x14ac:dyDescent="0.25">
      <c r="A90" s="83">
        <v>9</v>
      </c>
      <c r="B90" s="83">
        <v>5000</v>
      </c>
      <c r="C90" s="83" t="s">
        <v>143</v>
      </c>
      <c r="D90" s="76"/>
      <c r="E90" s="15">
        <v>20700</v>
      </c>
      <c r="F90" s="77">
        <f t="shared" si="5"/>
        <v>0</v>
      </c>
      <c r="H90" t="str">
        <f t="shared" si="6"/>
        <v>-</v>
      </c>
    </row>
    <row r="91" spans="1:8" ht="15.75" x14ac:dyDescent="0.25">
      <c r="A91" s="84">
        <v>10</v>
      </c>
      <c r="B91" s="83">
        <v>7500</v>
      </c>
      <c r="C91" s="83" t="s">
        <v>143</v>
      </c>
      <c r="D91" s="76"/>
      <c r="E91" s="15">
        <v>26883</v>
      </c>
      <c r="F91" s="81">
        <f t="shared" si="5"/>
        <v>0</v>
      </c>
      <c r="H91" t="str">
        <f t="shared" si="6"/>
        <v>-</v>
      </c>
    </row>
    <row r="92" spans="1:8" ht="15.75" x14ac:dyDescent="0.25">
      <c r="A92" s="85">
        <v>11</v>
      </c>
      <c r="B92" s="85">
        <v>10000</v>
      </c>
      <c r="C92" s="85" t="s">
        <v>143</v>
      </c>
      <c r="D92" s="76"/>
      <c r="E92" s="15">
        <v>40365</v>
      </c>
      <c r="F92" s="86">
        <f t="shared" si="5"/>
        <v>0</v>
      </c>
      <c r="H92" t="str">
        <f t="shared" si="6"/>
        <v>-</v>
      </c>
    </row>
    <row r="93" spans="1:8" ht="15.75" x14ac:dyDescent="0.25">
      <c r="A93" s="398" t="s">
        <v>144</v>
      </c>
      <c r="B93" s="398"/>
      <c r="C93" s="87"/>
      <c r="D93" s="88"/>
      <c r="E93" s="88">
        <v>0</v>
      </c>
      <c r="F93" s="88"/>
      <c r="H93" s="132">
        <f>IF(SUM(F94:F101)=0,"-",1)</f>
        <v>1</v>
      </c>
    </row>
    <row r="94" spans="1:8" ht="15.75" x14ac:dyDescent="0.25">
      <c r="A94" s="89">
        <v>1</v>
      </c>
      <c r="B94" s="89">
        <v>250</v>
      </c>
      <c r="C94" s="89" t="s">
        <v>143</v>
      </c>
      <c r="D94" s="90"/>
      <c r="E94" s="15">
        <v>3046</v>
      </c>
      <c r="F94" s="91">
        <f t="shared" ref="F94:F144" si="7">E94*D94</f>
        <v>0</v>
      </c>
      <c r="H94" t="str">
        <f t="shared" si="6"/>
        <v>-</v>
      </c>
    </row>
    <row r="95" spans="1:8" ht="15.75" x14ac:dyDescent="0.25">
      <c r="A95" s="83">
        <v>2</v>
      </c>
      <c r="B95" s="83">
        <v>500</v>
      </c>
      <c r="C95" s="83" t="s">
        <v>143</v>
      </c>
      <c r="D95" s="90"/>
      <c r="E95" s="15">
        <v>4586</v>
      </c>
      <c r="F95" s="73">
        <f t="shared" si="7"/>
        <v>0</v>
      </c>
      <c r="H95" t="str">
        <f t="shared" si="6"/>
        <v>-</v>
      </c>
    </row>
    <row r="96" spans="1:8" ht="15.75" x14ac:dyDescent="0.25">
      <c r="A96" s="84">
        <v>3</v>
      </c>
      <c r="B96" s="101">
        <v>1000</v>
      </c>
      <c r="C96" s="102" t="s">
        <v>143</v>
      </c>
      <c r="D96" s="90"/>
      <c r="E96" s="15">
        <v>5410</v>
      </c>
      <c r="F96" s="73">
        <f t="shared" si="7"/>
        <v>0</v>
      </c>
      <c r="H96" t="str">
        <f t="shared" si="6"/>
        <v>-</v>
      </c>
    </row>
    <row r="97" spans="1:8" ht="15.75" x14ac:dyDescent="0.25">
      <c r="A97" s="83">
        <v>4</v>
      </c>
      <c r="B97" s="98">
        <v>1500</v>
      </c>
      <c r="C97" s="103" t="s">
        <v>143</v>
      </c>
      <c r="D97" s="90"/>
      <c r="E97" s="15">
        <v>7494</v>
      </c>
      <c r="F97" s="96">
        <f t="shared" si="7"/>
        <v>0</v>
      </c>
      <c r="H97" t="str">
        <f t="shared" si="6"/>
        <v>-</v>
      </c>
    </row>
    <row r="98" spans="1:8" ht="15.75" x14ac:dyDescent="0.25">
      <c r="A98" s="83">
        <v>5</v>
      </c>
      <c r="B98" s="104">
        <v>2000</v>
      </c>
      <c r="C98" s="103" t="s">
        <v>143</v>
      </c>
      <c r="D98" s="90"/>
      <c r="E98" s="15">
        <v>9340</v>
      </c>
      <c r="F98" s="77">
        <f t="shared" si="7"/>
        <v>0</v>
      </c>
      <c r="H98" t="str">
        <f t="shared" si="6"/>
        <v>-</v>
      </c>
    </row>
    <row r="99" spans="1:8" ht="15.75" x14ac:dyDescent="0.25">
      <c r="A99" s="83">
        <v>6</v>
      </c>
      <c r="B99" s="83">
        <v>3000</v>
      </c>
      <c r="C99" s="83" t="s">
        <v>143</v>
      </c>
      <c r="D99" s="90">
        <v>1</v>
      </c>
      <c r="E99" s="15">
        <v>14496</v>
      </c>
      <c r="F99" s="73">
        <f t="shared" si="7"/>
        <v>14496</v>
      </c>
      <c r="H99">
        <f t="shared" si="6"/>
        <v>1</v>
      </c>
    </row>
    <row r="100" spans="1:8" ht="15.75" x14ac:dyDescent="0.25">
      <c r="A100" s="98">
        <v>7</v>
      </c>
      <c r="B100" s="83">
        <v>4000</v>
      </c>
      <c r="C100" s="98" t="s">
        <v>143</v>
      </c>
      <c r="D100" s="90"/>
      <c r="E100" s="15">
        <v>16564</v>
      </c>
      <c r="F100" s="73">
        <f t="shared" si="7"/>
        <v>0</v>
      </c>
      <c r="H100" t="str">
        <f t="shared" si="6"/>
        <v>-</v>
      </c>
    </row>
    <row r="101" spans="1:8" ht="15.75" x14ac:dyDescent="0.25">
      <c r="A101" s="104">
        <v>8</v>
      </c>
      <c r="B101" s="83">
        <v>5000</v>
      </c>
      <c r="C101" s="83" t="s">
        <v>143</v>
      </c>
      <c r="D101" s="90"/>
      <c r="E101" s="15">
        <v>21268</v>
      </c>
      <c r="F101" s="77">
        <f t="shared" si="7"/>
        <v>0</v>
      </c>
      <c r="H101" t="str">
        <f t="shared" si="6"/>
        <v>-</v>
      </c>
    </row>
    <row r="102" spans="1:8" ht="15.75" x14ac:dyDescent="0.25">
      <c r="A102" s="104">
        <v>9</v>
      </c>
      <c r="B102" s="83">
        <v>7500</v>
      </c>
      <c r="C102" s="83" t="s">
        <v>143</v>
      </c>
      <c r="D102" s="90"/>
      <c r="E102" s="15">
        <v>22403</v>
      </c>
      <c r="F102" s="77">
        <f t="shared" si="7"/>
        <v>0</v>
      </c>
      <c r="H102" t="str">
        <f t="shared" si="6"/>
        <v>-</v>
      </c>
    </row>
    <row r="103" spans="1:8" ht="15.75" x14ac:dyDescent="0.25">
      <c r="A103" s="92">
        <v>10</v>
      </c>
      <c r="B103" s="85">
        <v>10000</v>
      </c>
      <c r="C103" s="85" t="s">
        <v>143</v>
      </c>
      <c r="D103" s="90"/>
      <c r="E103" s="15">
        <v>39091</v>
      </c>
      <c r="F103" s="86">
        <f t="shared" si="7"/>
        <v>0</v>
      </c>
      <c r="H103" t="str">
        <f t="shared" si="6"/>
        <v>-</v>
      </c>
    </row>
    <row r="104" spans="1:8" ht="15.75" x14ac:dyDescent="0.25">
      <c r="A104" s="398" t="s">
        <v>179</v>
      </c>
      <c r="B104" s="398"/>
      <c r="C104" s="87"/>
      <c r="D104" s="88"/>
      <c r="E104" s="88"/>
      <c r="F104" s="105"/>
      <c r="H104" s="132" t="str">
        <f>IF(SUM(F105:F112)=0,"-",1)</f>
        <v>-</v>
      </c>
    </row>
    <row r="105" spans="1:8" ht="15.75" x14ac:dyDescent="0.25">
      <c r="A105" s="106">
        <v>1</v>
      </c>
      <c r="B105" s="89">
        <v>250</v>
      </c>
      <c r="C105" s="89" t="s">
        <v>143</v>
      </c>
      <c r="D105" s="107"/>
      <c r="E105" s="15">
        <v>1863</v>
      </c>
      <c r="F105" s="97">
        <f t="shared" si="7"/>
        <v>0</v>
      </c>
      <c r="H105" t="str">
        <f t="shared" si="6"/>
        <v>-</v>
      </c>
    </row>
    <row r="106" spans="1:8" ht="15.75" x14ac:dyDescent="0.25">
      <c r="A106" s="104">
        <v>2</v>
      </c>
      <c r="B106" s="83">
        <v>500</v>
      </c>
      <c r="C106" s="82" t="s">
        <v>143</v>
      </c>
      <c r="D106" s="90"/>
      <c r="E106" s="15">
        <v>3191</v>
      </c>
      <c r="F106" s="99">
        <f t="shared" si="7"/>
        <v>0</v>
      </c>
      <c r="H106" t="str">
        <f t="shared" si="6"/>
        <v>-</v>
      </c>
    </row>
    <row r="107" spans="1:8" ht="15.75" x14ac:dyDescent="0.25">
      <c r="A107" s="104">
        <v>3</v>
      </c>
      <c r="B107" s="101">
        <v>1000</v>
      </c>
      <c r="C107" s="82" t="s">
        <v>143</v>
      </c>
      <c r="D107" s="90"/>
      <c r="E107" s="15">
        <v>5800</v>
      </c>
      <c r="F107" s="99">
        <f t="shared" si="7"/>
        <v>0</v>
      </c>
      <c r="H107" t="str">
        <f t="shared" si="6"/>
        <v>-</v>
      </c>
    </row>
    <row r="108" spans="1:8" ht="15.75" x14ac:dyDescent="0.25">
      <c r="A108" s="104">
        <v>4</v>
      </c>
      <c r="B108" s="98">
        <v>1500</v>
      </c>
      <c r="C108" s="82" t="s">
        <v>143</v>
      </c>
      <c r="D108" s="90"/>
      <c r="E108" s="15">
        <v>6555</v>
      </c>
      <c r="F108" s="99">
        <f t="shared" si="7"/>
        <v>0</v>
      </c>
      <c r="H108" t="str">
        <f t="shared" si="6"/>
        <v>-</v>
      </c>
    </row>
    <row r="109" spans="1:8" ht="15.75" x14ac:dyDescent="0.25">
      <c r="A109" s="104">
        <v>5</v>
      </c>
      <c r="B109" s="104">
        <v>2000</v>
      </c>
      <c r="C109" s="82" t="s">
        <v>143</v>
      </c>
      <c r="D109" s="90"/>
      <c r="E109" s="15">
        <v>9143</v>
      </c>
      <c r="F109" s="99">
        <f t="shared" si="7"/>
        <v>0</v>
      </c>
      <c r="H109" t="str">
        <f t="shared" si="6"/>
        <v>-</v>
      </c>
    </row>
    <row r="110" spans="1:8" ht="15.75" x14ac:dyDescent="0.25">
      <c r="A110" s="104">
        <v>6</v>
      </c>
      <c r="B110" s="83">
        <v>3000</v>
      </c>
      <c r="C110" s="82" t="s">
        <v>143</v>
      </c>
      <c r="D110" s="90"/>
      <c r="E110" s="15">
        <v>14145</v>
      </c>
      <c r="F110" s="99">
        <f t="shared" si="7"/>
        <v>0</v>
      </c>
      <c r="H110" t="str">
        <f t="shared" si="6"/>
        <v>-</v>
      </c>
    </row>
    <row r="111" spans="1:8" ht="15.75" x14ac:dyDescent="0.25">
      <c r="A111" s="104">
        <v>7</v>
      </c>
      <c r="B111" s="83">
        <v>4000</v>
      </c>
      <c r="C111" s="82" t="s">
        <v>143</v>
      </c>
      <c r="D111" s="90"/>
      <c r="E111" s="15">
        <v>19493</v>
      </c>
      <c r="F111" s="99">
        <f t="shared" si="7"/>
        <v>0</v>
      </c>
      <c r="H111" t="str">
        <f t="shared" si="6"/>
        <v>-</v>
      </c>
    </row>
    <row r="112" spans="1:8" ht="15.75" x14ac:dyDescent="0.25">
      <c r="A112" s="104">
        <v>8</v>
      </c>
      <c r="B112" s="83">
        <v>5000</v>
      </c>
      <c r="C112" s="82" t="s">
        <v>143</v>
      </c>
      <c r="D112" s="90"/>
      <c r="E112" s="15">
        <v>23805</v>
      </c>
      <c r="F112" s="99">
        <f t="shared" si="7"/>
        <v>0</v>
      </c>
      <c r="H112" t="str">
        <f t="shared" si="6"/>
        <v>-</v>
      </c>
    </row>
    <row r="113" spans="1:8" ht="15.75" x14ac:dyDescent="0.25">
      <c r="A113" s="104">
        <v>9</v>
      </c>
      <c r="B113" s="83">
        <v>7500</v>
      </c>
      <c r="C113" s="82" t="s">
        <v>143</v>
      </c>
      <c r="D113" s="90"/>
      <c r="E113" s="15">
        <v>30915</v>
      </c>
      <c r="F113" s="99">
        <f t="shared" si="7"/>
        <v>0</v>
      </c>
      <c r="H113" t="str">
        <f t="shared" si="6"/>
        <v>-</v>
      </c>
    </row>
    <row r="114" spans="1:8" ht="15.75" x14ac:dyDescent="0.25">
      <c r="A114" s="92">
        <v>10</v>
      </c>
      <c r="B114" s="85">
        <v>10000</v>
      </c>
      <c r="C114" s="85" t="s">
        <v>143</v>
      </c>
      <c r="D114" s="90"/>
      <c r="E114" s="15">
        <v>46420</v>
      </c>
      <c r="F114" s="94">
        <f t="shared" si="7"/>
        <v>0</v>
      </c>
      <c r="H114" t="str">
        <f t="shared" si="6"/>
        <v>-</v>
      </c>
    </row>
    <row r="115" spans="1:8" ht="15.75" x14ac:dyDescent="0.25">
      <c r="A115" s="398" t="s">
        <v>145</v>
      </c>
      <c r="B115" s="398"/>
      <c r="C115" s="87"/>
      <c r="D115" s="108"/>
      <c r="E115" s="108">
        <v>0</v>
      </c>
      <c r="F115" s="105"/>
      <c r="H115" s="132" t="str">
        <f>IF(SUM(F116:F123)=0,"-",1)</f>
        <v>-</v>
      </c>
    </row>
    <row r="116" spans="1:8" ht="15.75" x14ac:dyDescent="0.25">
      <c r="A116" s="106">
        <v>1</v>
      </c>
      <c r="B116" s="89">
        <v>250</v>
      </c>
      <c r="C116" s="89" t="s">
        <v>143</v>
      </c>
      <c r="D116" s="107"/>
      <c r="E116" s="15">
        <v>3848</v>
      </c>
      <c r="F116" s="97">
        <f t="shared" si="7"/>
        <v>0</v>
      </c>
      <c r="H116" t="str">
        <f t="shared" si="6"/>
        <v>-</v>
      </c>
    </row>
    <row r="117" spans="1:8" ht="15.75" x14ac:dyDescent="0.25">
      <c r="A117" s="104">
        <v>2</v>
      </c>
      <c r="B117" s="83">
        <v>500</v>
      </c>
      <c r="C117" s="82" t="s">
        <v>143</v>
      </c>
      <c r="D117" s="90"/>
      <c r="E117" s="15">
        <v>6591</v>
      </c>
      <c r="F117" s="99">
        <f t="shared" si="7"/>
        <v>0</v>
      </c>
      <c r="H117" t="str">
        <f t="shared" si="6"/>
        <v>-</v>
      </c>
    </row>
    <row r="118" spans="1:8" ht="15.75" x14ac:dyDescent="0.25">
      <c r="A118" s="104">
        <v>3</v>
      </c>
      <c r="B118" s="101">
        <v>1000</v>
      </c>
      <c r="C118" s="82" t="s">
        <v>143</v>
      </c>
      <c r="D118" s="90"/>
      <c r="E118" s="15">
        <v>12000</v>
      </c>
      <c r="F118" s="99">
        <f t="shared" si="7"/>
        <v>0</v>
      </c>
      <c r="H118" t="str">
        <f t="shared" si="6"/>
        <v>-</v>
      </c>
    </row>
    <row r="119" spans="1:8" ht="15.75" x14ac:dyDescent="0.25">
      <c r="A119" s="104">
        <v>4</v>
      </c>
      <c r="B119" s="98">
        <v>1500</v>
      </c>
      <c r="C119" s="82" t="s">
        <v>143</v>
      </c>
      <c r="D119" s="90"/>
      <c r="E119" s="15">
        <v>13538</v>
      </c>
      <c r="F119" s="99">
        <f t="shared" si="7"/>
        <v>0</v>
      </c>
      <c r="H119" t="str">
        <f t="shared" si="6"/>
        <v>-</v>
      </c>
    </row>
    <row r="120" spans="1:8" ht="15.75" x14ac:dyDescent="0.25">
      <c r="A120" s="104">
        <v>5</v>
      </c>
      <c r="B120" s="104">
        <v>2000</v>
      </c>
      <c r="C120" s="82" t="s">
        <v>143</v>
      </c>
      <c r="D120" s="90"/>
      <c r="E120" s="15">
        <v>18881</v>
      </c>
      <c r="F120" s="99">
        <f t="shared" si="7"/>
        <v>0</v>
      </c>
      <c r="H120" t="str">
        <f t="shared" si="6"/>
        <v>-</v>
      </c>
    </row>
    <row r="121" spans="1:8" ht="15.75" x14ac:dyDescent="0.25">
      <c r="A121" s="104">
        <v>6</v>
      </c>
      <c r="B121" s="83">
        <v>3000</v>
      </c>
      <c r="C121" s="82" t="s">
        <v>143</v>
      </c>
      <c r="D121" s="90"/>
      <c r="E121" s="15">
        <v>29213</v>
      </c>
      <c r="F121" s="99">
        <f t="shared" si="7"/>
        <v>0</v>
      </c>
      <c r="H121" t="str">
        <f t="shared" si="6"/>
        <v>-</v>
      </c>
    </row>
    <row r="122" spans="1:8" ht="15.75" x14ac:dyDescent="0.25">
      <c r="A122" s="104">
        <v>7</v>
      </c>
      <c r="B122" s="83">
        <v>4000</v>
      </c>
      <c r="C122" s="82" t="s">
        <v>143</v>
      </c>
      <c r="D122" s="90"/>
      <c r="E122" s="15">
        <v>40256</v>
      </c>
      <c r="F122" s="99">
        <f t="shared" si="7"/>
        <v>0</v>
      </c>
      <c r="H122" t="str">
        <f t="shared" si="6"/>
        <v>-</v>
      </c>
    </row>
    <row r="123" spans="1:8" ht="15.75" x14ac:dyDescent="0.25">
      <c r="A123" s="104">
        <v>8</v>
      </c>
      <c r="B123" s="83">
        <v>5000</v>
      </c>
      <c r="C123" s="82" t="s">
        <v>143</v>
      </c>
      <c r="D123" s="90"/>
      <c r="E123" s="15">
        <v>49163</v>
      </c>
      <c r="F123" s="99">
        <f t="shared" si="7"/>
        <v>0</v>
      </c>
      <c r="H123" t="str">
        <f t="shared" si="6"/>
        <v>-</v>
      </c>
    </row>
    <row r="124" spans="1:8" ht="15.75" x14ac:dyDescent="0.25">
      <c r="A124" s="104">
        <v>9</v>
      </c>
      <c r="B124" s="83">
        <v>7500</v>
      </c>
      <c r="C124" s="82" t="s">
        <v>143</v>
      </c>
      <c r="D124" s="90"/>
      <c r="E124" s="15">
        <v>63847</v>
      </c>
      <c r="F124" s="99">
        <f t="shared" si="7"/>
        <v>0</v>
      </c>
      <c r="H124" t="str">
        <f t="shared" si="6"/>
        <v>-</v>
      </c>
    </row>
    <row r="125" spans="1:8" ht="15.75" x14ac:dyDescent="0.25">
      <c r="A125" s="92">
        <v>10</v>
      </c>
      <c r="B125" s="85">
        <v>10000</v>
      </c>
      <c r="C125" s="85" t="s">
        <v>143</v>
      </c>
      <c r="D125" s="90"/>
      <c r="E125" s="15">
        <v>95867</v>
      </c>
      <c r="F125" s="99">
        <f t="shared" si="7"/>
        <v>0</v>
      </c>
      <c r="H125" t="str">
        <f t="shared" si="6"/>
        <v>-</v>
      </c>
    </row>
    <row r="126" spans="1:8" ht="15.75" x14ac:dyDescent="0.25">
      <c r="A126" s="398" t="s">
        <v>180</v>
      </c>
      <c r="B126" s="398"/>
      <c r="C126" s="87"/>
      <c r="D126" s="107"/>
      <c r="E126" s="95"/>
      <c r="F126" s="118"/>
      <c r="H126" s="132" t="str">
        <f>IF(SUM(F127:F134)=0,"-",1)</f>
        <v>-</v>
      </c>
    </row>
    <row r="127" spans="1:8" ht="15.75" x14ac:dyDescent="0.25">
      <c r="A127" s="106">
        <v>1</v>
      </c>
      <c r="B127" s="89">
        <v>250</v>
      </c>
      <c r="C127" s="89" t="s">
        <v>143</v>
      </c>
      <c r="D127" s="107"/>
      <c r="E127" s="15">
        <v>2025</v>
      </c>
      <c r="F127" s="99">
        <f t="shared" si="7"/>
        <v>0</v>
      </c>
      <c r="H127" t="str">
        <f t="shared" si="6"/>
        <v>-</v>
      </c>
    </row>
    <row r="128" spans="1:8" ht="15.75" x14ac:dyDescent="0.25">
      <c r="A128" s="104">
        <v>2</v>
      </c>
      <c r="B128" s="83">
        <v>500</v>
      </c>
      <c r="C128" s="82" t="s">
        <v>143</v>
      </c>
      <c r="D128" s="90"/>
      <c r="E128" s="15">
        <v>3459</v>
      </c>
      <c r="F128" s="99">
        <f t="shared" si="7"/>
        <v>0</v>
      </c>
      <c r="H128" t="str">
        <f t="shared" si="6"/>
        <v>-</v>
      </c>
    </row>
    <row r="129" spans="1:8" ht="15.75" x14ac:dyDescent="0.25">
      <c r="A129" s="104">
        <v>3</v>
      </c>
      <c r="B129" s="101">
        <v>1000</v>
      </c>
      <c r="C129" s="82" t="s">
        <v>143</v>
      </c>
      <c r="D129" s="90"/>
      <c r="E129" s="15">
        <v>6300</v>
      </c>
      <c r="F129" s="99">
        <f t="shared" si="7"/>
        <v>0</v>
      </c>
      <c r="H129" t="str">
        <f t="shared" si="6"/>
        <v>-</v>
      </c>
    </row>
    <row r="130" spans="1:8" ht="15.75" x14ac:dyDescent="0.25">
      <c r="A130" s="104">
        <v>4</v>
      </c>
      <c r="B130" s="98">
        <v>1500</v>
      </c>
      <c r="C130" s="82" t="s">
        <v>143</v>
      </c>
      <c r="D130" s="90"/>
      <c r="E130" s="15">
        <v>7125</v>
      </c>
      <c r="F130" s="99">
        <f t="shared" si="7"/>
        <v>0</v>
      </c>
      <c r="H130" t="str">
        <f t="shared" si="6"/>
        <v>-</v>
      </c>
    </row>
    <row r="131" spans="1:8" ht="15.75" x14ac:dyDescent="0.25">
      <c r="A131" s="104">
        <v>5</v>
      </c>
      <c r="B131" s="104">
        <v>2000</v>
      </c>
      <c r="C131" s="82" t="s">
        <v>143</v>
      </c>
      <c r="D131" s="90"/>
      <c r="E131" s="15">
        <v>9938</v>
      </c>
      <c r="F131" s="99">
        <f t="shared" si="7"/>
        <v>0</v>
      </c>
      <c r="H131" t="str">
        <f t="shared" si="6"/>
        <v>-</v>
      </c>
    </row>
    <row r="132" spans="1:8" ht="15.75" x14ac:dyDescent="0.25">
      <c r="A132" s="104">
        <v>6</v>
      </c>
      <c r="B132" s="83">
        <v>3000</v>
      </c>
      <c r="C132" s="82" t="s">
        <v>143</v>
      </c>
      <c r="D132" s="90"/>
      <c r="E132" s="15">
        <v>15375</v>
      </c>
      <c r="F132" s="99">
        <f t="shared" si="7"/>
        <v>0</v>
      </c>
      <c r="H132" t="str">
        <f t="shared" si="6"/>
        <v>-</v>
      </c>
    </row>
    <row r="133" spans="1:8" ht="15.75" x14ac:dyDescent="0.25">
      <c r="A133" s="104">
        <v>7</v>
      </c>
      <c r="B133" s="83">
        <v>4000</v>
      </c>
      <c r="C133" s="82" t="s">
        <v>143</v>
      </c>
      <c r="D133" s="90"/>
      <c r="E133" s="15">
        <v>21188</v>
      </c>
      <c r="F133" s="99">
        <f t="shared" si="7"/>
        <v>0</v>
      </c>
      <c r="H133" t="str">
        <f t="shared" si="6"/>
        <v>-</v>
      </c>
    </row>
    <row r="134" spans="1:8" ht="15.75" x14ac:dyDescent="0.25">
      <c r="A134" s="104">
        <v>8</v>
      </c>
      <c r="B134" s="83">
        <v>5000</v>
      </c>
      <c r="C134" s="82" t="s">
        <v>143</v>
      </c>
      <c r="D134" s="90"/>
      <c r="E134" s="15">
        <v>25875</v>
      </c>
      <c r="F134" s="99">
        <f t="shared" si="7"/>
        <v>0</v>
      </c>
      <c r="H134" t="str">
        <f t="shared" si="6"/>
        <v>-</v>
      </c>
    </row>
    <row r="135" spans="1:8" ht="15.75" x14ac:dyDescent="0.25">
      <c r="A135" s="104">
        <v>9</v>
      </c>
      <c r="B135" s="83">
        <v>7500</v>
      </c>
      <c r="C135" s="82" t="s">
        <v>143</v>
      </c>
      <c r="D135" s="90"/>
      <c r="E135" s="15">
        <v>33604</v>
      </c>
      <c r="F135" s="99">
        <f t="shared" si="7"/>
        <v>0</v>
      </c>
      <c r="H135" t="str">
        <f t="shared" si="6"/>
        <v>-</v>
      </c>
    </row>
    <row r="136" spans="1:8" ht="15.75" x14ac:dyDescent="0.25">
      <c r="A136" s="92">
        <v>10</v>
      </c>
      <c r="B136" s="85">
        <v>10000</v>
      </c>
      <c r="C136" s="85" t="s">
        <v>143</v>
      </c>
      <c r="D136" s="90"/>
      <c r="E136" s="15">
        <v>50456</v>
      </c>
      <c r="F136" s="99">
        <f t="shared" si="7"/>
        <v>0</v>
      </c>
      <c r="H136" t="str">
        <f t="shared" si="6"/>
        <v>-</v>
      </c>
    </row>
    <row r="137" spans="1:8" ht="15.75" x14ac:dyDescent="0.25">
      <c r="A137" s="87"/>
      <c r="B137" s="87"/>
      <c r="C137" s="87"/>
      <c r="D137" s="107"/>
      <c r="E137" s="95"/>
      <c r="F137" s="118"/>
      <c r="H137" t="str">
        <f t="shared" ref="H137:H197" si="8">IF(D137=0,"-",1)</f>
        <v>-</v>
      </c>
    </row>
    <row r="138" spans="1:8" ht="15.75" x14ac:dyDescent="0.25">
      <c r="A138" s="398" t="s">
        <v>146</v>
      </c>
      <c r="B138" s="398"/>
      <c r="C138" s="87"/>
      <c r="D138" s="107"/>
      <c r="E138" s="107"/>
      <c r="F138" s="109"/>
      <c r="H138" s="132">
        <f>IF(SUM(F139:F146)=0,"-",1)</f>
        <v>1</v>
      </c>
    </row>
    <row r="139" spans="1:8" ht="31.5" x14ac:dyDescent="0.25">
      <c r="A139" s="100"/>
      <c r="B139" s="110" t="s">
        <v>147</v>
      </c>
      <c r="C139" s="111"/>
      <c r="D139" s="112"/>
      <c r="E139" s="112"/>
      <c r="F139" s="113"/>
      <c r="H139" s="132">
        <f>IF(SUM(F140:F147)=0,"-",1)</f>
        <v>1</v>
      </c>
    </row>
    <row r="140" spans="1:8" ht="15.75" x14ac:dyDescent="0.25">
      <c r="A140" s="114">
        <v>1</v>
      </c>
      <c r="B140" s="89" t="s">
        <v>148</v>
      </c>
      <c r="C140" s="106" t="s">
        <v>143</v>
      </c>
      <c r="D140" s="107"/>
      <c r="E140" s="15">
        <v>7415</v>
      </c>
      <c r="F140" s="73">
        <f t="shared" si="7"/>
        <v>0</v>
      </c>
      <c r="H140" t="str">
        <f t="shared" ref="H140:H145" si="9">IF(F140=0,"-",1)</f>
        <v>-</v>
      </c>
    </row>
    <row r="141" spans="1:8" ht="15.75" x14ac:dyDescent="0.25">
      <c r="A141" s="98">
        <v>2</v>
      </c>
      <c r="B141" s="98" t="s">
        <v>149</v>
      </c>
      <c r="C141" s="83" t="s">
        <v>143</v>
      </c>
      <c r="D141" s="107"/>
      <c r="E141" s="15">
        <v>11183</v>
      </c>
      <c r="F141" s="77">
        <f t="shared" si="7"/>
        <v>0</v>
      </c>
      <c r="H141" t="str">
        <f t="shared" si="9"/>
        <v>-</v>
      </c>
    </row>
    <row r="142" spans="1:8" ht="15.75" x14ac:dyDescent="0.25">
      <c r="A142" s="83">
        <v>3</v>
      </c>
      <c r="B142" s="83" t="s">
        <v>150</v>
      </c>
      <c r="C142" s="98" t="s">
        <v>143</v>
      </c>
      <c r="D142" s="107"/>
      <c r="E142" s="15">
        <v>13418</v>
      </c>
      <c r="F142" s="77">
        <f t="shared" si="7"/>
        <v>0</v>
      </c>
      <c r="H142" t="str">
        <f t="shared" si="9"/>
        <v>-</v>
      </c>
    </row>
    <row r="143" spans="1:8" ht="15.75" x14ac:dyDescent="0.25">
      <c r="A143" s="83">
        <v>4</v>
      </c>
      <c r="B143" s="83" t="s">
        <v>151</v>
      </c>
      <c r="C143" s="83" t="s">
        <v>143</v>
      </c>
      <c r="D143" s="107"/>
      <c r="E143" s="15">
        <v>14881</v>
      </c>
      <c r="F143" s="77">
        <f t="shared" si="7"/>
        <v>0</v>
      </c>
      <c r="H143" t="str">
        <f t="shared" si="9"/>
        <v>-</v>
      </c>
    </row>
    <row r="144" spans="1:8" ht="32.25" thickBot="1" x14ac:dyDescent="0.3">
      <c r="A144" s="115">
        <v>5</v>
      </c>
      <c r="B144" s="104" t="s">
        <v>152</v>
      </c>
      <c r="C144" s="104" t="s">
        <v>143</v>
      </c>
      <c r="D144" s="107">
        <v>3</v>
      </c>
      <c r="E144" s="93">
        <v>8345</v>
      </c>
      <c r="F144" s="116">
        <f t="shared" si="7"/>
        <v>25035</v>
      </c>
      <c r="H144">
        <f t="shared" si="9"/>
        <v>1</v>
      </c>
    </row>
    <row r="145" spans="1:8" ht="15.75" x14ac:dyDescent="0.25">
      <c r="A145" s="87"/>
      <c r="B145" s="395" t="s">
        <v>680</v>
      </c>
      <c r="C145" s="395"/>
      <c r="D145" s="395"/>
      <c r="E145" s="95">
        <v>0</v>
      </c>
      <c r="F145" s="117">
        <f>SUM(F83:F144)*2.75</f>
        <v>108710.25</v>
      </c>
      <c r="H145">
        <f t="shared" si="9"/>
        <v>1</v>
      </c>
    </row>
    <row r="146" spans="1:8" ht="15.75" x14ac:dyDescent="0.25">
      <c r="A146" s="87"/>
      <c r="B146" s="56"/>
      <c r="C146" s="56"/>
      <c r="D146" s="56"/>
      <c r="E146" s="56">
        <v>0</v>
      </c>
      <c r="F146" s="117"/>
      <c r="H146" t="str">
        <f t="shared" si="8"/>
        <v>-</v>
      </c>
    </row>
    <row r="147" spans="1:8" s="132" customFormat="1" ht="16.5" thickBot="1" x14ac:dyDescent="0.3">
      <c r="A147" s="128" t="s">
        <v>153</v>
      </c>
      <c r="B147" s="129"/>
      <c r="C147" s="129"/>
      <c r="D147" s="130"/>
      <c r="E147" s="130">
        <v>0</v>
      </c>
      <c r="F147" s="131"/>
      <c r="H147" t="str">
        <f t="shared" si="8"/>
        <v>-</v>
      </c>
    </row>
    <row r="148" spans="1:8" s="132" customFormat="1" ht="16.5" thickBot="1" x14ac:dyDescent="0.3">
      <c r="A148" s="133" t="s">
        <v>140</v>
      </c>
      <c r="B148" s="134" t="s">
        <v>154</v>
      </c>
      <c r="C148" s="134" t="s">
        <v>82</v>
      </c>
      <c r="D148" s="135" t="s">
        <v>83</v>
      </c>
      <c r="E148" s="135" t="s">
        <v>118</v>
      </c>
      <c r="F148" s="136" t="s">
        <v>85</v>
      </c>
      <c r="H148"/>
    </row>
    <row r="149" spans="1:8" s="132" customFormat="1" ht="15.75" x14ac:dyDescent="0.25">
      <c r="A149" s="137">
        <v>1</v>
      </c>
      <c r="B149" s="138" t="s">
        <v>155</v>
      </c>
      <c r="C149" s="139" t="s">
        <v>143</v>
      </c>
      <c r="D149" s="140">
        <v>1</v>
      </c>
      <c r="E149" s="127">
        <v>200000</v>
      </c>
      <c r="F149" s="141">
        <f>E149*D149</f>
        <v>200000</v>
      </c>
      <c r="H149">
        <f t="shared" si="8"/>
        <v>1</v>
      </c>
    </row>
    <row r="150" spans="1:8" s="132" customFormat="1" ht="15.75" x14ac:dyDescent="0.25">
      <c r="A150" s="142">
        <v>2</v>
      </c>
      <c r="B150" s="143" t="s">
        <v>156</v>
      </c>
      <c r="C150" s="144" t="s">
        <v>143</v>
      </c>
      <c r="D150" s="140"/>
      <c r="E150" s="127">
        <v>350000</v>
      </c>
      <c r="F150" s="145">
        <f>E150*D150</f>
        <v>0</v>
      </c>
      <c r="H150" t="str">
        <f t="shared" si="8"/>
        <v>-</v>
      </c>
    </row>
    <row r="151" spans="1:8" s="132" customFormat="1" ht="15.75" x14ac:dyDescent="0.25">
      <c r="A151" s="146">
        <v>3</v>
      </c>
      <c r="B151" s="147" t="s">
        <v>658</v>
      </c>
      <c r="C151" s="148" t="s">
        <v>143</v>
      </c>
      <c r="D151" s="140"/>
      <c r="E151" s="127">
        <v>250000</v>
      </c>
      <c r="F151" s="149">
        <f>E151*D151</f>
        <v>0</v>
      </c>
      <c r="H151" t="str">
        <f t="shared" si="8"/>
        <v>-</v>
      </c>
    </row>
    <row r="152" spans="1:8" s="132" customFormat="1" ht="31.5" x14ac:dyDescent="0.25">
      <c r="A152" s="150"/>
      <c r="B152" s="130" t="s">
        <v>157</v>
      </c>
      <c r="C152" s="130"/>
      <c r="D152" s="130"/>
      <c r="E152" s="130">
        <v>0</v>
      </c>
      <c r="F152" s="151">
        <f>SUM(F149:F151)</f>
        <v>200000</v>
      </c>
      <c r="H152" t="str">
        <f t="shared" si="8"/>
        <v>-</v>
      </c>
    </row>
    <row r="153" spans="1:8" s="132" customFormat="1" ht="15.75" x14ac:dyDescent="0.25">
      <c r="A153" s="396" t="s">
        <v>158</v>
      </c>
      <c r="B153" s="396"/>
      <c r="C153" s="152"/>
      <c r="D153" s="153"/>
      <c r="E153" s="153">
        <v>0</v>
      </c>
      <c r="F153" s="154"/>
      <c r="H153" t="str">
        <f t="shared" si="8"/>
        <v>-</v>
      </c>
    </row>
    <row r="154" spans="1:8" s="132" customFormat="1" ht="16.5" thickBot="1" x14ac:dyDescent="0.3">
      <c r="A154" s="152"/>
      <c r="B154" s="152"/>
      <c r="C154" s="152"/>
      <c r="D154" s="153"/>
      <c r="E154" s="153">
        <v>0</v>
      </c>
      <c r="F154" s="154"/>
      <c r="H154" t="str">
        <f t="shared" si="8"/>
        <v>-</v>
      </c>
    </row>
    <row r="155" spans="1:8" s="132" customFormat="1" ht="16.5" thickBot="1" x14ac:dyDescent="0.3">
      <c r="A155" s="155" t="s">
        <v>80</v>
      </c>
      <c r="B155" s="155" t="s">
        <v>81</v>
      </c>
      <c r="C155" s="155" t="s">
        <v>82</v>
      </c>
      <c r="D155" s="155" t="s">
        <v>83</v>
      </c>
      <c r="E155" s="155" t="s">
        <v>118</v>
      </c>
      <c r="F155" s="156" t="s">
        <v>85</v>
      </c>
      <c r="H155"/>
    </row>
    <row r="156" spans="1:8" s="132" customFormat="1" ht="31.5" x14ac:dyDescent="0.25">
      <c r="A156" s="157">
        <v>1</v>
      </c>
      <c r="B156" s="158" t="s">
        <v>159</v>
      </c>
      <c r="C156" s="159" t="s">
        <v>160</v>
      </c>
      <c r="D156" s="160"/>
      <c r="E156" s="127">
        <v>1319.5</v>
      </c>
      <c r="F156" s="161">
        <f t="shared" ref="F156:F206" si="10">D156*E156</f>
        <v>0</v>
      </c>
      <c r="H156" t="str">
        <f t="shared" si="8"/>
        <v>-</v>
      </c>
    </row>
    <row r="157" spans="1:8" s="132" customFormat="1" ht="31.5" x14ac:dyDescent="0.25">
      <c r="A157" s="162">
        <v>2</v>
      </c>
      <c r="B157" s="163" t="s">
        <v>161</v>
      </c>
      <c r="C157" s="162" t="s">
        <v>98</v>
      </c>
      <c r="D157" s="164"/>
      <c r="E157" s="127">
        <v>988</v>
      </c>
      <c r="F157" s="165">
        <f t="shared" si="10"/>
        <v>0</v>
      </c>
      <c r="H157" t="str">
        <f t="shared" si="8"/>
        <v>-</v>
      </c>
    </row>
    <row r="158" spans="1:8" s="132" customFormat="1" ht="15.75" x14ac:dyDescent="0.25">
      <c r="A158" s="162">
        <v>3</v>
      </c>
      <c r="B158" s="163" t="s">
        <v>162</v>
      </c>
      <c r="C158" s="162" t="s">
        <v>143</v>
      </c>
      <c r="D158" s="164"/>
      <c r="E158" s="127">
        <v>8580</v>
      </c>
      <c r="F158" s="165">
        <f t="shared" si="10"/>
        <v>0</v>
      </c>
      <c r="H158" t="str">
        <f t="shared" si="8"/>
        <v>-</v>
      </c>
    </row>
    <row r="159" spans="1:8" s="132" customFormat="1" ht="31.5" x14ac:dyDescent="0.25">
      <c r="A159" s="162"/>
      <c r="B159" s="163" t="s">
        <v>163</v>
      </c>
      <c r="C159" s="166" t="s">
        <v>160</v>
      </c>
      <c r="D159" s="164"/>
      <c r="E159" s="127">
        <v>1254.5</v>
      </c>
      <c r="F159" s="165"/>
      <c r="H159" t="str">
        <f t="shared" si="8"/>
        <v>-</v>
      </c>
    </row>
    <row r="160" spans="1:8" s="132" customFormat="1" ht="31.5" x14ac:dyDescent="0.25">
      <c r="A160" s="162">
        <v>4</v>
      </c>
      <c r="B160" s="163" t="s">
        <v>164</v>
      </c>
      <c r="C160" s="162" t="s">
        <v>98</v>
      </c>
      <c r="D160" s="164"/>
      <c r="E160" s="127">
        <v>1040</v>
      </c>
      <c r="F160" s="165">
        <f t="shared" si="10"/>
        <v>0</v>
      </c>
      <c r="H160" t="str">
        <f t="shared" si="8"/>
        <v>-</v>
      </c>
    </row>
    <row r="161" spans="1:8" s="132" customFormat="1" ht="31.5" x14ac:dyDescent="0.25">
      <c r="A161" s="167">
        <v>5</v>
      </c>
      <c r="B161" s="163" t="s">
        <v>165</v>
      </c>
      <c r="C161" s="162" t="s">
        <v>160</v>
      </c>
      <c r="D161" s="164"/>
      <c r="E161" s="127">
        <v>1456</v>
      </c>
      <c r="F161" s="165">
        <f t="shared" si="10"/>
        <v>0</v>
      </c>
      <c r="H161" t="str">
        <f t="shared" si="8"/>
        <v>-</v>
      </c>
    </row>
    <row r="162" spans="1:8" s="132" customFormat="1" ht="15.75" x14ac:dyDescent="0.25">
      <c r="A162" s="168">
        <v>6.1</v>
      </c>
      <c r="B162" s="163" t="s">
        <v>166</v>
      </c>
      <c r="C162" s="162" t="s">
        <v>143</v>
      </c>
      <c r="D162" s="169"/>
      <c r="E162" s="170"/>
      <c r="F162" s="170">
        <f t="shared" si="10"/>
        <v>0</v>
      </c>
      <c r="H162" t="str">
        <f t="shared" si="8"/>
        <v>-</v>
      </c>
    </row>
    <row r="163" spans="1:8" s="132" customFormat="1" ht="15.75" x14ac:dyDescent="0.25">
      <c r="A163" s="168">
        <v>6.2</v>
      </c>
      <c r="B163" s="163" t="s">
        <v>167</v>
      </c>
      <c r="C163" s="162" t="s">
        <v>143</v>
      </c>
      <c r="D163" s="164"/>
      <c r="E163" s="170"/>
      <c r="F163" s="170">
        <f>D163*E163</f>
        <v>0</v>
      </c>
      <c r="H163" t="str">
        <f t="shared" si="8"/>
        <v>-</v>
      </c>
    </row>
    <row r="164" spans="1:8" s="132" customFormat="1" ht="15.75" x14ac:dyDescent="0.25">
      <c r="A164" s="168">
        <v>6.3</v>
      </c>
      <c r="B164" s="163" t="s">
        <v>168</v>
      </c>
      <c r="C164" s="162" t="s">
        <v>143</v>
      </c>
      <c r="D164" s="164"/>
      <c r="E164" s="170"/>
      <c r="F164" s="170">
        <f>D164*E164</f>
        <v>0</v>
      </c>
      <c r="H164" t="str">
        <f t="shared" si="8"/>
        <v>-</v>
      </c>
    </row>
    <row r="165" spans="1:8" s="132" customFormat="1" ht="31.5" x14ac:dyDescent="0.25">
      <c r="A165" s="171">
        <v>1</v>
      </c>
      <c r="B165" s="172" t="s">
        <v>169</v>
      </c>
      <c r="C165" s="172"/>
      <c r="D165" s="169"/>
      <c r="E165" s="127">
        <v>0</v>
      </c>
      <c r="F165" s="165"/>
      <c r="H165" t="str">
        <f t="shared" si="8"/>
        <v>-</v>
      </c>
    </row>
    <row r="166" spans="1:8" s="132" customFormat="1" ht="18" x14ac:dyDescent="0.25">
      <c r="A166" s="171">
        <v>1.1000000000000001</v>
      </c>
      <c r="B166" s="173" t="s">
        <v>87</v>
      </c>
      <c r="C166" s="144" t="s">
        <v>170</v>
      </c>
      <c r="D166" s="164"/>
      <c r="E166" s="127">
        <v>1404</v>
      </c>
      <c r="F166" s="165"/>
      <c r="H166" t="str">
        <f t="shared" si="8"/>
        <v>-</v>
      </c>
    </row>
    <row r="167" spans="1:8" s="132" customFormat="1" ht="18" x14ac:dyDescent="0.25">
      <c r="A167" s="171">
        <v>1.2</v>
      </c>
      <c r="B167" s="173" t="s">
        <v>89</v>
      </c>
      <c r="C167" s="144" t="s">
        <v>170</v>
      </c>
      <c r="D167" s="164"/>
      <c r="E167" s="127">
        <v>1462.5</v>
      </c>
      <c r="F167" s="165">
        <f t="shared" si="10"/>
        <v>0</v>
      </c>
      <c r="H167" t="str">
        <f t="shared" si="8"/>
        <v>-</v>
      </c>
    </row>
    <row r="168" spans="1:8" s="132" customFormat="1" ht="18" x14ac:dyDescent="0.25">
      <c r="A168" s="171">
        <v>1.3</v>
      </c>
      <c r="B168" s="173" t="s">
        <v>90</v>
      </c>
      <c r="C168" s="144" t="s">
        <v>170</v>
      </c>
      <c r="D168" s="169"/>
      <c r="E168" s="127">
        <v>1527.5</v>
      </c>
      <c r="F168" s="165">
        <f t="shared" si="10"/>
        <v>0</v>
      </c>
      <c r="H168" t="str">
        <f t="shared" si="8"/>
        <v>-</v>
      </c>
    </row>
    <row r="169" spans="1:8" s="132" customFormat="1" ht="18" x14ac:dyDescent="0.25">
      <c r="A169" s="171">
        <v>1.4</v>
      </c>
      <c r="B169" s="173" t="s">
        <v>91</v>
      </c>
      <c r="C169" s="144" t="s">
        <v>170</v>
      </c>
      <c r="D169" s="164"/>
      <c r="E169" s="127">
        <v>1534</v>
      </c>
      <c r="F169" s="174">
        <f t="shared" si="10"/>
        <v>0</v>
      </c>
      <c r="H169" t="str">
        <f t="shared" si="8"/>
        <v>-</v>
      </c>
    </row>
    <row r="170" spans="1:8" s="132" customFormat="1" ht="18" x14ac:dyDescent="0.25">
      <c r="A170" s="171">
        <v>1.5</v>
      </c>
      <c r="B170" s="173" t="s">
        <v>92</v>
      </c>
      <c r="C170" s="144" t="s">
        <v>170</v>
      </c>
      <c r="D170" s="169"/>
      <c r="E170" s="127">
        <v>1664</v>
      </c>
      <c r="F170" s="165">
        <f t="shared" si="10"/>
        <v>0</v>
      </c>
      <c r="H170" t="str">
        <f t="shared" si="8"/>
        <v>-</v>
      </c>
    </row>
    <row r="171" spans="1:8" s="132" customFormat="1" ht="18" x14ac:dyDescent="0.25">
      <c r="A171" s="175">
        <v>1.6</v>
      </c>
      <c r="B171" s="173" t="s">
        <v>93</v>
      </c>
      <c r="C171" s="144" t="s">
        <v>170</v>
      </c>
      <c r="D171" s="164"/>
      <c r="E171" s="127">
        <v>1534</v>
      </c>
      <c r="F171" s="165">
        <f t="shared" si="10"/>
        <v>0</v>
      </c>
      <c r="H171" t="str">
        <f t="shared" si="8"/>
        <v>-</v>
      </c>
    </row>
    <row r="172" spans="1:8" s="132" customFormat="1" ht="18" x14ac:dyDescent="0.25">
      <c r="A172" s="171">
        <v>1.7</v>
      </c>
      <c r="B172" s="173" t="s">
        <v>94</v>
      </c>
      <c r="C172" s="144" t="s">
        <v>170</v>
      </c>
      <c r="D172" s="164"/>
      <c r="E172" s="127">
        <v>1664</v>
      </c>
      <c r="F172" s="165">
        <f t="shared" si="10"/>
        <v>0</v>
      </c>
      <c r="H172" t="str">
        <f t="shared" si="8"/>
        <v>-</v>
      </c>
    </row>
    <row r="173" spans="1:8" s="132" customFormat="1" ht="47.25" x14ac:dyDescent="0.25">
      <c r="A173" s="176">
        <v>1.8</v>
      </c>
      <c r="B173" s="177" t="s">
        <v>95</v>
      </c>
      <c r="C173" s="178" t="s">
        <v>96</v>
      </c>
      <c r="D173" s="179"/>
      <c r="E173" s="127">
        <v>58.5</v>
      </c>
      <c r="F173" s="180">
        <f t="shared" si="10"/>
        <v>0</v>
      </c>
      <c r="H173" t="str">
        <f t="shared" si="8"/>
        <v>-</v>
      </c>
    </row>
    <row r="174" spans="1:8" s="132" customFormat="1" ht="31.5" x14ac:dyDescent="0.25">
      <c r="A174" s="181">
        <v>2</v>
      </c>
      <c r="B174" s="182" t="s">
        <v>171</v>
      </c>
      <c r="C174" s="183"/>
      <c r="D174" s="184"/>
      <c r="E174" s="184">
        <v>0</v>
      </c>
      <c r="F174" s="185"/>
      <c r="H174" t="str">
        <f t="shared" si="8"/>
        <v>-</v>
      </c>
    </row>
    <row r="175" spans="1:8" s="132" customFormat="1" ht="18" x14ac:dyDescent="0.25">
      <c r="A175" s="186">
        <v>2.1</v>
      </c>
      <c r="B175" s="187" t="s">
        <v>87</v>
      </c>
      <c r="C175" s="188" t="s">
        <v>170</v>
      </c>
      <c r="D175" s="179"/>
      <c r="E175" s="127">
        <v>1690</v>
      </c>
      <c r="F175" s="189">
        <f t="shared" si="10"/>
        <v>0</v>
      </c>
      <c r="H175" t="str">
        <f t="shared" si="8"/>
        <v>-</v>
      </c>
    </row>
    <row r="176" spans="1:8" s="132" customFormat="1" ht="31.5" x14ac:dyDescent="0.25">
      <c r="A176" s="175">
        <v>2.2000000000000002</v>
      </c>
      <c r="B176" s="173" t="s">
        <v>100</v>
      </c>
      <c r="C176" s="144" t="s">
        <v>170</v>
      </c>
      <c r="D176" s="179"/>
      <c r="E176" s="127">
        <v>1755</v>
      </c>
      <c r="F176" s="165">
        <f t="shared" si="10"/>
        <v>0</v>
      </c>
      <c r="H176" t="str">
        <f t="shared" si="8"/>
        <v>-</v>
      </c>
    </row>
    <row r="177" spans="1:8" s="132" customFormat="1" ht="18" x14ac:dyDescent="0.25">
      <c r="A177" s="190">
        <v>2.2999999999999998</v>
      </c>
      <c r="B177" s="177" t="s">
        <v>90</v>
      </c>
      <c r="C177" s="178" t="s">
        <v>170</v>
      </c>
      <c r="D177" s="179"/>
      <c r="E177" s="127">
        <v>1820</v>
      </c>
      <c r="F177" s="191">
        <f t="shared" si="10"/>
        <v>0</v>
      </c>
      <c r="H177" t="str">
        <f t="shared" si="8"/>
        <v>-</v>
      </c>
    </row>
    <row r="178" spans="1:8" s="132" customFormat="1" ht="15.75" x14ac:dyDescent="0.25">
      <c r="A178" s="181">
        <v>3</v>
      </c>
      <c r="B178" s="182" t="s">
        <v>172</v>
      </c>
      <c r="C178" s="192"/>
      <c r="D178" s="184"/>
      <c r="E178" s="184">
        <v>0</v>
      </c>
      <c r="F178" s="185"/>
      <c r="H178" t="str">
        <f t="shared" si="8"/>
        <v>-</v>
      </c>
    </row>
    <row r="179" spans="1:8" s="132" customFormat="1" ht="18" x14ac:dyDescent="0.25">
      <c r="A179" s="186">
        <v>3.1</v>
      </c>
      <c r="B179" s="187" t="s">
        <v>87</v>
      </c>
      <c r="C179" s="188" t="s">
        <v>160</v>
      </c>
      <c r="D179" s="179"/>
      <c r="E179" s="127">
        <v>325</v>
      </c>
      <c r="F179" s="189">
        <f t="shared" si="10"/>
        <v>0</v>
      </c>
      <c r="H179" t="str">
        <f t="shared" si="8"/>
        <v>-</v>
      </c>
    </row>
    <row r="180" spans="1:8" s="132" customFormat="1" ht="18" x14ac:dyDescent="0.25">
      <c r="A180" s="175">
        <v>3.2</v>
      </c>
      <c r="B180" s="173" t="s">
        <v>89</v>
      </c>
      <c r="C180" s="144" t="s">
        <v>160</v>
      </c>
      <c r="D180" s="179"/>
      <c r="E180" s="127">
        <v>364</v>
      </c>
      <c r="F180" s="165">
        <f t="shared" si="10"/>
        <v>0</v>
      </c>
      <c r="H180" t="str">
        <f t="shared" si="8"/>
        <v>-</v>
      </c>
    </row>
    <row r="181" spans="1:8" s="132" customFormat="1" ht="18" x14ac:dyDescent="0.25">
      <c r="A181" s="175">
        <v>3.3</v>
      </c>
      <c r="B181" s="173" t="s">
        <v>90</v>
      </c>
      <c r="C181" s="144" t="s">
        <v>160</v>
      </c>
      <c r="D181" s="179"/>
      <c r="E181" s="127">
        <v>422.5</v>
      </c>
      <c r="F181" s="165">
        <f t="shared" si="10"/>
        <v>0</v>
      </c>
      <c r="H181" t="str">
        <f t="shared" si="8"/>
        <v>-</v>
      </c>
    </row>
    <row r="182" spans="1:8" s="132" customFormat="1" ht="18" x14ac:dyDescent="0.25">
      <c r="A182" s="175">
        <v>3.4</v>
      </c>
      <c r="B182" s="173" t="s">
        <v>102</v>
      </c>
      <c r="C182" s="144" t="s">
        <v>160</v>
      </c>
      <c r="D182" s="179"/>
      <c r="E182" s="127">
        <v>474.5</v>
      </c>
      <c r="F182" s="170">
        <f t="shared" si="10"/>
        <v>0</v>
      </c>
      <c r="H182" t="str">
        <f t="shared" si="8"/>
        <v>-</v>
      </c>
    </row>
    <row r="183" spans="1:8" s="132" customFormat="1" ht="18" x14ac:dyDescent="0.25">
      <c r="A183" s="175">
        <v>3.5</v>
      </c>
      <c r="B183" s="173" t="s">
        <v>105</v>
      </c>
      <c r="C183" s="144" t="s">
        <v>160</v>
      </c>
      <c r="D183" s="179"/>
      <c r="E183" s="127">
        <v>624</v>
      </c>
      <c r="F183" s="165">
        <f t="shared" si="10"/>
        <v>0</v>
      </c>
      <c r="H183" t="str">
        <f t="shared" si="8"/>
        <v>-</v>
      </c>
    </row>
    <row r="184" spans="1:8" s="132" customFormat="1" ht="18" x14ac:dyDescent="0.25">
      <c r="A184" s="175">
        <v>3.6</v>
      </c>
      <c r="B184" s="173" t="s">
        <v>93</v>
      </c>
      <c r="C184" s="144" t="s">
        <v>160</v>
      </c>
      <c r="D184" s="179"/>
      <c r="E184" s="127">
        <v>474.5</v>
      </c>
      <c r="F184" s="165">
        <f t="shared" si="10"/>
        <v>0</v>
      </c>
      <c r="H184" t="str">
        <f t="shared" si="8"/>
        <v>-</v>
      </c>
    </row>
    <row r="185" spans="1:8" s="132" customFormat="1" ht="18" x14ac:dyDescent="0.25">
      <c r="A185" s="175">
        <v>3.7</v>
      </c>
      <c r="B185" s="173" t="s">
        <v>94</v>
      </c>
      <c r="C185" s="144" t="s">
        <v>160</v>
      </c>
      <c r="D185" s="179"/>
      <c r="E185" s="127">
        <v>624</v>
      </c>
      <c r="F185" s="165">
        <f t="shared" si="10"/>
        <v>0</v>
      </c>
      <c r="H185" t="str">
        <f t="shared" si="8"/>
        <v>-</v>
      </c>
    </row>
    <row r="186" spans="1:8" s="132" customFormat="1" ht="47.25" x14ac:dyDescent="0.25">
      <c r="A186" s="190">
        <v>3.8</v>
      </c>
      <c r="B186" s="177" t="s">
        <v>173</v>
      </c>
      <c r="C186" s="178" t="s">
        <v>160</v>
      </c>
      <c r="D186" s="179"/>
      <c r="E186" s="127">
        <v>58.5</v>
      </c>
      <c r="F186" s="180">
        <f t="shared" si="10"/>
        <v>0</v>
      </c>
      <c r="H186" t="str">
        <f t="shared" si="8"/>
        <v>-</v>
      </c>
    </row>
    <row r="187" spans="1:8" s="132" customFormat="1" ht="15.75" x14ac:dyDescent="0.25">
      <c r="A187" s="181">
        <v>4</v>
      </c>
      <c r="B187" s="182" t="s">
        <v>174</v>
      </c>
      <c r="C187" s="192"/>
      <c r="D187" s="184"/>
      <c r="E187" s="184">
        <v>0</v>
      </c>
      <c r="F187" s="185"/>
      <c r="H187" t="str">
        <f t="shared" si="8"/>
        <v>-</v>
      </c>
    </row>
    <row r="188" spans="1:8" s="132" customFormat="1" ht="18" x14ac:dyDescent="0.25">
      <c r="A188" s="186">
        <v>4.0999999999999996</v>
      </c>
      <c r="B188" s="187" t="s">
        <v>87</v>
      </c>
      <c r="C188" s="188" t="s">
        <v>160</v>
      </c>
      <c r="D188" s="179"/>
      <c r="E188" s="127">
        <v>968.5</v>
      </c>
      <c r="F188" s="193">
        <f t="shared" si="10"/>
        <v>0</v>
      </c>
      <c r="H188" t="str">
        <f t="shared" si="8"/>
        <v>-</v>
      </c>
    </row>
    <row r="189" spans="1:8" s="132" customFormat="1" ht="18" x14ac:dyDescent="0.25">
      <c r="A189" s="175">
        <v>4.2</v>
      </c>
      <c r="B189" s="173" t="s">
        <v>89</v>
      </c>
      <c r="C189" s="144" t="s">
        <v>160</v>
      </c>
      <c r="D189" s="179"/>
      <c r="E189" s="127">
        <v>1001</v>
      </c>
      <c r="F189" s="165">
        <f t="shared" si="10"/>
        <v>0</v>
      </c>
      <c r="H189" t="str">
        <f t="shared" si="8"/>
        <v>-</v>
      </c>
    </row>
    <row r="190" spans="1:8" s="132" customFormat="1" ht="18" x14ac:dyDescent="0.25">
      <c r="A190" s="175">
        <v>4.3</v>
      </c>
      <c r="B190" s="173" t="s">
        <v>90</v>
      </c>
      <c r="C190" s="144" t="s">
        <v>160</v>
      </c>
      <c r="D190" s="179"/>
      <c r="E190" s="127">
        <v>1072.5</v>
      </c>
      <c r="F190" s="165">
        <f t="shared" si="10"/>
        <v>0</v>
      </c>
      <c r="H190" t="str">
        <f t="shared" si="8"/>
        <v>-</v>
      </c>
    </row>
    <row r="191" spans="1:8" s="132" customFormat="1" ht="18" x14ac:dyDescent="0.25">
      <c r="A191" s="175">
        <v>4.4000000000000004</v>
      </c>
      <c r="B191" s="173" t="s">
        <v>102</v>
      </c>
      <c r="C191" s="144" t="s">
        <v>160</v>
      </c>
      <c r="D191" s="179"/>
      <c r="E191" s="127">
        <v>1059.5</v>
      </c>
      <c r="F191" s="165">
        <f t="shared" si="10"/>
        <v>0</v>
      </c>
      <c r="H191" t="str">
        <f t="shared" si="8"/>
        <v>-</v>
      </c>
    </row>
    <row r="192" spans="1:8" s="132" customFormat="1" ht="18" x14ac:dyDescent="0.25">
      <c r="A192" s="175">
        <v>4.5</v>
      </c>
      <c r="B192" s="173" t="s">
        <v>105</v>
      </c>
      <c r="C192" s="144" t="s">
        <v>160</v>
      </c>
      <c r="D192" s="179"/>
      <c r="E192" s="127">
        <v>1150.5</v>
      </c>
      <c r="F192" s="165">
        <f t="shared" si="10"/>
        <v>0</v>
      </c>
      <c r="H192" t="str">
        <f t="shared" si="8"/>
        <v>-</v>
      </c>
    </row>
    <row r="193" spans="1:8" s="132" customFormat="1" ht="18" x14ac:dyDescent="0.25">
      <c r="A193" s="175">
        <v>4.5999999999999996</v>
      </c>
      <c r="B193" s="173" t="s">
        <v>93</v>
      </c>
      <c r="C193" s="144" t="s">
        <v>160</v>
      </c>
      <c r="D193" s="179"/>
      <c r="E193" s="127">
        <v>1059.5</v>
      </c>
      <c r="F193" s="165">
        <f t="shared" si="10"/>
        <v>0</v>
      </c>
      <c r="H193" t="str">
        <f t="shared" si="8"/>
        <v>-</v>
      </c>
    </row>
    <row r="194" spans="1:8" s="132" customFormat="1" ht="18" x14ac:dyDescent="0.25">
      <c r="A194" s="175">
        <v>4.7</v>
      </c>
      <c r="B194" s="173" t="s">
        <v>94</v>
      </c>
      <c r="C194" s="144" t="s">
        <v>160</v>
      </c>
      <c r="D194" s="179"/>
      <c r="E194" s="127">
        <v>1150.5</v>
      </c>
      <c r="F194" s="165">
        <f t="shared" si="10"/>
        <v>0</v>
      </c>
      <c r="H194" t="str">
        <f t="shared" si="8"/>
        <v>-</v>
      </c>
    </row>
    <row r="195" spans="1:8" s="132" customFormat="1" ht="47.25" x14ac:dyDescent="0.25">
      <c r="A195" s="194">
        <v>4.8</v>
      </c>
      <c r="B195" s="195" t="s">
        <v>103</v>
      </c>
      <c r="C195" s="148" t="s">
        <v>160</v>
      </c>
      <c r="D195" s="179"/>
      <c r="E195" s="127">
        <v>52</v>
      </c>
      <c r="F195" s="196">
        <f t="shared" si="10"/>
        <v>0</v>
      </c>
      <c r="H195" t="str">
        <f t="shared" si="8"/>
        <v>-</v>
      </c>
    </row>
    <row r="196" spans="1:8" s="132" customFormat="1" ht="15.75" x14ac:dyDescent="0.25">
      <c r="A196" s="181">
        <v>5</v>
      </c>
      <c r="B196" s="182" t="s">
        <v>175</v>
      </c>
      <c r="C196" s="192"/>
      <c r="D196" s="184"/>
      <c r="E196" s="184">
        <v>0</v>
      </c>
      <c r="F196" s="185"/>
      <c r="H196" t="str">
        <f t="shared" si="8"/>
        <v>-</v>
      </c>
    </row>
    <row r="197" spans="1:8" s="132" customFormat="1" ht="18" x14ac:dyDescent="0.25">
      <c r="A197" s="186">
        <v>5.0999999999999996</v>
      </c>
      <c r="B197" s="187" t="s">
        <v>87</v>
      </c>
      <c r="C197" s="188" t="s">
        <v>160</v>
      </c>
      <c r="D197" s="179"/>
      <c r="E197" s="127">
        <v>487.5</v>
      </c>
      <c r="F197" s="189">
        <f t="shared" si="10"/>
        <v>0</v>
      </c>
      <c r="H197" t="str">
        <f t="shared" si="8"/>
        <v>-</v>
      </c>
    </row>
    <row r="198" spans="1:8" s="132" customFormat="1" ht="18" x14ac:dyDescent="0.25">
      <c r="A198" s="175">
        <v>5.2</v>
      </c>
      <c r="B198" s="173" t="s">
        <v>89</v>
      </c>
      <c r="C198" s="144" t="s">
        <v>160</v>
      </c>
      <c r="D198" s="179"/>
      <c r="E198" s="127">
        <v>520</v>
      </c>
      <c r="F198" s="165">
        <f t="shared" si="10"/>
        <v>0</v>
      </c>
      <c r="H198" t="str">
        <f t="shared" ref="H198:H206" si="11">IF(D198=0,"-",1)</f>
        <v>-</v>
      </c>
    </row>
    <row r="199" spans="1:8" s="132" customFormat="1" ht="18" x14ac:dyDescent="0.25">
      <c r="A199" s="175">
        <v>5.3</v>
      </c>
      <c r="B199" s="173" t="s">
        <v>90</v>
      </c>
      <c r="C199" s="144" t="s">
        <v>160</v>
      </c>
      <c r="D199" s="179"/>
      <c r="E199" s="127">
        <v>578.5</v>
      </c>
      <c r="F199" s="165">
        <f t="shared" si="10"/>
        <v>0</v>
      </c>
      <c r="H199" t="str">
        <f t="shared" si="11"/>
        <v>-</v>
      </c>
    </row>
    <row r="200" spans="1:8" s="132" customFormat="1" ht="18" x14ac:dyDescent="0.25">
      <c r="A200" s="175">
        <v>5.4</v>
      </c>
      <c r="B200" s="173" t="s">
        <v>102</v>
      </c>
      <c r="C200" s="144" t="s">
        <v>160</v>
      </c>
      <c r="D200" s="179"/>
      <c r="E200" s="127">
        <v>585</v>
      </c>
      <c r="F200" s="197">
        <f t="shared" si="10"/>
        <v>0</v>
      </c>
      <c r="H200" t="str">
        <f t="shared" si="11"/>
        <v>-</v>
      </c>
    </row>
    <row r="201" spans="1:8" s="132" customFormat="1" ht="18" x14ac:dyDescent="0.25">
      <c r="A201" s="175">
        <v>5.5</v>
      </c>
      <c r="B201" s="173" t="s">
        <v>105</v>
      </c>
      <c r="C201" s="144" t="s">
        <v>160</v>
      </c>
      <c r="D201" s="179"/>
      <c r="E201" s="127">
        <v>728</v>
      </c>
      <c r="F201" s="198">
        <f t="shared" si="10"/>
        <v>0</v>
      </c>
      <c r="H201" t="str">
        <f t="shared" si="11"/>
        <v>-</v>
      </c>
    </row>
    <row r="202" spans="1:8" s="132" customFormat="1" ht="18" x14ac:dyDescent="0.25">
      <c r="A202" s="175">
        <v>5.6</v>
      </c>
      <c r="B202" s="173" t="s">
        <v>93</v>
      </c>
      <c r="C202" s="144" t="s">
        <v>160</v>
      </c>
      <c r="D202" s="179"/>
      <c r="E202" s="127">
        <v>585</v>
      </c>
      <c r="F202" s="165">
        <f t="shared" si="10"/>
        <v>0</v>
      </c>
      <c r="H202" t="str">
        <f t="shared" si="11"/>
        <v>-</v>
      </c>
    </row>
    <row r="203" spans="1:8" s="132" customFormat="1" ht="18" x14ac:dyDescent="0.25">
      <c r="A203" s="175">
        <v>5.7</v>
      </c>
      <c r="B203" s="173" t="s">
        <v>94</v>
      </c>
      <c r="C203" s="144" t="s">
        <v>160</v>
      </c>
      <c r="D203" s="179"/>
      <c r="E203" s="127">
        <v>728</v>
      </c>
      <c r="F203" s="189">
        <f t="shared" si="10"/>
        <v>0</v>
      </c>
      <c r="H203" t="str">
        <f t="shared" si="11"/>
        <v>-</v>
      </c>
    </row>
    <row r="204" spans="1:8" s="132" customFormat="1" ht="31.5" x14ac:dyDescent="0.25">
      <c r="A204" s="175">
        <v>5.8</v>
      </c>
      <c r="B204" s="173" t="s">
        <v>107</v>
      </c>
      <c r="C204" s="144" t="s">
        <v>160</v>
      </c>
      <c r="D204" s="179"/>
      <c r="E204" s="127">
        <v>52</v>
      </c>
      <c r="F204" s="199">
        <f t="shared" si="10"/>
        <v>0</v>
      </c>
      <c r="H204" t="str">
        <f t="shared" si="11"/>
        <v>-</v>
      </c>
    </row>
    <row r="205" spans="1:8" s="132" customFormat="1" ht="18" x14ac:dyDescent="0.25">
      <c r="A205" s="175">
        <v>6</v>
      </c>
      <c r="B205" s="200" t="s">
        <v>176</v>
      </c>
      <c r="C205" s="144" t="s">
        <v>160</v>
      </c>
      <c r="D205" s="179"/>
      <c r="E205" s="127">
        <v>201.5</v>
      </c>
      <c r="F205" s="189">
        <f t="shared" si="10"/>
        <v>0</v>
      </c>
      <c r="H205" t="str">
        <f t="shared" si="11"/>
        <v>-</v>
      </c>
    </row>
    <row r="206" spans="1:8" s="132" customFormat="1" ht="18" x14ac:dyDescent="0.25">
      <c r="A206" s="190">
        <v>7</v>
      </c>
      <c r="B206" s="173" t="s">
        <v>110</v>
      </c>
      <c r="C206" s="144" t="s">
        <v>160</v>
      </c>
      <c r="D206" s="179"/>
      <c r="E206" s="127">
        <v>520</v>
      </c>
      <c r="F206" s="189">
        <f t="shared" si="10"/>
        <v>0</v>
      </c>
      <c r="H206" t="str">
        <f t="shared" si="11"/>
        <v>-</v>
      </c>
    </row>
    <row r="207" spans="1:8" ht="15.75" x14ac:dyDescent="0.25">
      <c r="A207" s="87"/>
      <c r="B207" s="397" t="s">
        <v>177</v>
      </c>
      <c r="C207" s="397"/>
      <c r="D207" s="397"/>
      <c r="E207" s="120"/>
      <c r="F207" s="121">
        <f>SUM(F156:F206)+F152</f>
        <v>200000</v>
      </c>
    </row>
  </sheetData>
  <protectedRanges>
    <protectedRange sqref="E162:E164" name="Range6"/>
    <protectedRange sqref="D59:D75 E55:E57 D4:D57" name="Range1"/>
    <protectedRange sqref="D83:D92" name="Range3"/>
    <protectedRange sqref="E138:E139 E93:F93 E104 E115 D93:D144" name="Range5"/>
    <protectedRange sqref="D149:D151" name="Range11"/>
    <protectedRange sqref="D156:D206 E174 E178 E187 E196" name="Range12"/>
  </protectedRanges>
  <mergeCells count="9">
    <mergeCell ref="B145:D145"/>
    <mergeCell ref="A153:B153"/>
    <mergeCell ref="B207:D207"/>
    <mergeCell ref="A126:B126"/>
    <mergeCell ref="B78:D78"/>
    <mergeCell ref="A93:B93"/>
    <mergeCell ref="A104:B104"/>
    <mergeCell ref="A115:B115"/>
    <mergeCell ref="A138:B138"/>
  </mergeCells>
  <dataValidations disablePrompts="1" count="1">
    <dataValidation type="list" allowBlank="1" showInputMessage="1" showErrorMessage="1" sqref="C115">
      <formula1>"0,3,5,7,10,20,30,50"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6:AS81"/>
  <sheetViews>
    <sheetView view="pageBreakPreview" topLeftCell="A4" zoomScale="110" zoomScaleNormal="100" zoomScaleSheetLayoutView="110" workbookViewId="0">
      <selection activeCell="B11" sqref="B11"/>
    </sheetView>
  </sheetViews>
  <sheetFormatPr defaultRowHeight="15.75" x14ac:dyDescent="0.25"/>
  <cols>
    <col min="1" max="1" width="24.85546875" style="201" customWidth="1"/>
    <col min="2" max="2" width="25.140625" style="201" customWidth="1"/>
    <col min="3" max="3" width="9.7109375" style="201" customWidth="1"/>
    <col min="4" max="4" width="24.85546875" style="201" customWidth="1"/>
    <col min="5" max="5" width="6.5703125" style="202" customWidth="1"/>
    <col min="6" max="6" width="18.28515625" style="202" customWidth="1"/>
    <col min="7" max="7" width="5.85546875" style="202" customWidth="1"/>
    <col min="8" max="31" width="29.42578125" style="202" customWidth="1"/>
    <col min="32" max="32" width="23.140625" style="202" customWidth="1"/>
    <col min="33" max="45" width="9.140625" style="202"/>
    <col min="46" max="16384" width="9.140625" style="201"/>
  </cols>
  <sheetData>
    <row r="6" spans="1:12" ht="33" customHeight="1" x14ac:dyDescent="0.3">
      <c r="A6" s="406" t="s">
        <v>185</v>
      </c>
      <c r="B6" s="406"/>
      <c r="C6" s="406"/>
    </row>
    <row r="7" spans="1:12" ht="18" x14ac:dyDescent="0.25">
      <c r="A7" s="243" t="s">
        <v>0</v>
      </c>
      <c r="I7" s="322"/>
    </row>
    <row r="8" spans="1:12" ht="20.100000000000001" customHeight="1" x14ac:dyDescent="0.25">
      <c r="A8" s="329" t="s">
        <v>1</v>
      </c>
      <c r="B8" s="203" t="s">
        <v>647</v>
      </c>
      <c r="I8" s="322"/>
    </row>
    <row r="9" spans="1:12" ht="20.100000000000001" customHeight="1" x14ac:dyDescent="0.25">
      <c r="A9" s="329" t="s">
        <v>3</v>
      </c>
      <c r="B9" s="203" t="s">
        <v>650</v>
      </c>
      <c r="I9" s="322"/>
    </row>
    <row r="10" spans="1:12" ht="20.100000000000001" customHeight="1" x14ac:dyDescent="0.25">
      <c r="A10" s="329" t="s">
        <v>4</v>
      </c>
      <c r="B10" s="203" t="s">
        <v>649</v>
      </c>
    </row>
    <row r="11" spans="1:12" ht="20.100000000000001" customHeight="1" x14ac:dyDescent="0.25">
      <c r="A11" s="329" t="s">
        <v>5</v>
      </c>
      <c r="B11" s="345">
        <f>Sheet2!D11</f>
        <v>94</v>
      </c>
      <c r="C11" s="204"/>
    </row>
    <row r="12" spans="1:12" ht="20.100000000000001" customHeight="1" x14ac:dyDescent="0.25">
      <c r="A12" s="329" t="s">
        <v>6</v>
      </c>
      <c r="B12" s="245" t="s">
        <v>12</v>
      </c>
      <c r="F12" s="205"/>
    </row>
    <row r="13" spans="1:12" ht="20.100000000000001" customHeight="1" x14ac:dyDescent="0.25">
      <c r="A13" s="329" t="s">
        <v>54</v>
      </c>
      <c r="B13" s="206">
        <f>IF(B12="1-1b",D48,IF(B12="1-1a",F48,IF(B12="1-1",H48,IF(B12="1-2",J48,IF(B12="2-1",L48,IF(B12="1-3",N48,IF(B12="2-2",P48,IF(B12="3-1",R48,IF(B12="2-3",T48,IF(B12="3-2",V48,IF(B12="4-1",X48,IF(B12="3-3",Z48,IF(B12="4-2",AB48,IF(B12="4-3",AD48,IF(B12="4-4",AF48)))))))))))))))</f>
        <v>2478592</v>
      </c>
      <c r="H13" s="322"/>
      <c r="J13" s="205"/>
      <c r="K13" s="322"/>
      <c r="L13" s="322"/>
    </row>
    <row r="14" spans="1:12" ht="31.5" customHeight="1" x14ac:dyDescent="0.25">
      <c r="A14" s="328" t="s">
        <v>189</v>
      </c>
      <c r="B14" s="206"/>
      <c r="D14" s="323"/>
      <c r="J14" s="205"/>
      <c r="K14" s="322"/>
    </row>
    <row r="15" spans="1:12" ht="36.75" customHeight="1" x14ac:dyDescent="0.25">
      <c r="A15" s="328" t="s">
        <v>190</v>
      </c>
      <c r="B15" s="334">
        <v>0</v>
      </c>
      <c r="J15" s="205"/>
      <c r="K15" s="322"/>
    </row>
    <row r="16" spans="1:12" ht="39" customHeight="1" x14ac:dyDescent="0.25">
      <c r="A16" s="328" t="s">
        <v>191</v>
      </c>
      <c r="B16" s="208"/>
      <c r="J16" s="205"/>
      <c r="K16" s="322"/>
    </row>
    <row r="17" spans="1:32" ht="20.100000000000001" customHeight="1" x14ac:dyDescent="0.25">
      <c r="A17" s="328" t="s">
        <v>192</v>
      </c>
      <c r="B17" s="206">
        <f>B13</f>
        <v>2478592</v>
      </c>
      <c r="D17" s="323">
        <f>B17/B11</f>
        <v>26368</v>
      </c>
      <c r="J17" s="205"/>
      <c r="K17" s="322"/>
    </row>
    <row r="18" spans="1:32" ht="50.25" customHeight="1" x14ac:dyDescent="0.25">
      <c r="A18" s="328" t="s">
        <v>193</v>
      </c>
      <c r="B18" s="206"/>
      <c r="C18" s="323"/>
      <c r="D18" s="323"/>
      <c r="E18" s="322"/>
      <c r="G18" s="322"/>
      <c r="K18" s="322"/>
      <c r="Q18" s="322">
        <f>B13-Q19</f>
        <v>-1432964.85</v>
      </c>
    </row>
    <row r="19" spans="1:32" ht="33" customHeight="1" x14ac:dyDescent="0.25">
      <c r="A19" s="328" t="s">
        <v>194</v>
      </c>
      <c r="B19" s="209">
        <f>MAX(B17,B18)-B16</f>
        <v>2478592</v>
      </c>
      <c r="C19" s="324"/>
      <c r="E19" s="201"/>
      <c r="H19" s="322"/>
      <c r="Q19" s="205">
        <f>(100*Q22)+(100*Q23)+(1.99*Q24)</f>
        <v>3911556.85</v>
      </c>
      <c r="AE19" s="322">
        <f>100*AE22+100*AE23</f>
        <v>2462100</v>
      </c>
      <c r="AF19" s="322"/>
    </row>
    <row r="20" spans="1:32" hidden="1" x14ac:dyDescent="0.25">
      <c r="A20" s="210"/>
      <c r="B20" s="210"/>
      <c r="C20" s="211" t="s">
        <v>8</v>
      </c>
      <c r="D20" s="211"/>
      <c r="E20" s="212" t="s">
        <v>9</v>
      </c>
      <c r="F20" s="212"/>
      <c r="G20" s="212" t="s">
        <v>10</v>
      </c>
      <c r="H20" s="212"/>
      <c r="I20" s="212" t="s">
        <v>11</v>
      </c>
      <c r="J20" s="212"/>
      <c r="K20" s="212" t="s">
        <v>12</v>
      </c>
      <c r="L20" s="212"/>
      <c r="M20" s="212" t="s">
        <v>13</v>
      </c>
      <c r="N20" s="212"/>
      <c r="O20" s="212" t="s">
        <v>14</v>
      </c>
      <c r="P20" s="212"/>
      <c r="Q20" s="212" t="s">
        <v>15</v>
      </c>
      <c r="R20" s="212"/>
      <c r="S20" s="212" t="s">
        <v>16</v>
      </c>
      <c r="T20" s="212"/>
      <c r="U20" s="212" t="s">
        <v>17</v>
      </c>
      <c r="V20" s="212"/>
      <c r="W20" s="212" t="s">
        <v>18</v>
      </c>
      <c r="X20" s="212"/>
      <c r="Y20" s="212" t="s">
        <v>19</v>
      </c>
      <c r="Z20" s="212"/>
      <c r="AA20" s="212" t="s">
        <v>20</v>
      </c>
      <c r="AB20" s="212"/>
      <c r="AC20" s="212" t="s">
        <v>21</v>
      </c>
      <c r="AD20" s="212"/>
      <c r="AE20" s="212" t="s">
        <v>22</v>
      </c>
    </row>
    <row r="21" spans="1:32" hidden="1" x14ac:dyDescent="0.25">
      <c r="A21" s="210"/>
      <c r="B21" s="210"/>
      <c r="C21" s="211">
        <v>1</v>
      </c>
      <c r="D21" s="211"/>
      <c r="E21" s="213">
        <v>2</v>
      </c>
      <c r="F21" s="213"/>
      <c r="G21" s="213">
        <v>3</v>
      </c>
      <c r="H21" s="213"/>
      <c r="I21" s="213">
        <v>4</v>
      </c>
      <c r="J21" s="213"/>
      <c r="K21" s="213">
        <v>5</v>
      </c>
      <c r="L21" s="213"/>
      <c r="M21" s="213">
        <v>6</v>
      </c>
      <c r="N21" s="213"/>
      <c r="O21" s="213">
        <v>7</v>
      </c>
      <c r="P21" s="213"/>
      <c r="Q21" s="213">
        <v>8</v>
      </c>
      <c r="R21" s="213"/>
      <c r="S21" s="213">
        <v>9</v>
      </c>
      <c r="T21" s="213"/>
      <c r="U21" s="213">
        <v>10</v>
      </c>
      <c r="V21" s="213"/>
      <c r="W21" s="213">
        <v>11</v>
      </c>
      <c r="X21" s="213"/>
      <c r="Y21" s="213">
        <v>12</v>
      </c>
      <c r="Z21" s="213"/>
      <c r="AA21" s="213">
        <v>13</v>
      </c>
      <c r="AB21" s="213"/>
      <c r="AC21" s="213">
        <v>14</v>
      </c>
      <c r="AD21" s="213"/>
      <c r="AE21" s="213">
        <v>15</v>
      </c>
    </row>
    <row r="22" spans="1:32" hidden="1" x14ac:dyDescent="0.25">
      <c r="A22" s="210" t="s">
        <v>56</v>
      </c>
      <c r="B22" s="210">
        <v>100</v>
      </c>
      <c r="C22" s="325">
        <v>67844</v>
      </c>
      <c r="D22" s="325">
        <f>$B$22*C22</f>
        <v>6784400</v>
      </c>
      <c r="E22" s="326">
        <v>44355</v>
      </c>
      <c r="F22" s="326">
        <f>$B$22*E22</f>
        <v>4435500</v>
      </c>
      <c r="G22" s="326">
        <v>35523</v>
      </c>
      <c r="H22" s="326">
        <f>$B$22*G22</f>
        <v>3552300</v>
      </c>
      <c r="I22" s="326">
        <v>30912</v>
      </c>
      <c r="J22" s="326">
        <f>$B$22*I22</f>
        <v>3091200</v>
      </c>
      <c r="K22" s="326">
        <v>26368</v>
      </c>
      <c r="L22" s="326">
        <f>$B$22*K22</f>
        <v>2636800</v>
      </c>
      <c r="M22" s="326">
        <v>23599</v>
      </c>
      <c r="N22" s="326">
        <f>$B$22*M22</f>
        <v>2359900</v>
      </c>
      <c r="O22" s="326">
        <v>21576</v>
      </c>
      <c r="P22" s="326">
        <f>$B$22*O22</f>
        <v>2157600</v>
      </c>
      <c r="Q22" s="326">
        <v>20351</v>
      </c>
      <c r="R22" s="326">
        <f>$B$22*Q22</f>
        <v>2035100</v>
      </c>
      <c r="S22" s="326">
        <v>17283</v>
      </c>
      <c r="T22" s="326">
        <f>$B$22*S22</f>
        <v>1728300</v>
      </c>
      <c r="U22" s="326">
        <v>16267</v>
      </c>
      <c r="V22" s="326">
        <f>$B$22*U22</f>
        <v>1626700</v>
      </c>
      <c r="W22" s="326">
        <v>15202</v>
      </c>
      <c r="X22" s="326">
        <f>$B$22*W22</f>
        <v>1520200</v>
      </c>
      <c r="Y22" s="326">
        <v>14559</v>
      </c>
      <c r="Z22" s="326">
        <f>$B$22*Y22</f>
        <v>1455900</v>
      </c>
      <c r="AA22" s="326">
        <v>14168</v>
      </c>
      <c r="AB22" s="326">
        <f>$B$22*AA22</f>
        <v>1416800</v>
      </c>
      <c r="AC22" s="326">
        <v>13275</v>
      </c>
      <c r="AD22" s="326">
        <f>$B$22*AC22</f>
        <v>1327500</v>
      </c>
      <c r="AE22" s="326">
        <v>12688</v>
      </c>
      <c r="AF22" s="326">
        <f>$B$22*AE22</f>
        <v>1268800</v>
      </c>
    </row>
    <row r="23" spans="1:32" hidden="1" x14ac:dyDescent="0.25">
      <c r="A23" s="210" t="s">
        <v>57</v>
      </c>
      <c r="B23" s="210">
        <v>200</v>
      </c>
      <c r="C23" s="325">
        <v>62975</v>
      </c>
      <c r="D23" s="325">
        <f>D22+((B23-B22)*C23)</f>
        <v>13081900</v>
      </c>
      <c r="E23" s="326">
        <v>43454</v>
      </c>
      <c r="F23" s="326">
        <f>F22+((B23-B22)*E23)</f>
        <v>8780900</v>
      </c>
      <c r="G23" s="326">
        <v>34892</v>
      </c>
      <c r="H23" s="326">
        <f>H22+((B23-B22)*G23)</f>
        <v>7041500</v>
      </c>
      <c r="I23" s="326">
        <v>30521</v>
      </c>
      <c r="J23" s="326">
        <f>J22+((B23-B22)*I23)</f>
        <v>6143300</v>
      </c>
      <c r="K23" s="326">
        <v>26031</v>
      </c>
      <c r="L23" s="326">
        <f>L22+((B23-B22)*K23)</f>
        <v>5239900</v>
      </c>
      <c r="M23" s="326">
        <v>23069</v>
      </c>
      <c r="N23" s="326">
        <f>N22+((B23-B22)*M23)</f>
        <v>4666800</v>
      </c>
      <c r="O23" s="326">
        <v>20104</v>
      </c>
      <c r="P23" s="326">
        <f>P22+((B23-B22)*O23)</f>
        <v>4168000</v>
      </c>
      <c r="Q23" s="326">
        <v>18420</v>
      </c>
      <c r="R23" s="326">
        <f>R22+((B23-B22)*Q23)</f>
        <v>3877100</v>
      </c>
      <c r="S23" s="326">
        <v>17082</v>
      </c>
      <c r="T23" s="326">
        <f>T22+((B23-B22)*S23)</f>
        <v>3436500</v>
      </c>
      <c r="U23" s="326">
        <v>15588</v>
      </c>
      <c r="V23" s="326">
        <f>V22+((B23-B22)*U23)</f>
        <v>3185500</v>
      </c>
      <c r="W23" s="326">
        <v>14625</v>
      </c>
      <c r="X23" s="326">
        <f>X22+((B23-B22)*W23)</f>
        <v>2982700</v>
      </c>
      <c r="Y23" s="326">
        <v>14104</v>
      </c>
      <c r="Z23" s="326">
        <f>Z22+((B23-B22)*Y23)</f>
        <v>2866300</v>
      </c>
      <c r="AA23" s="326">
        <v>13800</v>
      </c>
      <c r="AB23" s="326">
        <f>AB22+((B23-B22)*AA23)</f>
        <v>2796800</v>
      </c>
      <c r="AC23" s="326">
        <v>12537</v>
      </c>
      <c r="AD23" s="326">
        <f>AD22+((B23-B22)*AC23)</f>
        <v>2581200</v>
      </c>
      <c r="AE23" s="326">
        <v>11933</v>
      </c>
      <c r="AF23" s="326">
        <f>AF22+((B23-B22)*AE23)</f>
        <v>2462100</v>
      </c>
    </row>
    <row r="24" spans="1:32" hidden="1" x14ac:dyDescent="0.25">
      <c r="A24" s="210" t="s">
        <v>58</v>
      </c>
      <c r="B24" s="210">
        <v>300</v>
      </c>
      <c r="C24" s="325">
        <v>58106</v>
      </c>
      <c r="D24" s="325">
        <f t="shared" ref="D24:D47" si="0">D23+((B24-B23)*C24)</f>
        <v>18892500</v>
      </c>
      <c r="E24" s="326">
        <v>42553</v>
      </c>
      <c r="F24" s="326">
        <f t="shared" ref="F24:F47" si="1">F23+((B24-B23)*E24)</f>
        <v>13036200</v>
      </c>
      <c r="G24" s="326">
        <v>34261</v>
      </c>
      <c r="H24" s="326">
        <f t="shared" ref="H24:H47" si="2">H23+((B24-B23)*G24)</f>
        <v>10467600</v>
      </c>
      <c r="I24" s="326">
        <v>30130</v>
      </c>
      <c r="J24" s="326">
        <f t="shared" ref="J24:J47" si="3">J23+((B24-B23)*I24)</f>
        <v>9156300</v>
      </c>
      <c r="K24" s="326">
        <v>25694</v>
      </c>
      <c r="L24" s="326">
        <f t="shared" ref="L24:L47" si="4">L23+((B24-B23)*K24)</f>
        <v>7809300</v>
      </c>
      <c r="M24" s="326">
        <v>22539</v>
      </c>
      <c r="N24" s="326">
        <f t="shared" ref="N24:N47" si="5">N23+((B24-B23)*M24)</f>
        <v>6920700</v>
      </c>
      <c r="O24" s="326">
        <v>19022</v>
      </c>
      <c r="P24" s="326">
        <f t="shared" ref="P24:P47" si="6">P23+((B24-B23)*O24)</f>
        <v>6070200</v>
      </c>
      <c r="Q24" s="326">
        <v>17315</v>
      </c>
      <c r="R24" s="326">
        <f t="shared" ref="R24:R47" si="7">R23+((B24-B23)*Q24)</f>
        <v>5608600</v>
      </c>
      <c r="S24" s="326">
        <v>16898</v>
      </c>
      <c r="T24" s="326">
        <f t="shared" ref="T24:T47" si="8">T23+((B24-B23)*S24)</f>
        <v>5126300</v>
      </c>
      <c r="U24" s="326">
        <v>14991</v>
      </c>
      <c r="V24" s="326">
        <f t="shared" ref="V24:V47" si="9">V23+((B24-B23)*U24)</f>
        <v>4684600</v>
      </c>
      <c r="W24" s="326">
        <v>14128</v>
      </c>
      <c r="X24" s="326">
        <f t="shared" ref="X24:X47" si="10">X23+((B24-B23)*W24)</f>
        <v>4395500</v>
      </c>
      <c r="Y24" s="326">
        <v>13518</v>
      </c>
      <c r="Z24" s="326">
        <f t="shared" ref="Z24:Z47" si="11">Z23+((B24-B23)*Y24)</f>
        <v>4218100</v>
      </c>
      <c r="AA24" s="326">
        <v>13622</v>
      </c>
      <c r="AB24" s="326">
        <f t="shared" ref="AB24:AB47" si="12">AB23+((B24-B23)*AA24)</f>
        <v>4159000</v>
      </c>
      <c r="AC24" s="326">
        <v>11799</v>
      </c>
      <c r="AD24" s="326">
        <f t="shared" ref="AD24:AD47" si="13">AD23+((B24-B23)*AC24)</f>
        <v>3761100</v>
      </c>
      <c r="AE24" s="326">
        <v>11318</v>
      </c>
      <c r="AF24" s="326">
        <f t="shared" ref="AF24:AF47" si="14">AF23+((B24-B23)*AE24)</f>
        <v>3593900</v>
      </c>
    </row>
    <row r="25" spans="1:32" hidden="1" x14ac:dyDescent="0.25">
      <c r="A25" s="210" t="s">
        <v>59</v>
      </c>
      <c r="B25" s="210">
        <v>400</v>
      </c>
      <c r="C25" s="325">
        <v>54919</v>
      </c>
      <c r="D25" s="325">
        <f t="shared" si="0"/>
        <v>24384400</v>
      </c>
      <c r="E25" s="326">
        <v>41705</v>
      </c>
      <c r="F25" s="326">
        <f t="shared" si="1"/>
        <v>17206700</v>
      </c>
      <c r="G25" s="326">
        <v>33805</v>
      </c>
      <c r="H25" s="326">
        <f t="shared" si="2"/>
        <v>13848100</v>
      </c>
      <c r="I25" s="326">
        <v>29745</v>
      </c>
      <c r="J25" s="326">
        <f t="shared" si="3"/>
        <v>12130800</v>
      </c>
      <c r="K25" s="326">
        <v>25445</v>
      </c>
      <c r="L25" s="326">
        <f t="shared" si="4"/>
        <v>10353800</v>
      </c>
      <c r="M25" s="326">
        <v>22284</v>
      </c>
      <c r="N25" s="326">
        <f t="shared" si="5"/>
        <v>9149100</v>
      </c>
      <c r="O25" s="326">
        <v>18829</v>
      </c>
      <c r="P25" s="326">
        <f t="shared" si="6"/>
        <v>7953100</v>
      </c>
      <c r="Q25" s="326">
        <v>17146</v>
      </c>
      <c r="R25" s="326">
        <f t="shared" si="7"/>
        <v>7323200</v>
      </c>
      <c r="S25" s="326">
        <v>16726</v>
      </c>
      <c r="T25" s="326">
        <f t="shared" si="8"/>
        <v>6798900</v>
      </c>
      <c r="U25" s="326">
        <v>14541</v>
      </c>
      <c r="V25" s="326">
        <f t="shared" si="9"/>
        <v>6138700</v>
      </c>
      <c r="W25" s="326">
        <v>13986</v>
      </c>
      <c r="X25" s="326">
        <f t="shared" si="10"/>
        <v>5794100</v>
      </c>
      <c r="Y25" s="326">
        <v>13385</v>
      </c>
      <c r="Z25" s="326">
        <f t="shared" si="11"/>
        <v>5556600</v>
      </c>
      <c r="AA25" s="326">
        <v>13487</v>
      </c>
      <c r="AB25" s="326">
        <f t="shared" si="12"/>
        <v>5507700</v>
      </c>
      <c r="AC25" s="326">
        <v>11644</v>
      </c>
      <c r="AD25" s="326">
        <f t="shared" si="13"/>
        <v>4925500</v>
      </c>
      <c r="AE25" s="326">
        <v>11197</v>
      </c>
      <c r="AF25" s="326">
        <f t="shared" si="14"/>
        <v>4713600</v>
      </c>
    </row>
    <row r="26" spans="1:32" hidden="1" x14ac:dyDescent="0.25">
      <c r="A26" s="210" t="s">
        <v>60</v>
      </c>
      <c r="B26" s="210">
        <v>500</v>
      </c>
      <c r="C26" s="325">
        <v>54358</v>
      </c>
      <c r="D26" s="325">
        <f t="shared" si="0"/>
        <v>29820200</v>
      </c>
      <c r="E26" s="326">
        <v>41283</v>
      </c>
      <c r="F26" s="326">
        <f t="shared" si="1"/>
        <v>21335000</v>
      </c>
      <c r="G26" s="326">
        <v>33463</v>
      </c>
      <c r="H26" s="326">
        <f t="shared" si="2"/>
        <v>17194400</v>
      </c>
      <c r="I26" s="326">
        <v>29444</v>
      </c>
      <c r="J26" s="326">
        <f t="shared" si="3"/>
        <v>15075200</v>
      </c>
      <c r="K26" s="326">
        <v>25195</v>
      </c>
      <c r="L26" s="326">
        <f t="shared" si="4"/>
        <v>12873300</v>
      </c>
      <c r="M26" s="326">
        <v>22048</v>
      </c>
      <c r="N26" s="326">
        <f t="shared" si="5"/>
        <v>11353900</v>
      </c>
      <c r="O26" s="326">
        <v>18636</v>
      </c>
      <c r="P26" s="326">
        <f t="shared" si="6"/>
        <v>9816700</v>
      </c>
      <c r="Q26" s="326">
        <v>16977</v>
      </c>
      <c r="R26" s="326">
        <f t="shared" si="7"/>
        <v>9020900</v>
      </c>
      <c r="S26" s="326">
        <v>16554</v>
      </c>
      <c r="T26" s="326">
        <f t="shared" si="8"/>
        <v>8454300</v>
      </c>
      <c r="U26" s="326">
        <v>14691</v>
      </c>
      <c r="V26" s="326">
        <f t="shared" si="9"/>
        <v>7607800</v>
      </c>
      <c r="W26" s="326">
        <v>13844</v>
      </c>
      <c r="X26" s="326">
        <f t="shared" si="10"/>
        <v>7178500</v>
      </c>
      <c r="Y26" s="326">
        <v>13252</v>
      </c>
      <c r="Z26" s="326">
        <f t="shared" si="11"/>
        <v>6881800</v>
      </c>
      <c r="AA26" s="326">
        <v>13352</v>
      </c>
      <c r="AB26" s="326">
        <f t="shared" si="12"/>
        <v>6842900</v>
      </c>
      <c r="AC26" s="326">
        <v>11513</v>
      </c>
      <c r="AD26" s="326">
        <f t="shared" si="13"/>
        <v>6076800</v>
      </c>
      <c r="AE26" s="326">
        <v>11076</v>
      </c>
      <c r="AF26" s="326">
        <f t="shared" si="14"/>
        <v>5821200</v>
      </c>
    </row>
    <row r="27" spans="1:32" hidden="1" x14ac:dyDescent="0.25">
      <c r="A27" s="210" t="s">
        <v>61</v>
      </c>
      <c r="B27" s="210">
        <v>600</v>
      </c>
      <c r="C27" s="325">
        <v>20732</v>
      </c>
      <c r="D27" s="325">
        <f t="shared" si="0"/>
        <v>31893400</v>
      </c>
      <c r="E27" s="326">
        <v>18639</v>
      </c>
      <c r="F27" s="326">
        <f t="shared" si="1"/>
        <v>23198900</v>
      </c>
      <c r="G27" s="326">
        <v>17813</v>
      </c>
      <c r="H27" s="326">
        <f t="shared" si="2"/>
        <v>18975700</v>
      </c>
      <c r="I27" s="326">
        <v>18643</v>
      </c>
      <c r="J27" s="326">
        <f t="shared" si="3"/>
        <v>16939500</v>
      </c>
      <c r="K27" s="326">
        <v>16694</v>
      </c>
      <c r="L27" s="326">
        <f t="shared" si="4"/>
        <v>14542700</v>
      </c>
      <c r="M27" s="326">
        <v>14505</v>
      </c>
      <c r="N27" s="326">
        <f t="shared" si="5"/>
        <v>12804400</v>
      </c>
      <c r="O27" s="326">
        <v>14141</v>
      </c>
      <c r="P27" s="326">
        <f t="shared" si="6"/>
        <v>11230800</v>
      </c>
      <c r="Q27" s="326">
        <v>12909</v>
      </c>
      <c r="R27" s="326">
        <f t="shared" si="7"/>
        <v>10311800</v>
      </c>
      <c r="S27" s="326">
        <v>11677</v>
      </c>
      <c r="T27" s="326">
        <f t="shared" si="8"/>
        <v>9622000</v>
      </c>
      <c r="U27" s="326">
        <v>11071</v>
      </c>
      <c r="V27" s="326">
        <f t="shared" si="9"/>
        <v>8714900</v>
      </c>
      <c r="W27" s="326">
        <v>10703</v>
      </c>
      <c r="X27" s="326">
        <f t="shared" si="10"/>
        <v>8248800</v>
      </c>
      <c r="Y27" s="326">
        <v>9812</v>
      </c>
      <c r="Z27" s="326">
        <f t="shared" si="11"/>
        <v>7863000</v>
      </c>
      <c r="AA27" s="326">
        <v>7311</v>
      </c>
      <c r="AB27" s="326">
        <f t="shared" si="12"/>
        <v>7574000</v>
      </c>
      <c r="AC27" s="326">
        <v>7239</v>
      </c>
      <c r="AD27" s="326">
        <f t="shared" si="13"/>
        <v>6800700</v>
      </c>
      <c r="AE27" s="326">
        <v>6212</v>
      </c>
      <c r="AF27" s="326">
        <f t="shared" si="14"/>
        <v>6442400</v>
      </c>
    </row>
    <row r="28" spans="1:32" hidden="1" x14ac:dyDescent="0.25">
      <c r="A28" s="210" t="s">
        <v>62</v>
      </c>
      <c r="B28" s="210">
        <v>700</v>
      </c>
      <c r="C28" s="325">
        <v>20477</v>
      </c>
      <c r="D28" s="325">
        <f t="shared" si="0"/>
        <v>33941100</v>
      </c>
      <c r="E28" s="326">
        <v>18351</v>
      </c>
      <c r="F28" s="326">
        <f t="shared" si="1"/>
        <v>25034000</v>
      </c>
      <c r="G28" s="326">
        <v>17591</v>
      </c>
      <c r="H28" s="326">
        <f t="shared" si="2"/>
        <v>20734800</v>
      </c>
      <c r="I28" s="326">
        <v>16832</v>
      </c>
      <c r="J28" s="326">
        <f t="shared" si="3"/>
        <v>18622700</v>
      </c>
      <c r="K28" s="326">
        <v>16408</v>
      </c>
      <c r="L28" s="326">
        <f t="shared" si="4"/>
        <v>16183500</v>
      </c>
      <c r="M28" s="326">
        <v>14318</v>
      </c>
      <c r="N28" s="326">
        <f t="shared" si="5"/>
        <v>14236200</v>
      </c>
      <c r="O28" s="326">
        <v>13946</v>
      </c>
      <c r="P28" s="326">
        <f t="shared" si="6"/>
        <v>12625400</v>
      </c>
      <c r="Q28" s="326">
        <v>12612</v>
      </c>
      <c r="R28" s="326">
        <f t="shared" si="7"/>
        <v>11573000</v>
      </c>
      <c r="S28" s="326">
        <v>11545</v>
      </c>
      <c r="T28" s="326">
        <f t="shared" si="8"/>
        <v>10776500</v>
      </c>
      <c r="U28" s="326">
        <v>11006</v>
      </c>
      <c r="V28" s="326">
        <f t="shared" si="9"/>
        <v>9815500</v>
      </c>
      <c r="W28" s="326">
        <v>10551</v>
      </c>
      <c r="X28" s="326">
        <f t="shared" si="10"/>
        <v>9303900</v>
      </c>
      <c r="Y28" s="326">
        <v>9731</v>
      </c>
      <c r="Z28" s="326">
        <f t="shared" si="11"/>
        <v>8836100</v>
      </c>
      <c r="AA28" s="326">
        <v>7221</v>
      </c>
      <c r="AB28" s="326">
        <f t="shared" si="12"/>
        <v>8296100</v>
      </c>
      <c r="AC28" s="326">
        <v>7215</v>
      </c>
      <c r="AD28" s="326">
        <f t="shared" si="13"/>
        <v>7522200</v>
      </c>
      <c r="AE28" s="326">
        <v>6167</v>
      </c>
      <c r="AF28" s="326">
        <f t="shared" si="14"/>
        <v>7059100</v>
      </c>
    </row>
    <row r="29" spans="1:32" hidden="1" x14ac:dyDescent="0.25">
      <c r="A29" s="210" t="s">
        <v>63</v>
      </c>
      <c r="B29" s="210">
        <v>800</v>
      </c>
      <c r="C29" s="325">
        <v>20213</v>
      </c>
      <c r="D29" s="325">
        <f t="shared" si="0"/>
        <v>35962400</v>
      </c>
      <c r="E29" s="326">
        <v>18501</v>
      </c>
      <c r="F29" s="326">
        <f t="shared" si="1"/>
        <v>26884100</v>
      </c>
      <c r="G29" s="326">
        <v>18739</v>
      </c>
      <c r="H29" s="326">
        <f t="shared" si="2"/>
        <v>22608700</v>
      </c>
      <c r="I29" s="326">
        <v>18220</v>
      </c>
      <c r="J29" s="326">
        <f t="shared" si="3"/>
        <v>20444700</v>
      </c>
      <c r="K29" s="326">
        <v>16394</v>
      </c>
      <c r="L29" s="326">
        <f t="shared" si="4"/>
        <v>17822900</v>
      </c>
      <c r="M29" s="326">
        <v>14154</v>
      </c>
      <c r="N29" s="326">
        <f t="shared" si="5"/>
        <v>15651600</v>
      </c>
      <c r="O29" s="326">
        <v>13967</v>
      </c>
      <c r="P29" s="326">
        <f t="shared" si="6"/>
        <v>14022100</v>
      </c>
      <c r="Q29" s="326">
        <v>13388</v>
      </c>
      <c r="R29" s="326">
        <f t="shared" si="7"/>
        <v>12911800</v>
      </c>
      <c r="S29" s="326">
        <v>12804</v>
      </c>
      <c r="T29" s="326">
        <f t="shared" si="8"/>
        <v>12056900</v>
      </c>
      <c r="U29" s="326">
        <v>12348</v>
      </c>
      <c r="V29" s="326">
        <f t="shared" si="9"/>
        <v>11050300</v>
      </c>
      <c r="W29" s="326">
        <v>11897</v>
      </c>
      <c r="X29" s="326">
        <f t="shared" si="10"/>
        <v>10493600</v>
      </c>
      <c r="Y29" s="326">
        <v>10044</v>
      </c>
      <c r="Z29" s="326">
        <f t="shared" si="11"/>
        <v>9840500</v>
      </c>
      <c r="AA29" s="326">
        <v>8936</v>
      </c>
      <c r="AB29" s="326">
        <f t="shared" si="12"/>
        <v>9189700</v>
      </c>
      <c r="AC29" s="326">
        <v>7184</v>
      </c>
      <c r="AD29" s="326">
        <f t="shared" si="13"/>
        <v>8240600</v>
      </c>
      <c r="AE29" s="326">
        <v>6118</v>
      </c>
      <c r="AF29" s="326">
        <f t="shared" si="14"/>
        <v>7670900</v>
      </c>
    </row>
    <row r="30" spans="1:32" hidden="1" x14ac:dyDescent="0.25">
      <c r="A30" s="210" t="s">
        <v>64</v>
      </c>
      <c r="B30" s="210">
        <v>900</v>
      </c>
      <c r="C30" s="325">
        <v>25258</v>
      </c>
      <c r="D30" s="325">
        <f t="shared" si="0"/>
        <v>38488200</v>
      </c>
      <c r="E30" s="326">
        <v>23415</v>
      </c>
      <c r="F30" s="326">
        <f t="shared" si="1"/>
        <v>29225600</v>
      </c>
      <c r="G30" s="326">
        <v>23415</v>
      </c>
      <c r="H30" s="326">
        <f t="shared" si="2"/>
        <v>24950200</v>
      </c>
      <c r="I30" s="326">
        <v>22656</v>
      </c>
      <c r="J30" s="326">
        <f t="shared" si="3"/>
        <v>22710300</v>
      </c>
      <c r="K30" s="326">
        <v>21508</v>
      </c>
      <c r="L30" s="326">
        <f t="shared" si="4"/>
        <v>19973700</v>
      </c>
      <c r="M30" s="326">
        <v>20158</v>
      </c>
      <c r="N30" s="326">
        <f t="shared" si="5"/>
        <v>17667400</v>
      </c>
      <c r="O30" s="326">
        <v>20107</v>
      </c>
      <c r="P30" s="326">
        <f t="shared" si="6"/>
        <v>16032800</v>
      </c>
      <c r="Q30" s="326">
        <v>19988</v>
      </c>
      <c r="R30" s="326">
        <f t="shared" si="7"/>
        <v>14910600</v>
      </c>
      <c r="S30" s="326">
        <v>19861</v>
      </c>
      <c r="T30" s="326">
        <f t="shared" si="8"/>
        <v>14043000</v>
      </c>
      <c r="U30" s="326">
        <v>19614</v>
      </c>
      <c r="V30" s="326">
        <f t="shared" si="9"/>
        <v>13011700</v>
      </c>
      <c r="W30" s="326">
        <v>19382</v>
      </c>
      <c r="X30" s="326">
        <f t="shared" si="10"/>
        <v>12431800</v>
      </c>
      <c r="Y30" s="326">
        <v>16111</v>
      </c>
      <c r="Z30" s="326">
        <f t="shared" si="11"/>
        <v>11451600</v>
      </c>
      <c r="AA30" s="326">
        <v>14026</v>
      </c>
      <c r="AB30" s="326">
        <f t="shared" si="12"/>
        <v>10592300</v>
      </c>
      <c r="AC30" s="326">
        <v>7158</v>
      </c>
      <c r="AD30" s="326">
        <f t="shared" si="13"/>
        <v>8956400</v>
      </c>
      <c r="AE30" s="326">
        <v>6062</v>
      </c>
      <c r="AF30" s="326">
        <f t="shared" si="14"/>
        <v>8277100</v>
      </c>
    </row>
    <row r="31" spans="1:32" hidden="1" x14ac:dyDescent="0.25">
      <c r="A31" s="210" t="s">
        <v>65</v>
      </c>
      <c r="B31" s="210">
        <v>1000</v>
      </c>
      <c r="C31" s="325">
        <v>25001</v>
      </c>
      <c r="D31" s="325">
        <f t="shared" si="0"/>
        <v>40988300</v>
      </c>
      <c r="E31" s="326">
        <v>23190</v>
      </c>
      <c r="F31" s="326">
        <f t="shared" si="1"/>
        <v>31544600</v>
      </c>
      <c r="G31" s="326">
        <v>23190</v>
      </c>
      <c r="H31" s="326">
        <f t="shared" si="2"/>
        <v>27269200</v>
      </c>
      <c r="I31" s="326">
        <v>23332</v>
      </c>
      <c r="J31" s="326">
        <f t="shared" si="3"/>
        <v>25043500</v>
      </c>
      <c r="K31" s="326">
        <v>21968</v>
      </c>
      <c r="L31" s="326">
        <f t="shared" si="4"/>
        <v>22170500</v>
      </c>
      <c r="M31" s="326">
        <v>21622</v>
      </c>
      <c r="N31" s="326">
        <f t="shared" si="5"/>
        <v>19829600</v>
      </c>
      <c r="O31" s="326">
        <v>20783</v>
      </c>
      <c r="P31" s="326">
        <f t="shared" si="6"/>
        <v>18111100</v>
      </c>
      <c r="Q31" s="326">
        <v>20366</v>
      </c>
      <c r="R31" s="326">
        <f t="shared" si="7"/>
        <v>16947200</v>
      </c>
      <c r="S31" s="326">
        <v>19943</v>
      </c>
      <c r="T31" s="326">
        <f t="shared" si="8"/>
        <v>16037300</v>
      </c>
      <c r="U31" s="326">
        <v>19871</v>
      </c>
      <c r="V31" s="326">
        <f t="shared" si="9"/>
        <v>14998800</v>
      </c>
      <c r="W31" s="326">
        <v>19249</v>
      </c>
      <c r="X31" s="326">
        <f t="shared" si="10"/>
        <v>14356700</v>
      </c>
      <c r="Y31" s="326">
        <v>18181</v>
      </c>
      <c r="Z31" s="326">
        <f t="shared" si="11"/>
        <v>13269700</v>
      </c>
      <c r="AA31" s="326">
        <v>16066</v>
      </c>
      <c r="AB31" s="326">
        <f t="shared" si="12"/>
        <v>12198900</v>
      </c>
      <c r="AC31" s="326">
        <v>7130</v>
      </c>
      <c r="AD31" s="326">
        <f t="shared" si="13"/>
        <v>9669400</v>
      </c>
      <c r="AE31" s="326">
        <v>6011</v>
      </c>
      <c r="AF31" s="326">
        <f t="shared" si="14"/>
        <v>8878200</v>
      </c>
    </row>
    <row r="32" spans="1:32" hidden="1" x14ac:dyDescent="0.25">
      <c r="A32" s="210" t="s">
        <v>66</v>
      </c>
      <c r="B32" s="210">
        <v>1100</v>
      </c>
      <c r="C32" s="325">
        <v>24751</v>
      </c>
      <c r="D32" s="325">
        <f t="shared" si="0"/>
        <v>43463400</v>
      </c>
      <c r="E32" s="326">
        <v>22575</v>
      </c>
      <c r="F32" s="326">
        <f t="shared" si="1"/>
        <v>33802100</v>
      </c>
      <c r="G32" s="326">
        <v>21758</v>
      </c>
      <c r="H32" s="326">
        <f t="shared" si="2"/>
        <v>29445000</v>
      </c>
      <c r="I32" s="326">
        <v>21064</v>
      </c>
      <c r="J32" s="326">
        <f t="shared" si="3"/>
        <v>27149900</v>
      </c>
      <c r="K32" s="326">
        <v>20168</v>
      </c>
      <c r="L32" s="326">
        <f t="shared" si="4"/>
        <v>24187300</v>
      </c>
      <c r="M32" s="326">
        <v>19825</v>
      </c>
      <c r="N32" s="326">
        <f t="shared" si="5"/>
        <v>21812100</v>
      </c>
      <c r="O32" s="326">
        <v>18009</v>
      </c>
      <c r="P32" s="326">
        <f t="shared" si="6"/>
        <v>19912000</v>
      </c>
      <c r="Q32" s="326">
        <v>17165</v>
      </c>
      <c r="R32" s="326">
        <f t="shared" si="7"/>
        <v>18663700</v>
      </c>
      <c r="S32" s="326">
        <v>16316</v>
      </c>
      <c r="T32" s="326">
        <f t="shared" si="8"/>
        <v>17668900</v>
      </c>
      <c r="U32" s="326">
        <v>7699</v>
      </c>
      <c r="V32" s="326">
        <f t="shared" si="9"/>
        <v>15768700</v>
      </c>
      <c r="W32" s="326">
        <v>7486</v>
      </c>
      <c r="X32" s="326">
        <f t="shared" si="10"/>
        <v>15105300</v>
      </c>
      <c r="Y32" s="326">
        <v>7412</v>
      </c>
      <c r="Z32" s="326">
        <f t="shared" si="11"/>
        <v>14010900</v>
      </c>
      <c r="AA32" s="326">
        <v>7340</v>
      </c>
      <c r="AB32" s="326">
        <f t="shared" si="12"/>
        <v>12932900</v>
      </c>
      <c r="AC32" s="326">
        <v>6600</v>
      </c>
      <c r="AD32" s="326">
        <f t="shared" si="13"/>
        <v>10329400</v>
      </c>
      <c r="AE32" s="326">
        <v>5966</v>
      </c>
      <c r="AF32" s="326">
        <f t="shared" si="14"/>
        <v>9474800</v>
      </c>
    </row>
    <row r="33" spans="1:32" hidden="1" x14ac:dyDescent="0.25">
      <c r="A33" s="210" t="s">
        <v>67</v>
      </c>
      <c r="B33" s="210">
        <v>1200</v>
      </c>
      <c r="C33" s="325">
        <v>26991</v>
      </c>
      <c r="D33" s="325">
        <f t="shared" si="0"/>
        <v>46162500</v>
      </c>
      <c r="E33" s="326">
        <v>25943</v>
      </c>
      <c r="F33" s="326">
        <f t="shared" si="1"/>
        <v>36396400</v>
      </c>
      <c r="G33" s="326">
        <v>21050</v>
      </c>
      <c r="H33" s="326">
        <f t="shared" si="2"/>
        <v>31550000</v>
      </c>
      <c r="I33" s="326">
        <v>20390</v>
      </c>
      <c r="J33" s="326">
        <f t="shared" si="3"/>
        <v>29188900</v>
      </c>
      <c r="K33" s="326">
        <v>19852</v>
      </c>
      <c r="L33" s="326">
        <f t="shared" si="4"/>
        <v>26172500</v>
      </c>
      <c r="M33" s="326">
        <v>19488</v>
      </c>
      <c r="N33" s="326">
        <f t="shared" si="5"/>
        <v>23760900</v>
      </c>
      <c r="O33" s="326">
        <v>17803</v>
      </c>
      <c r="P33" s="326">
        <f t="shared" si="6"/>
        <v>21692300</v>
      </c>
      <c r="Q33" s="326">
        <v>16905</v>
      </c>
      <c r="R33" s="326">
        <f t="shared" si="7"/>
        <v>20354200</v>
      </c>
      <c r="S33" s="326">
        <v>15843</v>
      </c>
      <c r="T33" s="326">
        <f t="shared" si="8"/>
        <v>19253200</v>
      </c>
      <c r="U33" s="326">
        <v>7623</v>
      </c>
      <c r="V33" s="326">
        <f t="shared" si="9"/>
        <v>16531000</v>
      </c>
      <c r="W33" s="326">
        <v>7335</v>
      </c>
      <c r="X33" s="326">
        <f t="shared" si="10"/>
        <v>15838800</v>
      </c>
      <c r="Y33" s="326">
        <v>7276</v>
      </c>
      <c r="Z33" s="326">
        <f t="shared" si="11"/>
        <v>14738500</v>
      </c>
      <c r="AA33" s="326">
        <v>7249</v>
      </c>
      <c r="AB33" s="326">
        <f t="shared" si="12"/>
        <v>13657800</v>
      </c>
      <c r="AC33" s="326">
        <v>6545</v>
      </c>
      <c r="AD33" s="326">
        <f t="shared" si="13"/>
        <v>10983900</v>
      </c>
      <c r="AE33" s="326">
        <v>5916</v>
      </c>
      <c r="AF33" s="326">
        <f t="shared" si="14"/>
        <v>10066400</v>
      </c>
    </row>
    <row r="34" spans="1:32" hidden="1" x14ac:dyDescent="0.25">
      <c r="A34" s="210" t="s">
        <v>68</v>
      </c>
      <c r="B34" s="210">
        <v>1300</v>
      </c>
      <c r="C34" s="325">
        <v>26638</v>
      </c>
      <c r="D34" s="325">
        <f t="shared" si="0"/>
        <v>48826300</v>
      </c>
      <c r="E34" s="326">
        <v>25605</v>
      </c>
      <c r="F34" s="326">
        <f t="shared" si="1"/>
        <v>38956900</v>
      </c>
      <c r="G34" s="326">
        <v>17908</v>
      </c>
      <c r="H34" s="326">
        <f t="shared" si="2"/>
        <v>33340800</v>
      </c>
      <c r="I34" s="326">
        <v>17269</v>
      </c>
      <c r="J34" s="326">
        <f t="shared" si="3"/>
        <v>30915800</v>
      </c>
      <c r="K34" s="326">
        <v>16881</v>
      </c>
      <c r="L34" s="326">
        <f t="shared" si="4"/>
        <v>27860600</v>
      </c>
      <c r="M34" s="326">
        <v>16517</v>
      </c>
      <c r="N34" s="326">
        <f t="shared" si="5"/>
        <v>25412600</v>
      </c>
      <c r="O34" s="326">
        <v>15951</v>
      </c>
      <c r="P34" s="326">
        <f t="shared" si="6"/>
        <v>23287400</v>
      </c>
      <c r="Q34" s="326">
        <v>16558</v>
      </c>
      <c r="R34" s="326">
        <f t="shared" si="7"/>
        <v>22010000</v>
      </c>
      <c r="S34" s="326">
        <v>15382</v>
      </c>
      <c r="T34" s="326">
        <f t="shared" si="8"/>
        <v>20791400</v>
      </c>
      <c r="U34" s="326">
        <v>7699</v>
      </c>
      <c r="V34" s="326">
        <f t="shared" si="9"/>
        <v>17300900</v>
      </c>
      <c r="W34" s="326">
        <v>7184</v>
      </c>
      <c r="X34" s="326">
        <f t="shared" si="10"/>
        <v>16557200</v>
      </c>
      <c r="Y34" s="326">
        <v>7148</v>
      </c>
      <c r="Z34" s="326">
        <f t="shared" si="11"/>
        <v>15453300</v>
      </c>
      <c r="AA34" s="326">
        <v>7099</v>
      </c>
      <c r="AB34" s="326">
        <f t="shared" si="12"/>
        <v>14367700</v>
      </c>
      <c r="AC34" s="326">
        <v>5361</v>
      </c>
      <c r="AD34" s="326">
        <f t="shared" si="13"/>
        <v>11520000</v>
      </c>
      <c r="AE34" s="326">
        <v>5875</v>
      </c>
      <c r="AF34" s="326">
        <f t="shared" si="14"/>
        <v>10653900</v>
      </c>
    </row>
    <row r="35" spans="1:32" hidden="1" x14ac:dyDescent="0.25">
      <c r="A35" s="210" t="s">
        <v>69</v>
      </c>
      <c r="B35" s="210">
        <v>1400</v>
      </c>
      <c r="C35" s="325">
        <v>26280</v>
      </c>
      <c r="D35" s="325">
        <f t="shared" si="0"/>
        <v>51454300</v>
      </c>
      <c r="E35" s="326">
        <v>25270</v>
      </c>
      <c r="F35" s="326">
        <f t="shared" si="1"/>
        <v>41483900</v>
      </c>
      <c r="G35" s="326">
        <v>17502</v>
      </c>
      <c r="H35" s="326">
        <f t="shared" si="2"/>
        <v>35091000</v>
      </c>
      <c r="I35" s="326">
        <v>16887</v>
      </c>
      <c r="J35" s="326">
        <f t="shared" si="3"/>
        <v>32604500</v>
      </c>
      <c r="K35" s="326">
        <v>166524</v>
      </c>
      <c r="L35" s="326">
        <f t="shared" si="4"/>
        <v>44513000</v>
      </c>
      <c r="M35" s="326">
        <v>16185</v>
      </c>
      <c r="N35" s="326">
        <f t="shared" si="5"/>
        <v>27031100</v>
      </c>
      <c r="O35" s="326">
        <v>15774</v>
      </c>
      <c r="P35" s="326">
        <f t="shared" si="6"/>
        <v>24864800</v>
      </c>
      <c r="Q35" s="326">
        <v>15345</v>
      </c>
      <c r="R35" s="326">
        <f t="shared" si="7"/>
        <v>23544500</v>
      </c>
      <c r="S35" s="326">
        <v>14917</v>
      </c>
      <c r="T35" s="326">
        <f t="shared" si="8"/>
        <v>22283100</v>
      </c>
      <c r="U35" s="326">
        <v>7637</v>
      </c>
      <c r="V35" s="326">
        <f t="shared" si="9"/>
        <v>18064600</v>
      </c>
      <c r="W35" s="326">
        <v>7034</v>
      </c>
      <c r="X35" s="326">
        <f t="shared" si="10"/>
        <v>17260600</v>
      </c>
      <c r="Y35" s="326">
        <v>7020</v>
      </c>
      <c r="Z35" s="326">
        <f t="shared" si="11"/>
        <v>16155300</v>
      </c>
      <c r="AA35" s="326">
        <v>6998</v>
      </c>
      <c r="AB35" s="326">
        <f t="shared" si="12"/>
        <v>15067500</v>
      </c>
      <c r="AC35" s="326">
        <v>5310</v>
      </c>
      <c r="AD35" s="326">
        <f t="shared" si="13"/>
        <v>12051000</v>
      </c>
      <c r="AE35" s="326">
        <v>5806</v>
      </c>
      <c r="AF35" s="326">
        <f t="shared" si="14"/>
        <v>11234500</v>
      </c>
    </row>
    <row r="36" spans="1:32" hidden="1" x14ac:dyDescent="0.25">
      <c r="A36" s="210" t="s">
        <v>70</v>
      </c>
      <c r="B36" s="210">
        <v>1500</v>
      </c>
      <c r="C36" s="325">
        <v>25927</v>
      </c>
      <c r="D36" s="325">
        <f t="shared" si="0"/>
        <v>54047000</v>
      </c>
      <c r="E36" s="326">
        <v>24932</v>
      </c>
      <c r="F36" s="326">
        <f t="shared" si="1"/>
        <v>43977100</v>
      </c>
      <c r="G36" s="326">
        <v>24569</v>
      </c>
      <c r="H36" s="326">
        <f t="shared" si="2"/>
        <v>37547900</v>
      </c>
      <c r="I36" s="326">
        <v>24203</v>
      </c>
      <c r="J36" s="326">
        <f t="shared" si="3"/>
        <v>35024800</v>
      </c>
      <c r="K36" s="326">
        <v>22284</v>
      </c>
      <c r="L36" s="326">
        <f t="shared" si="4"/>
        <v>46741400</v>
      </c>
      <c r="M36" s="326">
        <v>15195</v>
      </c>
      <c r="N36" s="326">
        <f t="shared" si="5"/>
        <v>28550600</v>
      </c>
      <c r="O36" s="326">
        <v>14783</v>
      </c>
      <c r="P36" s="326">
        <f t="shared" si="6"/>
        <v>26343100</v>
      </c>
      <c r="Q36" s="326">
        <v>14556</v>
      </c>
      <c r="R36" s="326">
        <f t="shared" si="7"/>
        <v>25000100</v>
      </c>
      <c r="S36" s="326">
        <v>14324</v>
      </c>
      <c r="T36" s="326">
        <f t="shared" si="8"/>
        <v>23715500</v>
      </c>
      <c r="U36" s="326">
        <v>13866</v>
      </c>
      <c r="V36" s="326">
        <f t="shared" si="9"/>
        <v>19451200</v>
      </c>
      <c r="W36" s="326">
        <v>12164</v>
      </c>
      <c r="X36" s="326">
        <f t="shared" si="10"/>
        <v>18477000</v>
      </c>
      <c r="Y36" s="326">
        <v>12001</v>
      </c>
      <c r="Z36" s="326">
        <f t="shared" si="11"/>
        <v>17355400</v>
      </c>
      <c r="AA36" s="326">
        <v>11841</v>
      </c>
      <c r="AB36" s="326">
        <f t="shared" si="12"/>
        <v>16251600</v>
      </c>
      <c r="AC36" s="326">
        <v>5373</v>
      </c>
      <c r="AD36" s="326">
        <f t="shared" si="13"/>
        <v>12588300</v>
      </c>
      <c r="AE36" s="326">
        <v>5761</v>
      </c>
      <c r="AF36" s="326">
        <f t="shared" si="14"/>
        <v>11810600</v>
      </c>
    </row>
    <row r="37" spans="1:32" hidden="1" x14ac:dyDescent="0.25">
      <c r="A37" s="210" t="s">
        <v>71</v>
      </c>
      <c r="B37" s="210">
        <v>1600</v>
      </c>
      <c r="C37" s="325">
        <v>23803</v>
      </c>
      <c r="D37" s="325">
        <f t="shared" si="0"/>
        <v>56427300</v>
      </c>
      <c r="E37" s="326">
        <v>23210</v>
      </c>
      <c r="F37" s="326">
        <f t="shared" si="1"/>
        <v>46298100</v>
      </c>
      <c r="G37" s="326">
        <v>16856</v>
      </c>
      <c r="H37" s="326">
        <f t="shared" si="2"/>
        <v>39233500</v>
      </c>
      <c r="I37" s="326">
        <v>15938</v>
      </c>
      <c r="J37" s="326">
        <f t="shared" si="3"/>
        <v>36618600</v>
      </c>
      <c r="K37" s="326">
        <v>15528</v>
      </c>
      <c r="L37" s="326">
        <f t="shared" si="4"/>
        <v>48294200</v>
      </c>
      <c r="M37" s="326">
        <v>15113</v>
      </c>
      <c r="N37" s="326">
        <f t="shared" si="5"/>
        <v>30061900</v>
      </c>
      <c r="O37" s="326">
        <v>14505</v>
      </c>
      <c r="P37" s="326">
        <f t="shared" si="6"/>
        <v>27793600</v>
      </c>
      <c r="Q37" s="326">
        <v>14209</v>
      </c>
      <c r="R37" s="326">
        <f t="shared" si="7"/>
        <v>26421000</v>
      </c>
      <c r="S37" s="326">
        <v>13912</v>
      </c>
      <c r="T37" s="326">
        <f t="shared" si="8"/>
        <v>25106700</v>
      </c>
      <c r="U37" s="326">
        <v>13452</v>
      </c>
      <c r="V37" s="326">
        <f t="shared" si="9"/>
        <v>20796400</v>
      </c>
      <c r="W37" s="326">
        <v>12033</v>
      </c>
      <c r="X37" s="326">
        <f t="shared" si="10"/>
        <v>19680300</v>
      </c>
      <c r="Y37" s="326">
        <v>11924</v>
      </c>
      <c r="Z37" s="326">
        <f t="shared" si="11"/>
        <v>18547800</v>
      </c>
      <c r="AA37" s="326">
        <v>11700</v>
      </c>
      <c r="AB37" s="326">
        <f t="shared" si="12"/>
        <v>17421600</v>
      </c>
      <c r="AC37" s="326">
        <v>5241</v>
      </c>
      <c r="AD37" s="326">
        <f t="shared" si="13"/>
        <v>13112400</v>
      </c>
      <c r="AE37" s="326">
        <v>5533</v>
      </c>
      <c r="AF37" s="326">
        <f t="shared" si="14"/>
        <v>12363900</v>
      </c>
    </row>
    <row r="38" spans="1:32" hidden="1" x14ac:dyDescent="0.25">
      <c r="A38" s="210" t="s">
        <v>72</v>
      </c>
      <c r="B38" s="210">
        <v>1700</v>
      </c>
      <c r="C38" s="325">
        <v>23866</v>
      </c>
      <c r="D38" s="325">
        <f t="shared" si="0"/>
        <v>58813900</v>
      </c>
      <c r="E38" s="326">
        <v>23095</v>
      </c>
      <c r="F38" s="326">
        <f t="shared" si="1"/>
        <v>48607600</v>
      </c>
      <c r="G38" s="326">
        <v>16554</v>
      </c>
      <c r="H38" s="326">
        <f t="shared" si="2"/>
        <v>40888900</v>
      </c>
      <c r="I38" s="326">
        <v>15815</v>
      </c>
      <c r="J38" s="326">
        <f t="shared" si="3"/>
        <v>38200100</v>
      </c>
      <c r="K38" s="326">
        <v>15039</v>
      </c>
      <c r="L38" s="326">
        <f t="shared" si="4"/>
        <v>49798100</v>
      </c>
      <c r="M38" s="326">
        <v>15035</v>
      </c>
      <c r="N38" s="326">
        <f t="shared" si="5"/>
        <v>31565400</v>
      </c>
      <c r="O38" s="326">
        <v>13593</v>
      </c>
      <c r="P38" s="326">
        <f t="shared" si="6"/>
        <v>29152900</v>
      </c>
      <c r="Q38" s="326">
        <v>13544</v>
      </c>
      <c r="R38" s="326">
        <f t="shared" si="7"/>
        <v>27775400</v>
      </c>
      <c r="S38" s="326">
        <v>13498</v>
      </c>
      <c r="T38" s="326">
        <f t="shared" si="8"/>
        <v>26456500</v>
      </c>
      <c r="U38" s="326">
        <v>13041</v>
      </c>
      <c r="V38" s="326">
        <f t="shared" si="9"/>
        <v>22100500</v>
      </c>
      <c r="W38" s="326">
        <v>11901</v>
      </c>
      <c r="X38" s="326">
        <f t="shared" si="10"/>
        <v>20870400</v>
      </c>
      <c r="Y38" s="326">
        <v>11792</v>
      </c>
      <c r="Z38" s="326">
        <f t="shared" si="11"/>
        <v>19727000</v>
      </c>
      <c r="AA38" s="326">
        <v>11560</v>
      </c>
      <c r="AB38" s="326">
        <f t="shared" si="12"/>
        <v>18577600</v>
      </c>
      <c r="AC38" s="326">
        <v>5081</v>
      </c>
      <c r="AD38" s="326">
        <f t="shared" si="13"/>
        <v>13620500</v>
      </c>
      <c r="AE38" s="326">
        <v>5317</v>
      </c>
      <c r="AF38" s="326">
        <f t="shared" si="14"/>
        <v>12895600</v>
      </c>
    </row>
    <row r="39" spans="1:32" hidden="1" x14ac:dyDescent="0.25">
      <c r="A39" s="210" t="s">
        <v>73</v>
      </c>
      <c r="B39" s="210">
        <v>1800</v>
      </c>
      <c r="C39" s="325">
        <v>23803</v>
      </c>
      <c r="D39" s="325">
        <f t="shared" si="0"/>
        <v>61194200</v>
      </c>
      <c r="E39" s="326">
        <v>22908</v>
      </c>
      <c r="F39" s="326">
        <f t="shared" si="1"/>
        <v>50898400</v>
      </c>
      <c r="G39" s="326">
        <v>16253</v>
      </c>
      <c r="H39" s="326">
        <f t="shared" si="2"/>
        <v>42514200</v>
      </c>
      <c r="I39" s="326">
        <v>15683</v>
      </c>
      <c r="J39" s="326">
        <f t="shared" si="3"/>
        <v>39768400</v>
      </c>
      <c r="K39" s="326">
        <v>15321</v>
      </c>
      <c r="L39" s="326">
        <f t="shared" si="4"/>
        <v>51330200</v>
      </c>
      <c r="M39" s="326">
        <v>14958</v>
      </c>
      <c r="N39" s="326">
        <f t="shared" si="5"/>
        <v>33061200</v>
      </c>
      <c r="O39" s="326">
        <v>13347</v>
      </c>
      <c r="P39" s="326">
        <f t="shared" si="6"/>
        <v>30487600</v>
      </c>
      <c r="Q39" s="326">
        <v>13287</v>
      </c>
      <c r="R39" s="326">
        <f t="shared" si="7"/>
        <v>29104100</v>
      </c>
      <c r="S39" s="326">
        <v>12882</v>
      </c>
      <c r="T39" s="326">
        <f t="shared" si="8"/>
        <v>27744700</v>
      </c>
      <c r="U39" s="326">
        <v>12632</v>
      </c>
      <c r="V39" s="326">
        <f t="shared" si="9"/>
        <v>23363700</v>
      </c>
      <c r="W39" s="326">
        <v>11796</v>
      </c>
      <c r="X39" s="326">
        <f t="shared" si="10"/>
        <v>22050000</v>
      </c>
      <c r="Y39" s="326">
        <v>11715</v>
      </c>
      <c r="Z39" s="326">
        <f t="shared" si="11"/>
        <v>20898500</v>
      </c>
      <c r="AA39" s="326">
        <v>11428</v>
      </c>
      <c r="AB39" s="326">
        <f t="shared" si="12"/>
        <v>19720400</v>
      </c>
      <c r="AC39" s="326">
        <v>5789</v>
      </c>
      <c r="AD39" s="326">
        <f t="shared" si="13"/>
        <v>14199400</v>
      </c>
      <c r="AE39" s="326">
        <v>5210</v>
      </c>
      <c r="AF39" s="326">
        <f t="shared" si="14"/>
        <v>13416600</v>
      </c>
    </row>
    <row r="40" spans="1:32" hidden="1" x14ac:dyDescent="0.25">
      <c r="A40" s="210" t="s">
        <v>74</v>
      </c>
      <c r="B40" s="210">
        <v>1900</v>
      </c>
      <c r="C40" s="325">
        <v>25576</v>
      </c>
      <c r="D40" s="325">
        <f t="shared" si="0"/>
        <v>63751800</v>
      </c>
      <c r="E40" s="326">
        <v>23929</v>
      </c>
      <c r="F40" s="326">
        <f t="shared" si="1"/>
        <v>53291300</v>
      </c>
      <c r="G40" s="326">
        <v>16517</v>
      </c>
      <c r="H40" s="326">
        <f t="shared" si="2"/>
        <v>44165900</v>
      </c>
      <c r="I40" s="326">
        <v>15603</v>
      </c>
      <c r="J40" s="326">
        <f t="shared" si="3"/>
        <v>41328700</v>
      </c>
      <c r="K40" s="326">
        <v>14834</v>
      </c>
      <c r="L40" s="326">
        <f t="shared" si="4"/>
        <v>52813600</v>
      </c>
      <c r="M40" s="326">
        <v>14679</v>
      </c>
      <c r="N40" s="326">
        <f t="shared" si="5"/>
        <v>34529100</v>
      </c>
      <c r="O40" s="326">
        <v>13069</v>
      </c>
      <c r="P40" s="326">
        <f t="shared" si="6"/>
        <v>31794500</v>
      </c>
      <c r="Q40" s="326">
        <v>12996</v>
      </c>
      <c r="R40" s="326">
        <f t="shared" si="7"/>
        <v>30403700</v>
      </c>
      <c r="S40" s="326">
        <v>12472</v>
      </c>
      <c r="T40" s="326">
        <f t="shared" si="8"/>
        <v>28991900</v>
      </c>
      <c r="U40" s="326">
        <v>12220</v>
      </c>
      <c r="V40" s="326">
        <f t="shared" si="9"/>
        <v>24585700</v>
      </c>
      <c r="W40" s="326">
        <v>11916</v>
      </c>
      <c r="X40" s="326">
        <f t="shared" si="10"/>
        <v>23241600</v>
      </c>
      <c r="Y40" s="326">
        <v>11619</v>
      </c>
      <c r="Z40" s="326">
        <f t="shared" si="11"/>
        <v>22060400</v>
      </c>
      <c r="AA40" s="326">
        <v>11289</v>
      </c>
      <c r="AB40" s="326">
        <f t="shared" si="12"/>
        <v>20849300</v>
      </c>
      <c r="AC40" s="326">
        <v>5286</v>
      </c>
      <c r="AD40" s="326">
        <f t="shared" si="13"/>
        <v>14728000</v>
      </c>
      <c r="AE40" s="326">
        <v>5091</v>
      </c>
      <c r="AF40" s="326">
        <f t="shared" si="14"/>
        <v>13925700</v>
      </c>
    </row>
    <row r="41" spans="1:32" hidden="1" x14ac:dyDescent="0.25">
      <c r="A41" s="210" t="s">
        <v>75</v>
      </c>
      <c r="B41" s="210">
        <v>2000</v>
      </c>
      <c r="C41" s="325">
        <v>25001</v>
      </c>
      <c r="D41" s="325">
        <f t="shared" si="0"/>
        <v>66251900</v>
      </c>
      <c r="E41" s="326">
        <v>23411</v>
      </c>
      <c r="F41" s="326">
        <f t="shared" si="1"/>
        <v>55632400</v>
      </c>
      <c r="G41" s="326">
        <v>16056</v>
      </c>
      <c r="H41" s="326">
        <f>H40+((B41-B40)*G41)</f>
        <v>45771500</v>
      </c>
      <c r="I41" s="326">
        <v>14601</v>
      </c>
      <c r="J41" s="326">
        <f t="shared" si="3"/>
        <v>42788800</v>
      </c>
      <c r="K41" s="326">
        <v>144429</v>
      </c>
      <c r="L41" s="326">
        <f t="shared" si="4"/>
        <v>67256500</v>
      </c>
      <c r="M41" s="326">
        <v>14332</v>
      </c>
      <c r="N41" s="326">
        <f t="shared" si="5"/>
        <v>35962300</v>
      </c>
      <c r="O41" s="326">
        <v>12794</v>
      </c>
      <c r="P41" s="326">
        <f t="shared" si="6"/>
        <v>33073900</v>
      </c>
      <c r="Q41" s="326">
        <v>12726</v>
      </c>
      <c r="R41" s="326">
        <f t="shared" si="7"/>
        <v>31676300</v>
      </c>
      <c r="S41" s="326">
        <v>12057</v>
      </c>
      <c r="T41" s="326">
        <f t="shared" si="8"/>
        <v>30197600</v>
      </c>
      <c r="U41" s="326">
        <v>11806</v>
      </c>
      <c r="V41" s="326">
        <f t="shared" si="9"/>
        <v>25766300</v>
      </c>
      <c r="W41" s="326">
        <v>11669</v>
      </c>
      <c r="X41" s="326">
        <f t="shared" si="10"/>
        <v>24408500</v>
      </c>
      <c r="Y41" s="326">
        <v>11536</v>
      </c>
      <c r="Z41" s="326">
        <f t="shared" si="11"/>
        <v>23214000</v>
      </c>
      <c r="AA41" s="326">
        <v>11148</v>
      </c>
      <c r="AB41" s="326">
        <f t="shared" si="12"/>
        <v>21964100</v>
      </c>
      <c r="AC41" s="326">
        <v>5019</v>
      </c>
      <c r="AD41" s="326">
        <f t="shared" si="13"/>
        <v>15229900</v>
      </c>
      <c r="AE41" s="326">
        <v>4929</v>
      </c>
      <c r="AF41" s="326">
        <f t="shared" si="14"/>
        <v>14418600</v>
      </c>
    </row>
    <row r="42" spans="1:32" hidden="1" x14ac:dyDescent="0.25">
      <c r="A42" s="210" t="s">
        <v>24</v>
      </c>
      <c r="B42" s="210">
        <v>2500</v>
      </c>
      <c r="C42" s="325">
        <v>25001</v>
      </c>
      <c r="D42" s="325">
        <f t="shared" si="0"/>
        <v>78752400</v>
      </c>
      <c r="E42" s="326">
        <v>23411</v>
      </c>
      <c r="F42" s="326">
        <f t="shared" si="1"/>
        <v>67337900</v>
      </c>
      <c r="G42" s="326">
        <v>16056</v>
      </c>
      <c r="H42" s="326">
        <f t="shared" si="2"/>
        <v>53799500</v>
      </c>
      <c r="I42" s="326">
        <v>14601</v>
      </c>
      <c r="J42" s="326">
        <f t="shared" si="3"/>
        <v>50089300</v>
      </c>
      <c r="K42" s="326">
        <v>14429</v>
      </c>
      <c r="L42" s="326">
        <f t="shared" si="4"/>
        <v>74471000</v>
      </c>
      <c r="M42" s="326">
        <v>14332</v>
      </c>
      <c r="N42" s="326">
        <f t="shared" si="5"/>
        <v>43128300</v>
      </c>
      <c r="O42" s="326">
        <v>13347</v>
      </c>
      <c r="P42" s="326">
        <f t="shared" si="6"/>
        <v>39747400</v>
      </c>
      <c r="Q42" s="326">
        <v>12726</v>
      </c>
      <c r="R42" s="326">
        <f t="shared" si="7"/>
        <v>38039300</v>
      </c>
      <c r="S42" s="326">
        <v>12057</v>
      </c>
      <c r="T42" s="326">
        <f t="shared" si="8"/>
        <v>36226100</v>
      </c>
      <c r="U42" s="326">
        <v>11806</v>
      </c>
      <c r="V42" s="326">
        <f t="shared" si="9"/>
        <v>31669300</v>
      </c>
      <c r="W42" s="326">
        <v>11669</v>
      </c>
      <c r="X42" s="326">
        <f t="shared" si="10"/>
        <v>30243000</v>
      </c>
      <c r="Y42" s="326">
        <v>11536</v>
      </c>
      <c r="Z42" s="326">
        <f t="shared" si="11"/>
        <v>28982000</v>
      </c>
      <c r="AA42" s="326">
        <v>11148</v>
      </c>
      <c r="AB42" s="326">
        <f t="shared" si="12"/>
        <v>27538100</v>
      </c>
      <c r="AC42" s="326">
        <v>4880</v>
      </c>
      <c r="AD42" s="326">
        <f t="shared" si="13"/>
        <v>17669900</v>
      </c>
      <c r="AE42" s="326">
        <v>4777</v>
      </c>
      <c r="AF42" s="326">
        <f t="shared" si="14"/>
        <v>16807100</v>
      </c>
    </row>
    <row r="43" spans="1:32" hidden="1" x14ac:dyDescent="0.25">
      <c r="A43" s="210" t="s">
        <v>25</v>
      </c>
      <c r="B43" s="210">
        <v>10000</v>
      </c>
      <c r="C43" s="325">
        <v>22762</v>
      </c>
      <c r="D43" s="325">
        <f t="shared" si="0"/>
        <v>249467400</v>
      </c>
      <c r="E43" s="326">
        <v>19478</v>
      </c>
      <c r="F43" s="326">
        <f t="shared" si="1"/>
        <v>213422900</v>
      </c>
      <c r="G43" s="326">
        <v>10427</v>
      </c>
      <c r="H43" s="326">
        <f>H42+((B43-B42)*G43)</f>
        <v>132002000</v>
      </c>
      <c r="I43" s="326">
        <v>9642</v>
      </c>
      <c r="J43" s="326">
        <f t="shared" si="3"/>
        <v>122404300</v>
      </c>
      <c r="K43" s="326">
        <v>88855</v>
      </c>
      <c r="L43" s="326">
        <f t="shared" si="4"/>
        <v>740883500</v>
      </c>
      <c r="M43" s="326">
        <v>8800</v>
      </c>
      <c r="N43" s="326">
        <f t="shared" si="5"/>
        <v>109128300</v>
      </c>
      <c r="O43" s="326">
        <v>7794</v>
      </c>
      <c r="P43" s="326">
        <f t="shared" si="6"/>
        <v>98202400</v>
      </c>
      <c r="Q43" s="326">
        <v>6787</v>
      </c>
      <c r="R43" s="326">
        <f t="shared" si="7"/>
        <v>88941800</v>
      </c>
      <c r="S43" s="326">
        <v>6535</v>
      </c>
      <c r="T43" s="326">
        <f t="shared" si="8"/>
        <v>85238600</v>
      </c>
      <c r="U43" s="326">
        <v>6282</v>
      </c>
      <c r="V43" s="326">
        <f t="shared" si="9"/>
        <v>78784300</v>
      </c>
      <c r="W43" s="326">
        <v>6157</v>
      </c>
      <c r="X43" s="326">
        <f t="shared" si="10"/>
        <v>76420500</v>
      </c>
      <c r="Y43" s="326">
        <v>6031</v>
      </c>
      <c r="Z43" s="326">
        <f t="shared" si="11"/>
        <v>74214500</v>
      </c>
      <c r="AA43" s="326">
        <v>5875</v>
      </c>
      <c r="AB43" s="326">
        <f t="shared" si="12"/>
        <v>71600600</v>
      </c>
      <c r="AC43" s="326">
        <v>2778</v>
      </c>
      <c r="AD43" s="326">
        <f t="shared" si="13"/>
        <v>38504900</v>
      </c>
      <c r="AE43" s="326">
        <v>2678</v>
      </c>
      <c r="AF43" s="326">
        <f t="shared" si="14"/>
        <v>36892100</v>
      </c>
    </row>
    <row r="44" spans="1:32" hidden="1" x14ac:dyDescent="0.25">
      <c r="A44" s="210" t="s">
        <v>26</v>
      </c>
      <c r="B44" s="210">
        <v>20000</v>
      </c>
      <c r="C44" s="325">
        <v>7253</v>
      </c>
      <c r="D44" s="325">
        <f t="shared" si="0"/>
        <v>321997400</v>
      </c>
      <c r="E44" s="326">
        <v>7134</v>
      </c>
      <c r="F44" s="326">
        <f t="shared" si="1"/>
        <v>284762900</v>
      </c>
      <c r="G44" s="326">
        <v>7020</v>
      </c>
      <c r="H44" s="326">
        <f t="shared" si="2"/>
        <v>202202000</v>
      </c>
      <c r="I44" s="326">
        <v>6957</v>
      </c>
      <c r="J44" s="326">
        <f t="shared" si="3"/>
        <v>191974300</v>
      </c>
      <c r="K44" s="326">
        <v>6898</v>
      </c>
      <c r="L44" s="326">
        <f t="shared" si="4"/>
        <v>809863500</v>
      </c>
      <c r="M44" s="326">
        <v>5890</v>
      </c>
      <c r="N44" s="326">
        <f t="shared" si="5"/>
        <v>168028300</v>
      </c>
      <c r="O44" s="326">
        <v>4884</v>
      </c>
      <c r="P44" s="326">
        <f t="shared" si="6"/>
        <v>147042400</v>
      </c>
      <c r="Q44" s="326">
        <v>3655</v>
      </c>
      <c r="R44" s="326">
        <f t="shared" si="7"/>
        <v>125491800</v>
      </c>
      <c r="S44" s="326">
        <v>3111</v>
      </c>
      <c r="T44" s="326">
        <f t="shared" si="8"/>
        <v>116348600</v>
      </c>
      <c r="U44" s="326">
        <v>2834</v>
      </c>
      <c r="V44" s="326">
        <f t="shared" si="9"/>
        <v>107124300</v>
      </c>
      <c r="W44" s="326">
        <v>2477</v>
      </c>
      <c r="X44" s="326">
        <f t="shared" si="10"/>
        <v>101190500</v>
      </c>
      <c r="Y44" s="326">
        <v>2116</v>
      </c>
      <c r="Z44" s="326">
        <f t="shared" si="11"/>
        <v>95374500</v>
      </c>
      <c r="AA44" s="326">
        <v>1929</v>
      </c>
      <c r="AB44" s="326">
        <f t="shared" si="12"/>
        <v>90890600</v>
      </c>
      <c r="AC44" s="326">
        <v>1742</v>
      </c>
      <c r="AD44" s="326">
        <f t="shared" si="13"/>
        <v>55924900</v>
      </c>
      <c r="AE44" s="326">
        <v>1575</v>
      </c>
      <c r="AF44" s="326">
        <f t="shared" si="14"/>
        <v>52642100</v>
      </c>
    </row>
    <row r="45" spans="1:32" hidden="1" x14ac:dyDescent="0.25">
      <c r="A45" s="210" t="s">
        <v>27</v>
      </c>
      <c r="B45" s="210">
        <v>40000</v>
      </c>
      <c r="C45" s="325">
        <v>5824</v>
      </c>
      <c r="D45" s="325">
        <f t="shared" si="0"/>
        <v>438477400</v>
      </c>
      <c r="E45" s="326">
        <v>5146</v>
      </c>
      <c r="F45" s="326">
        <f t="shared" si="1"/>
        <v>387682900</v>
      </c>
      <c r="G45" s="326">
        <v>4963</v>
      </c>
      <c r="H45" s="326">
        <f t="shared" si="2"/>
        <v>301462000</v>
      </c>
      <c r="I45" s="326">
        <v>4784</v>
      </c>
      <c r="J45" s="326">
        <f t="shared" si="3"/>
        <v>287654300</v>
      </c>
      <c r="K45" s="326">
        <v>4284</v>
      </c>
      <c r="L45" s="326">
        <f t="shared" si="4"/>
        <v>895543500</v>
      </c>
      <c r="M45" s="326">
        <v>3056</v>
      </c>
      <c r="N45" s="326">
        <f t="shared" si="5"/>
        <v>229148300</v>
      </c>
      <c r="O45" s="326">
        <v>2996</v>
      </c>
      <c r="P45" s="326">
        <f t="shared" si="6"/>
        <v>206962400</v>
      </c>
      <c r="Q45" s="326">
        <v>1879</v>
      </c>
      <c r="R45" s="326">
        <f t="shared" si="7"/>
        <v>163071800</v>
      </c>
      <c r="S45" s="326">
        <v>1797</v>
      </c>
      <c r="T45" s="326">
        <f t="shared" si="8"/>
        <v>152288600</v>
      </c>
      <c r="U45" s="326">
        <v>1711</v>
      </c>
      <c r="V45" s="326">
        <f t="shared" si="9"/>
        <v>141344300</v>
      </c>
      <c r="W45" s="326">
        <v>1633</v>
      </c>
      <c r="X45" s="326">
        <f t="shared" si="10"/>
        <v>133850500</v>
      </c>
      <c r="Y45" s="326">
        <v>1551</v>
      </c>
      <c r="Z45" s="326">
        <f t="shared" si="11"/>
        <v>126394500</v>
      </c>
      <c r="AA45" s="326">
        <v>1470</v>
      </c>
      <c r="AB45" s="326">
        <f t="shared" si="12"/>
        <v>120290600</v>
      </c>
      <c r="AC45" s="326">
        <v>816</v>
      </c>
      <c r="AD45" s="326">
        <f t="shared" si="13"/>
        <v>72244900</v>
      </c>
      <c r="AE45" s="326">
        <v>575</v>
      </c>
      <c r="AF45" s="326">
        <f t="shared" si="14"/>
        <v>64142100</v>
      </c>
    </row>
    <row r="46" spans="1:32" hidden="1" x14ac:dyDescent="0.25">
      <c r="A46" s="210" t="s">
        <v>28</v>
      </c>
      <c r="B46" s="210">
        <v>70000</v>
      </c>
      <c r="C46" s="325">
        <v>4540</v>
      </c>
      <c r="D46" s="325">
        <f t="shared" si="0"/>
        <v>574677400</v>
      </c>
      <c r="E46" s="326">
        <v>4134</v>
      </c>
      <c r="F46" s="326">
        <f t="shared" si="1"/>
        <v>511702900</v>
      </c>
      <c r="G46" s="326">
        <v>4034</v>
      </c>
      <c r="H46" s="326">
        <f t="shared" si="2"/>
        <v>422482000</v>
      </c>
      <c r="I46" s="326">
        <v>3673</v>
      </c>
      <c r="J46" s="326">
        <f t="shared" si="3"/>
        <v>397844300</v>
      </c>
      <c r="K46" s="326">
        <v>3166</v>
      </c>
      <c r="L46" s="326">
        <f t="shared" si="4"/>
        <v>990523500</v>
      </c>
      <c r="M46" s="326">
        <v>2597</v>
      </c>
      <c r="N46" s="326">
        <f t="shared" si="5"/>
        <v>307058300</v>
      </c>
      <c r="O46" s="326">
        <v>2477</v>
      </c>
      <c r="P46" s="326">
        <f t="shared" si="6"/>
        <v>281272400</v>
      </c>
      <c r="Q46" s="326">
        <v>2237</v>
      </c>
      <c r="R46" s="326">
        <f t="shared" si="7"/>
        <v>230181800</v>
      </c>
      <c r="S46" s="326">
        <v>1936</v>
      </c>
      <c r="T46" s="326">
        <f t="shared" si="8"/>
        <v>210368600</v>
      </c>
      <c r="U46" s="326">
        <v>1640</v>
      </c>
      <c r="V46" s="326">
        <f t="shared" si="9"/>
        <v>190544300</v>
      </c>
      <c r="W46" s="326">
        <v>1328</v>
      </c>
      <c r="X46" s="326">
        <f t="shared" si="10"/>
        <v>173690500</v>
      </c>
      <c r="Y46" s="326">
        <v>850</v>
      </c>
      <c r="Z46" s="326">
        <f t="shared" si="11"/>
        <v>151894500</v>
      </c>
      <c r="AA46" s="326">
        <v>715</v>
      </c>
      <c r="AB46" s="326">
        <f t="shared" si="12"/>
        <v>141740600</v>
      </c>
      <c r="AC46" s="326">
        <v>520</v>
      </c>
      <c r="AD46" s="326">
        <f t="shared" si="13"/>
        <v>87844900</v>
      </c>
      <c r="AE46" s="326">
        <v>547</v>
      </c>
      <c r="AF46" s="326">
        <f t="shared" si="14"/>
        <v>80552100</v>
      </c>
    </row>
    <row r="47" spans="1:32" hidden="1" x14ac:dyDescent="0.25">
      <c r="A47" s="210" t="s">
        <v>76</v>
      </c>
      <c r="B47" s="210"/>
      <c r="C47" s="325">
        <v>2012</v>
      </c>
      <c r="D47" s="325">
        <f t="shared" si="0"/>
        <v>433837400</v>
      </c>
      <c r="E47" s="326">
        <v>1874</v>
      </c>
      <c r="F47" s="326">
        <f t="shared" si="1"/>
        <v>380522900</v>
      </c>
      <c r="G47" s="326">
        <v>1848</v>
      </c>
      <c r="H47" s="326">
        <f t="shared" si="2"/>
        <v>293122000</v>
      </c>
      <c r="I47" s="326">
        <v>1738</v>
      </c>
      <c r="J47" s="326">
        <f t="shared" si="3"/>
        <v>276184300</v>
      </c>
      <c r="K47" s="326">
        <v>1488</v>
      </c>
      <c r="L47" s="326">
        <f t="shared" si="4"/>
        <v>886363500</v>
      </c>
      <c r="M47" s="326">
        <v>1218</v>
      </c>
      <c r="N47" s="326">
        <f t="shared" si="5"/>
        <v>221798300</v>
      </c>
      <c r="O47" s="326">
        <v>1079</v>
      </c>
      <c r="P47" s="326">
        <f t="shared" si="6"/>
        <v>205742400</v>
      </c>
      <c r="Q47" s="326">
        <v>1089</v>
      </c>
      <c r="R47" s="326">
        <f t="shared" si="7"/>
        <v>153951800</v>
      </c>
      <c r="S47" s="326">
        <v>707</v>
      </c>
      <c r="T47" s="326">
        <f t="shared" si="8"/>
        <v>160878600</v>
      </c>
      <c r="U47" s="326">
        <v>677</v>
      </c>
      <c r="V47" s="326">
        <f t="shared" si="9"/>
        <v>143154300</v>
      </c>
      <c r="W47" s="326">
        <v>641</v>
      </c>
      <c r="X47" s="326">
        <f t="shared" si="10"/>
        <v>128820500</v>
      </c>
      <c r="Y47" s="326">
        <v>401</v>
      </c>
      <c r="Z47" s="326">
        <f t="shared" si="11"/>
        <v>123824500</v>
      </c>
      <c r="AA47" s="326">
        <v>364</v>
      </c>
      <c r="AB47" s="326">
        <f t="shared" si="12"/>
        <v>116260600</v>
      </c>
      <c r="AC47" s="326">
        <v>361</v>
      </c>
      <c r="AD47" s="326">
        <f t="shared" si="13"/>
        <v>62574900</v>
      </c>
      <c r="AE47" s="326">
        <v>295</v>
      </c>
      <c r="AF47" s="326">
        <f t="shared" si="14"/>
        <v>59902100</v>
      </c>
    </row>
    <row r="48" spans="1:32" hidden="1" x14ac:dyDescent="0.25">
      <c r="D48" s="207">
        <f>IF(B11&lt;100,B11*C22,(IF($B$11&lt;=2500,(LOOKUP($B$11,$B$22:$B$47,D$22:D$47))+(($B$11-LOOKUP($B$11,$B$22:$B$47))*LOOKUP(($B$11+100),$B$22:$B$47,C$22:C$47)),IF((2500&lt;$B$11)*AND($B$11&lt;=10000),(LOOKUP($B$11,$B$22:$B$47,D$22:D$47))+(($B$11-LOOKUP($B$11,$B$22:$B$47))*LOOKUP(($B$11+7500),$B$22:$B$47,C$22:C$47)),IF((10000&lt;$B$11)*AND($B$11&lt;=20000),(LOOKUP($B$11,$B$22:$B$47,D$22:D$47))+(($B$11-LOOKUP($B$11,$B$22:$B$47))*LOOKUP(($B$11+10000),$B$22:$B$47,C$22:C$47)),IF((20000&lt;$B$11)*AND($B$11&lt;=40000),(LOOKUP($B$11,$B$22:$B$47,D$22:D$47))+(($B$11-LOOKUP($B$11,$B$22:$B$47))*LOOKUP(($B$11+20000),$B$22:$B$47,C$22:C$47)),IF((40000&lt;$B$11)*AND($B$11&lt;=70000),(LOOKUP($B$11,$B$22:$B$47,D$22:D$47))+(($B$11-LOOKUP($B$11,$B$22:$B$47))*LOOKUP(($B$11+30000),$B$22:$B$47,C$22:C$47)),(LOOKUP($B$11,$B$22:$B$47,D$22:D$47))+(($B$11-LOOKUP($B$11,$B$22:$B$47))*C$47))))))))</f>
        <v>6377336</v>
      </c>
      <c r="F48" s="207">
        <f>IF(B11&lt;100,B11*E22,(IF($B$11&lt;=2500,(LOOKUP($B$11,$B$22:$B$47,F$22:F$47))+(($B$11-LOOKUP($B$11,$B$22:$B$47))*LOOKUP(($B$11+100),$B$22:$B$47,E$22:E$47)),IF((2500&lt;$B$11)*AND($B$11&lt;=10000),(LOOKUP($B$11,$B$22:$B$47,F$22:F$47))+(($B$11-LOOKUP($B$11,$B$22:$B$47))*LOOKUP(($B$11+7500),$B$22:$B$47,E$22:E$47)),IF((10000&lt;$B$11)*AND($B$11&lt;=20000),(LOOKUP($B$11,$B$22:$B$47,F$22:F$47))+(($B$11-LOOKUP($B$11,$B$22:$B$47))*LOOKUP(($B$11+10000),$B$22:$B$47,E$22:E$47)),IF((20000&lt;$B$11)*AND($B$11&lt;=40000),(LOOKUP($B$11,$B$22:$B$47,F$22:F$47))+(($B$11-LOOKUP($B$11,$B$22:$B$47))*LOOKUP(($B$11+20000),$B$22:$B$47,E$22:E$47)),IF((40000&lt;$B$11)*AND($B$11&lt;=70000),(LOOKUP($B$11,$B$22:$B$47,F$22:F$47))+(($B$11-LOOKUP($B$11,$B$22:$B$47))*LOOKUP(($B$11+30000),$B$22:$B$47,E$22:E$47)),(LOOKUP($B$11,$B$22:$B$47,F$22:F$47))+(($B$11-LOOKUP($B$11,$B$22:$B$47))*E$47))))))))</f>
        <v>4169370</v>
      </c>
      <c r="H48" s="207">
        <f>IF(B11&lt;100,B11*G22,(IF($B$11&lt;=2500,(LOOKUP($B$11,$B$22:$B$47,H$22:H$47))+(($B$11-LOOKUP($B$11,$B$22:$B$47))*LOOKUP(($B$11+100),$B$22:$B$47,G$22:G$47)),IF((2500&lt;$B$11)*AND($B$11&lt;=10000),(LOOKUP($B$11,$B$22:$B$47,H$22:H$47))+(($B$11-LOOKUP($B$11,$B$22:$B$47))*LOOKUP(($B$11+7500),$B$22:$B$47,G$22:G$47)),IF((10000&lt;$B$11)*AND($B$11&lt;=20000),(LOOKUP($B$11,$B$22:$B$47,H$22:H$47))+(($B$11-LOOKUP($B$11,$B$22:$B$47))*LOOKUP(($B$11+10000),$B$22:$B$47,G$22:G$47)),IF((20000&lt;$B$11)*AND($B$11&lt;=40000),(LOOKUP($B$11,$B$22:$B$47,H$22:H$47))+(($B$11-LOOKUP($B$11,$B$22:$B$47))*LOOKUP(($B$11+20000),$B$22:$B$47,G$22:G$47)),IF((40000&lt;$B$11)*AND($B$11&lt;=70000),(LOOKUP($B$11,$B$22:$B$47,H$22:H$47))+(($B$11-LOOKUP($B$11,$B$22:$B$47))*LOOKUP(($B$11+30000),$B$22:$B$47,G$22:G$47)),(LOOKUP($B$11,$B$22:$B$47,H$22:H$47))+(($B$11-LOOKUP($B$11,$B$22:$B$47))*G$47))))))))</f>
        <v>3339162</v>
      </c>
      <c r="J48" s="207">
        <f>IF(B11&lt;100,B11*I22,(IF($B$11&lt;=2500,(LOOKUP($B$11,$B$22:$B$47,J$22:J$47))+(($B$11-LOOKUP($B$11,$B$22:$B$47))*LOOKUP(($B$11+100),$B$22:$B$47,I$22:I$47)),IF((2500&lt;$B$11)*AND($B$11&lt;=10000),(LOOKUP($B$11,$B$22:$B$47,J$22:J$47))+(($B$11-LOOKUP($B$11,$B$22:$B$47))*LOOKUP(($B$11+7500),$B$22:$B$47,I$22:I$47)),IF((10000&lt;$B$11)*AND($B$11&lt;=20000),(LOOKUP($B$11,$B$22:$B$47,J$22:J$47))+(($B$11-LOOKUP($B$11,$B$22:$B$47))*LOOKUP(($B$11+10000),$B$22:$B$47,I$22:I$47)),IF((20000&lt;$B$11)*AND($B$11&lt;=40000),(LOOKUP($B$11,$B$22:$B$47,J$22:J$47))+(($B$11-LOOKUP($B$11,$B$22:$B$47))*LOOKUP(($B$11+20000),$B$22:$B$47,I$22:I$47)),IF((40000&lt;$B$11)*AND($B$11&lt;=70000),(LOOKUP($B$11,$B$22:$B$47,J$22:J$47))+(($B$11-LOOKUP($B$11,$B$22:$B$47))*LOOKUP(($B$11+30000),$B$22:$B$47,I$22:I$47)),(LOOKUP($B$11,$B$22:$B$47,J$22:J$47))+(($B$11-LOOKUP($B$11,$B$22:$B$47))*I$47))))))))</f>
        <v>2905728</v>
      </c>
      <c r="L48" s="207">
        <f>IF(B11&lt;100,B11*K22,(IF($B$11&lt;=2500,(LOOKUP($B$11,$B$22:$B$47,L$22:L$47))+(($B$11-LOOKUP($B$11,$B$22:$B$47))*LOOKUP(($B$11+100),$B$22:$B$47,K$22:K$47)),IF((2500&lt;$B$11)*AND($B$11&lt;=10000),(LOOKUP($B$11,$B$22:$B$47,L$22:L$47))+(($B$11-LOOKUP($B$11,$B$22:$B$47))*LOOKUP(($B$11+7500),$B$22:$B$47,K$22:K$47)),IF((10000&lt;$B$11)*AND($B$11&lt;=20000),(LOOKUP($B$11,$B$22:$B$47,L$22:L$47))+(($B$11-LOOKUP($B$11,$B$22:$B$47))*LOOKUP(($B$11+10000),$B$22:$B$47,K$22:K$47)),IF((20000&lt;$B$11)*AND($B$11&lt;=40000),(LOOKUP($B$11,$B$22:$B$47,L$22:L$47))+(($B$11-LOOKUP($B$11,$B$22:$B$47))*LOOKUP(($B$11+20000),$B$22:$B$47,K$22:K$47)),IF((40000&lt;$B$11)*AND($B$11&lt;=70000),(LOOKUP($B$11,$B$22:$B$47,L$22:L$47))+(($B$11-LOOKUP($B$11,$B$22:$B$47))*LOOKUP(($B$11+30000),$B$22:$B$47,K$22:K$47)),(LOOKUP($B$11,$B$22:$B$47,L$22:L$47))+(($B$11-LOOKUP($B$11,$B$22:$B$47))*K$47))))))))</f>
        <v>2478592</v>
      </c>
      <c r="N48" s="207">
        <f>IF(B11&lt;100,B11*M22,(IF($B$11&lt;=2500,(LOOKUP($B$11,$B$22:$B$47,N$22:N$47))+(($B$11-LOOKUP($B$11,$B$22:$B$47))*LOOKUP(($B$11+100),$B$22:$B$47,M$22:M$47)),IF((2500&lt;$B$11)*AND($B$11&lt;=10000),(LOOKUP($B$11,$B$22:$B$47,N$22:N$47))+(($B$11-LOOKUP($B$11,$B$22:$B$47))*LOOKUP(($B$11+7500),$B$22:$B$47,M$22:M$47)),IF((10000&lt;$B$11)*AND($B$11&lt;=20000),(LOOKUP($B$11,$B$22:$B$47,N$22:N$47))+(($B$11-LOOKUP($B$11,$B$22:$B$47))*LOOKUP(($B$11+10000),$B$22:$B$47,M$22:M$47)),IF((20000&lt;$B$11)*AND($B$11&lt;=40000),(LOOKUP($B$11,$B$22:$B$47,N$22:N$47))+(($B$11-LOOKUP($B$11,$B$22:$B$47))*LOOKUP(($B$11+20000),$B$22:$B$47,M$22:M$47)),IF((40000&lt;$B$11)*AND($B$11&lt;=70000),(LOOKUP($B$11,$B$22:$B$47,N$22:N$47))+(($B$11-LOOKUP($B$11,$B$22:$B$47))*LOOKUP(($B$11+30000),$B$22:$B$47,M$22:M$47)),(LOOKUP($B$11,$B$22:$B$47,N$22:N$47))+(($B$11-LOOKUP($B$11,$B$22:$B$47))*M$47))))))))</f>
        <v>2218306</v>
      </c>
      <c r="P48" s="207">
        <f>IF(B11&lt;100,B11*O22,(IF($B$11&lt;=2500,(LOOKUP($B$11,$B$22:$B$47,P$22:P$47))+(($B$11-LOOKUP($B$11,$B$22:$B$47))*LOOKUP(($B$11+100),$B$22:$B$47,O$22:O$47)),IF((2500&lt;$B$11)*AND($B$11&lt;=10000),(LOOKUP($B$11,$B$22:$B$47,P$22:P$47))+(($B$11-LOOKUP($B$11,$B$22:$B$47))*LOOKUP(($B$11+7500),$B$22:$B$47,O$22:O$47)),IF((10000&lt;$B$11)*AND($B$11&lt;=20000),(LOOKUP($B$11,$B$22:$B$47,P$22:P$47))+(($B$11-LOOKUP($B$11,$B$22:$B$47))*LOOKUP(($B$11+10000),$B$22:$B$47,O$22:O$47)),IF((20000&lt;$B$11)*AND($B$11&lt;=40000),(LOOKUP($B$11,$B$22:$B$47,P$22:P$47))+(($B$11-LOOKUP($B$11,$B$22:$B$47))*LOOKUP(($B$11+20000),$B$22:$B$47,O$22:O$47)),IF((40000&lt;$B$11)*AND($B$11&lt;=70000),(LOOKUP($B$11,$B$22:$B$47,P$22:P$47))+(($B$11-LOOKUP($B$11,$B$22:$B$47))*LOOKUP(($B$11+30000),$B$22:$B$47,O$22:O$47)),(LOOKUP($B$11,$B$22:$B$47,P$22:P$47))+(($B$11-LOOKUP($B$11,$B$22:$B$47))*O$47))))))))</f>
        <v>2028144</v>
      </c>
      <c r="R48" s="207">
        <f>IF(B11&lt;100,B11*Q22,(IF($B$11&lt;=2500,(LOOKUP($B$11,$B$22:$B$47,R$22:R$47))+(($B$11-LOOKUP($B$11,$B$22:$B$47))*LOOKUP(($B$11+100),$B$22:$B$47,Q$22:Q$47)),IF((2500&lt;$B$11)*AND($B$11&lt;=10000),(LOOKUP($B$11,$B$22:$B$47,R$22:R$47))+(($B$11-LOOKUP($B$11,$B$22:$B$47))*LOOKUP(($B$11+7500),$B$22:$B$47,Q$22:Q$47)),IF((10000&lt;$B$11)*AND($B$11&lt;=20000),(LOOKUP($B$11,$B$22:$B$47,R$22:R$47))+(($B$11-LOOKUP($B$11,$B$22:$B$47))*LOOKUP(($B$11+10000),$B$22:$B$47,Q$22:Q$47)),IF((20000&lt;$B$11)*AND($B$11&lt;=40000),(LOOKUP($B$11,$B$22:$B$47,R$22:R$47))+(($B$11-LOOKUP($B$11,$B$22:$B$47))*LOOKUP(($B$11+20000),$B$22:$B$47,Q$22:Q$47)),IF((40000&lt;$B$11)*AND($B$11&lt;=70000),(LOOKUP($B$11,$B$22:$B$47,R$22:R$47))+(($B$11-LOOKUP($B$11,$B$22:$B$47))*LOOKUP(($B$11+30000),$B$22:$B$47,Q$22:Q$47)),(LOOKUP($B$11,$B$22:$B$47,R$22:R$47))+(($B$11-LOOKUP($B$11,$B$22:$B$47))*Q$47))))))))</f>
        <v>1912994</v>
      </c>
      <c r="T48" s="207">
        <f>IF(B11&lt;100,B11*S22,(IF($B$11&lt;=2500,(LOOKUP($B$11,$B$22:$B$47,T$22:T$47))+(($B$11-LOOKUP($B$11,$B$22:$B$47))*LOOKUP(($B$11+100),$B$22:$B$47,S$22:S$47)),IF((2500&lt;$B$11)*AND($B$11&lt;=10000),(LOOKUP($B$11,$B$22:$B$47,T$22:T$47))+(($B$11-LOOKUP($B$11,$B$22:$B$47))*LOOKUP(($B$11+7500),$B$22:$B$47,S$22:S$47)),IF((10000&lt;$B$11)*AND($B$11&lt;=20000),(LOOKUP($B$11,$B$22:$B$47,T$22:T$47))+(($B$11-LOOKUP($B$11,$B$22:$B$47))*LOOKUP(($B$11+10000),$B$22:$B$47,S$22:S$47)),IF((20000&lt;$B$11)*AND($B$11&lt;=40000),(LOOKUP($B$11,$B$22:$B$47,T$22:T$47))+(($B$11-LOOKUP($B$11,$B$22:$B$47))*LOOKUP(($B$11+20000),$B$22:$B$47,S$22:S$47)),IF((40000&lt;$B$11)*AND($B$11&lt;=70000),(LOOKUP($B$11,$B$22:$B$47,T$22:T$47))+(($B$11-LOOKUP($B$11,$B$22:$B$47))*LOOKUP(($B$11+30000),$B$22:$B$47,S$22:S$47)),(LOOKUP($B$11,$B$22:$B$47,T$22:T$47))+(($B$11-LOOKUP($B$11,$B$22:$B$47))*S$47))))))))</f>
        <v>1624602</v>
      </c>
      <c r="V48" s="207">
        <f>IF(B11&lt;100,B11*U22,(IF($B$11&lt;=2500,(LOOKUP($B$11,$B$22:$B$47,V$22:V$47))+(($B$11-LOOKUP($B$11,$B$22:$B$47))*LOOKUP(($B$11+100),$B$22:$B$47,U$22:U$47)),IF((2500&lt;$B$11)*AND($B$11&lt;=10000),(LOOKUP($B$11,$B$22:$B$47,V$22:V$47))+(($B$11-LOOKUP($B$11,$B$22:$B$47))*LOOKUP(($B$11+7500),$B$22:$B$47,U$22:U$47)),IF((10000&lt;$B$11)*AND($B$11&lt;=20000),(LOOKUP($B$11,$B$22:$B$47,V$22:V$47))+(($B$11-LOOKUP($B$11,$B$22:$B$47))*LOOKUP(($B$11+10000),$B$22:$B$47,U$22:U$47)),IF((20000&lt;$B$11)*AND($B$11&lt;=40000),(LOOKUP($B$11,$B$22:$B$47,V$22:V$47))+(($B$11-LOOKUP($B$11,$B$22:$B$47))*LOOKUP(($B$11+20000),$B$22:$B$47,U$22:U$47)),IF((40000&lt;$B$11)*AND($B$11&lt;=70000),(LOOKUP($B$11,$B$22:$B$47,V$22:V$47))+(($B$11-LOOKUP($B$11,$B$22:$B$47))*LOOKUP(($B$11+30000),$B$22:$B$47,U$22:U$47)),(LOOKUP($B$11,$B$22:$B$47,V$22:V$47))+(($B$11-LOOKUP($B$11,$B$22:$B$47))*U$47))))))))</f>
        <v>1529098</v>
      </c>
      <c r="X48" s="207">
        <f>IF(B11&lt;100,B11*W22,(IF($B$11&lt;=2500,(LOOKUP($B$11,$B$22:$B$47,X$22:X$47))+(($B$11-LOOKUP($B$11,$B$22:$B$47))*LOOKUP(($B$11+100),$B$22:$B$47,W$22:W$47)),IF((2500&lt;$B$11)*AND($B$11&lt;=10000),(LOOKUP($B$11,$B$22:$B$47,X$22:X$47))+(($B$11-LOOKUP($B$11,$B$22:$B$47))*LOOKUP(($B$11+7500),$B$22:$B$47,W$22:W$47)),IF((10000&lt;$B$11)*AND($B$11&lt;=20000),(LOOKUP($B$11,$B$22:$B$47,X$22:X$47))+(($B$11-LOOKUP($B$11,$B$22:$B$47))*LOOKUP(($B$11+10000),$B$22:$B$47,W$22:W$47)),IF((20000&lt;$B$11)*AND($B$11&lt;=40000),(LOOKUP($B$11,$B$22:$B$47,X$22:X$47))+(($B$11-LOOKUP($B$11,$B$22:$B$47))*LOOKUP(($B$11+20000),$B$22:$B$47,W$22:W$47)),IF((40000&lt;$B$11)*AND($B$11&lt;=70000),(LOOKUP($B$11,$B$22:$B$47,X$22:X$47))+(($B$11-LOOKUP($B$11,$B$22:$B$47))*LOOKUP(($B$11+30000),$B$22:$B$47,W$22:W$47)),(LOOKUP($B$11,$B$22:$B$47,X$22:X$47))+(($B$11-LOOKUP($B$11,$B$22:$B$47))*W$47))))))))</f>
        <v>1428988</v>
      </c>
      <c r="Z48" s="207">
        <f>IF(B11&lt;100,B11*Y22,(IF($B$11&lt;=2500,(LOOKUP($B$11,$B$22:$B$47,Z$22:Z$47))+(($B$11-LOOKUP($B$11,$B$22:$B$47))*LOOKUP(($B$11+100),$B$22:$B$47,Y$22:Y$47)),IF((2500&lt;$B$11)*AND($B$11&lt;=10000),(LOOKUP($B$11,$B$22:$B$47,Z$22:Z$47))+(($B$11-LOOKUP($B$11,$B$22:$B$47))*LOOKUP(($B$11+7500),$B$22:$B$47,Y$22:Y$47)),IF((10000&lt;$B$11)*AND($B$11&lt;=20000),(LOOKUP($B$11,$B$22:$B$47,Z$22:Z$47))+(($B$11-LOOKUP($B$11,$B$22:$B$47))*LOOKUP(($B$11+10000),$B$22:$B$47,Y$22:Y$47)),IF((20000&lt;$B$11)*AND($B$11&lt;=40000),(LOOKUP($B$11,$B$22:$B$47,Z$22:Z$47))+(($B$11-LOOKUP($B$11,$B$22:$B$47))*LOOKUP(($B$11+20000),$B$22:$B$47,Y$22:Y$47)),IF((40000&lt;$B$11)*AND($B$11&lt;=70000),(LOOKUP($B$11,$B$22:$B$47,Z$22:Z$47))+(($B$11-LOOKUP($B$11,$B$22:$B$47))*LOOKUP(($B$11+30000),$B$22:$B$47,Y$22:Y$47)),(LOOKUP($B$11,$B$22:$B$47,Z$22:Z$47))+(($B$11-LOOKUP($B$11,$B$22:$B$47))*Y$47))))))))</f>
        <v>1368546</v>
      </c>
      <c r="AB48" s="207">
        <f>IF(B11&lt;100,B11*AA22,(IF($B$11&lt;=2500,(LOOKUP($B$11,$B$22:$B$47,AB$22:AB$47))+(($B$11-LOOKUP($B$11,$B$22:$B$47))*LOOKUP(($B$11+100),$B$22:$B$47,AA$22:AA$47)),IF((2500&lt;$B$11)*AND($B$11&lt;=10000),(LOOKUP($B$11,$B$22:$B$47,AB$22:AB$47))+(($B$11-LOOKUP($B$11,$B$22:$B$47))*LOOKUP(($B$11+7500),$B$22:$B$47,AA$22:AA$47)),IF((10000&lt;$B$11)*AND($B$11&lt;=20000),(LOOKUP($B$11,$B$22:$B$47,AB$22:AB$47))+(($B$11-LOOKUP($B$11,$B$22:$B$47))*LOOKUP(($B$11+10000),$B$22:$B$47,AA$22:AA$47)),IF((20000&lt;$B$11)*AND($B$11&lt;=40000),(LOOKUP($B$11,$B$22:$B$47,AB$22:AB$47))+(($B$11-LOOKUP($B$11,$B$22:$B$47))*LOOKUP(($B$11+20000),$B$22:$B$47,AA$22:AA$47)),IF((40000&lt;$B$11)*AND($B$11&lt;=70000),(LOOKUP($B$11,$B$22:$B$47,AB$22:AB$47))+(($B$11-LOOKUP($B$11,$B$22:$B$47))*LOOKUP(($B$11+30000),$B$22:$B$47,AA$22:AA$47)),(LOOKUP($B$11,$B$22:$B$47,AB$22:AB$47))+(($B$11-LOOKUP($B$11,$B$22:$B$47))*AA$47))))))))</f>
        <v>1331792</v>
      </c>
      <c r="AD48" s="207">
        <f>IF(B11&lt;100,B11*AC22,(IF($B$11&lt;=2500,(LOOKUP($B$11,$B$22:$B$47,AD$22:AD$47))+(($B$11-LOOKUP($B$11,$B$22:$B$47))*LOOKUP(($B$11+100),$B$22:$B$47,AC$22:AC$47)),IF((2500&lt;$B$11)*AND($B$11&lt;=10000),(LOOKUP($B$11,$B$22:$B$47,AD$22:AD$47))+(($B$11-LOOKUP($B$11,$B$22:$B$47))*LOOKUP(($B$11+7500),$B$22:$B$47,AC$22:AC$47)),IF((10000&lt;$B$11)*AND($B$11&lt;=20000),(LOOKUP($B$11,$B$22:$B$47,AD$22:AD$47))+(($B$11-LOOKUP($B$11,$B$22:$B$47))*LOOKUP(($B$11+10000),$B$22:$B$47,AC$22:AC$47)),IF((20000&lt;$B$11)*AND($B$11&lt;=40000),(LOOKUP($B$11,$B$22:$B$47,AD$22:AD$47))+(($B$11-LOOKUP($B$11,$B$22:$B$47))*LOOKUP(($B$11+20000),$B$22:$B$47,AC$22:AC$47)),IF((40000&lt;$B$11)*AND($B$11&lt;=70000),(LOOKUP($B$11,$B$22:$B$47,AD$22:AD$47))+(($B$11-LOOKUP($B$11,$B$22:$B$47))*LOOKUP(($B$11+30000),$B$22:$B$47,AC$22:AC$47)),(LOOKUP($B$11,$B$22:$B$47,AD$22:AD$47))+(($B$11-LOOKUP($B$11,$B$22:$B$47))*AC$47))))))))</f>
        <v>1247850</v>
      </c>
      <c r="AF48" s="207">
        <f>IF(B11&lt;100,B11*AE22,(IF($B$11&lt;=2500,(LOOKUP($B$11,$B$22:$B$47,AF$22:AF$47))+(($B$11-LOOKUP($B$11,$B$22:$B$47))*LOOKUP(($B$11+100),$B$22:$B$47,AE$22:AE$47)),IF((2500&lt;$B$11)*AND($B$11&lt;=10000),(LOOKUP($B$11,$B$22:$B$47,AF$22:AF$47))+(($B$11-LOOKUP($B$11,$B$22:$B$47))*LOOKUP(($B$11+7500),$B$22:$B$47,AE$22:AE$47)),IF((10000&lt;$B$11)*AND($B$11&lt;=20000),(LOOKUP($B$11,$B$22:$B$47,AF$22:AF$47))+(($B$11-LOOKUP($B$11,$B$22:$B$47))*LOOKUP(($B$11+10000),$B$22:$B$47,AE$22:AE$47)),IF((20000&lt;$B$11)*AND($B$11&lt;=40000),(LOOKUP($B$11,$B$22:$B$47,AF$22:AF$47))+(($B$11-LOOKUP($B$11,$B$22:$B$47))*LOOKUP(($B$11+20000),$B$22:$B$47,AE$22:AE$47)),IF((40000&lt;$B$11)*AND($B$11&lt;=70000),(LOOKUP($B$11,$B$22:$B$47,AF$22:AF$47))+(($B$11-LOOKUP($B$11,$B$22:$B$47))*LOOKUP(($B$11+30000),$B$22:$B$47,AE$22:AE$47)),(LOOKUP($B$11,$B$22:$B$47,AF$22:AF$47))+(($B$11-LOOKUP($B$11,$B$22:$B$47))*AC$47))))))))</f>
        <v>1192672</v>
      </c>
    </row>
    <row r="49" spans="1:24" ht="18" x14ac:dyDescent="0.25">
      <c r="A49" s="330" t="s">
        <v>78</v>
      </c>
      <c r="B49" s="215">
        <f>'Fence and Compund'!F207</f>
        <v>200000</v>
      </c>
    </row>
    <row r="50" spans="1:24" ht="30" customHeight="1" x14ac:dyDescent="0.25">
      <c r="A50" s="331" t="s">
        <v>30</v>
      </c>
      <c r="B50" s="408" t="s">
        <v>31</v>
      </c>
      <c r="C50" s="408"/>
      <c r="D50" s="209">
        <f>Area!D15</f>
        <v>224.37719999999996</v>
      </c>
      <c r="E50" s="216"/>
      <c r="F50" s="216"/>
      <c r="G50" s="217"/>
    </row>
    <row r="51" spans="1:24" ht="20.100000000000001" customHeight="1" x14ac:dyDescent="0.25">
      <c r="A51" s="218" t="s">
        <v>32</v>
      </c>
      <c r="B51" s="219"/>
      <c r="C51" s="219"/>
      <c r="D51" s="220">
        <f>IF(D50=0,0,IF(D50&lt;=200,4.37-D50*0.014,IF(D50&lt;=2000,2.34-D50/1103,IF(D50&lt;=2800,1.2-D50/3025,IF(2800&lt;D50,0.2)))))</f>
        <v>2.1365755213055304</v>
      </c>
      <c r="E51" s="221" t="s">
        <v>181</v>
      </c>
      <c r="F51" s="305">
        <f>Area!F15</f>
        <v>9446280.1199999992</v>
      </c>
      <c r="G51" s="222" t="s">
        <v>29</v>
      </c>
      <c r="H51" s="220"/>
      <c r="I51" s="220"/>
      <c r="J51" s="220"/>
    </row>
    <row r="52" spans="1:24" ht="20.100000000000001" customHeight="1" x14ac:dyDescent="0.25">
      <c r="A52" s="218" t="s">
        <v>34</v>
      </c>
      <c r="B52" s="219"/>
      <c r="C52" s="219"/>
      <c r="D52" s="246">
        <f>IF(A51="Water Supply &amp; Drain Line", D51*(F51+B49)/100,0)</f>
        <v>206100.0597604817</v>
      </c>
      <c r="E52" s="223" t="s">
        <v>29</v>
      </c>
      <c r="F52" s="223"/>
      <c r="G52" s="224"/>
      <c r="H52" s="223"/>
      <c r="I52" s="223"/>
      <c r="J52" s="223"/>
      <c r="K52" s="223"/>
      <c r="L52" s="223"/>
      <c r="M52" s="223"/>
      <c r="N52" s="223"/>
      <c r="O52" s="223"/>
      <c r="P52" s="221"/>
      <c r="Q52" s="221"/>
      <c r="R52" s="221"/>
      <c r="S52" s="221"/>
      <c r="T52" s="221"/>
      <c r="U52" s="221"/>
      <c r="V52" s="221"/>
    </row>
    <row r="53" spans="1:24" ht="20.100000000000001" customHeight="1" x14ac:dyDescent="0.25">
      <c r="A53" s="218" t="s">
        <v>34</v>
      </c>
      <c r="B53" s="203">
        <v>1</v>
      </c>
      <c r="C53" s="225" t="s">
        <v>186</v>
      </c>
      <c r="D53" s="226">
        <f>IF(AND(A53="Septic tank",F51&lt;&gt;0),IF(D50&lt;=200,10,IF(D50&lt;1000,ROUND(((D50-200)/80+10),2),IF(D50=1000,20,IF(D50&lt;2000,ROUND(((D50-1000)/100+20),2),IF(D50=2000,30,IF(D50&lt;3000,ROUND(((D50-2000)*0.03+30),2),IF(D50&gt;=3000,60))))))),0)</f>
        <v>10.3</v>
      </c>
      <c r="E53" s="221" t="s">
        <v>182</v>
      </c>
      <c r="F53" s="247">
        <f>ROUND((B53*D53),2)</f>
        <v>10.3</v>
      </c>
      <c r="G53" s="227"/>
    </row>
    <row r="54" spans="1:24" ht="20.100000000000001" customHeight="1" x14ac:dyDescent="0.25">
      <c r="A54" s="218"/>
      <c r="B54" s="403" t="s">
        <v>187</v>
      </c>
      <c r="C54" s="403"/>
      <c r="D54" s="226">
        <f>IF(D53=0,0,3064*F53+23793)</f>
        <v>55352.2</v>
      </c>
      <c r="E54" s="226" t="s">
        <v>29</v>
      </c>
      <c r="F54" s="226"/>
      <c r="G54" s="227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</row>
    <row r="55" spans="1:24" ht="20.100000000000001" customHeight="1" x14ac:dyDescent="0.25">
      <c r="A55" s="218" t="s">
        <v>36</v>
      </c>
      <c r="B55" s="219"/>
      <c r="C55" s="219"/>
      <c r="D55" s="219"/>
      <c r="E55" s="221"/>
      <c r="F55" s="221"/>
      <c r="G55" s="228"/>
    </row>
    <row r="56" spans="1:24" ht="20.100000000000001" customHeight="1" x14ac:dyDescent="0.25">
      <c r="A56" s="218" t="s">
        <v>37</v>
      </c>
      <c r="B56" s="219"/>
      <c r="C56" s="219"/>
      <c r="D56" s="209">
        <f>D54+D52</f>
        <v>261452.25976048171</v>
      </c>
      <c r="E56" s="221"/>
      <c r="F56" s="221"/>
      <c r="G56" s="228"/>
    </row>
    <row r="57" spans="1:24" ht="20.100000000000001" customHeight="1" x14ac:dyDescent="0.25">
      <c r="A57" s="218" t="s">
        <v>39</v>
      </c>
      <c r="B57" s="219"/>
      <c r="C57" s="219"/>
      <c r="D57" s="219"/>
      <c r="E57" s="221"/>
      <c r="F57" s="221"/>
      <c r="G57" s="228"/>
    </row>
    <row r="58" spans="1:24" ht="20.100000000000001" customHeight="1" x14ac:dyDescent="0.25">
      <c r="A58" s="218"/>
      <c r="B58" s="210" t="s">
        <v>183</v>
      </c>
      <c r="C58" s="402" t="s">
        <v>35</v>
      </c>
      <c r="D58" s="402"/>
      <c r="E58" s="402" t="s">
        <v>38</v>
      </c>
      <c r="F58" s="402"/>
      <c r="G58" s="228"/>
    </row>
    <row r="59" spans="1:24" ht="20.100000000000001" customHeight="1" x14ac:dyDescent="0.25">
      <c r="A59" s="218"/>
      <c r="B59" s="210">
        <f>D50</f>
        <v>224.37719999999996</v>
      </c>
      <c r="C59" s="407">
        <f>IF(C58="Intake line &amp; man holes",(IF(B59&lt;=200,0.35,IF(B59&lt;=1000,0.35+(0.59-0.35)/(1000-200)*(B59-200),IF(B59&lt;=2000,(0.89-0.59)*(B59-1000)/(2000-1000)+0.59,IF(B59&lt;3000,(1.01-0.89)/(3000-200)*(B59-2000)+0.89,IF(B59&gt;=3000,1.01)))))),0)</f>
        <v>0.35731315999999996</v>
      </c>
      <c r="D59" s="407"/>
      <c r="E59" s="407">
        <f>IF(E58="Compound lighting",(IF(B59&lt;=200,0.26,IF(B59&lt;=1000,0.26+(0.45-0.26)/(1000-200)*(B59-200),IF(B59&lt;=2000,(0.69-0.45)/(2000-1000)*(B59-1000)+0.45,IF(B59&lt;3000,(0.36-0.69)/(3000-2000)*(B59-2000)+0.69,IF(B59&gt;=3000,0.36)))))),0)</f>
        <v>0.26578958499999999</v>
      </c>
      <c r="F59" s="407"/>
      <c r="G59" s="227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1"/>
      <c r="S59" s="221"/>
      <c r="T59" s="221"/>
      <c r="U59" s="221"/>
      <c r="V59" s="221"/>
      <c r="W59" s="221"/>
      <c r="X59" s="221"/>
    </row>
    <row r="60" spans="1:24" ht="20.100000000000001" customHeight="1" x14ac:dyDescent="0.25">
      <c r="A60" s="218"/>
      <c r="B60" s="210" t="s">
        <v>184</v>
      </c>
      <c r="C60" s="417">
        <f>C59+E59</f>
        <v>0.62310274499999996</v>
      </c>
      <c r="D60" s="418"/>
      <c r="E60" s="418"/>
      <c r="F60" s="418"/>
      <c r="G60" s="228"/>
    </row>
    <row r="61" spans="1:24" ht="20.100000000000001" customHeight="1" x14ac:dyDescent="0.25">
      <c r="A61" s="218"/>
      <c r="B61" s="219"/>
      <c r="C61" s="219"/>
      <c r="D61" s="219"/>
      <c r="E61" s="221"/>
      <c r="F61" s="221"/>
      <c r="G61" s="228"/>
    </row>
    <row r="62" spans="1:24" ht="20.100000000000001" customHeight="1" x14ac:dyDescent="0.25">
      <c r="A62" s="218"/>
      <c r="B62" s="219"/>
      <c r="C62" s="229">
        <f>C60</f>
        <v>0.62310274499999996</v>
      </c>
      <c r="D62" s="409">
        <f>F51</f>
        <v>9446280.1199999992</v>
      </c>
      <c r="E62" s="410"/>
      <c r="F62" s="221" t="s">
        <v>29</v>
      </c>
      <c r="G62" s="228"/>
    </row>
    <row r="63" spans="1:24" ht="20.100000000000001" customHeight="1" x14ac:dyDescent="0.25">
      <c r="A63" s="218"/>
      <c r="B63" s="219"/>
      <c r="C63" s="411">
        <f>IF(OR(C60=0,F51=0),0,MAX(C62*D62/100,7500))</f>
        <v>58860.030728109283</v>
      </c>
      <c r="D63" s="412"/>
      <c r="E63" s="231" t="s">
        <v>29</v>
      </c>
      <c r="F63" s="231"/>
      <c r="G63" s="232"/>
    </row>
    <row r="64" spans="1:24" ht="33" customHeight="1" x14ac:dyDescent="0.25">
      <c r="A64" s="332" t="s">
        <v>40</v>
      </c>
      <c r="B64" s="233" t="s">
        <v>33</v>
      </c>
      <c r="C64" s="413">
        <f>'Fence and Compund'!F145</f>
        <v>108710.25</v>
      </c>
      <c r="D64" s="413"/>
      <c r="E64" s="219" t="s">
        <v>29</v>
      </c>
      <c r="F64" s="221"/>
      <c r="G64" s="228"/>
    </row>
    <row r="65" spans="1:11" ht="30" customHeight="1" x14ac:dyDescent="0.25">
      <c r="A65" s="333" t="s">
        <v>41</v>
      </c>
      <c r="B65" s="234" t="s">
        <v>33</v>
      </c>
      <c r="C65" s="414">
        <f>C64+C63+D56</f>
        <v>429022.54048859101</v>
      </c>
      <c r="D65" s="415"/>
      <c r="E65" s="235" t="s">
        <v>29</v>
      </c>
      <c r="F65" s="236"/>
      <c r="G65" s="237"/>
      <c r="H65" s="205">
        <f>2130*60</f>
        <v>127800</v>
      </c>
    </row>
    <row r="66" spans="1:11" ht="36.75" customHeight="1" x14ac:dyDescent="0.25">
      <c r="A66" s="330" t="s">
        <v>42</v>
      </c>
      <c r="B66" s="238" t="s">
        <v>43</v>
      </c>
      <c r="C66" s="416">
        <f>D75+D76+D77+D78</f>
        <v>10324695.671608591</v>
      </c>
      <c r="D66" s="416"/>
    </row>
    <row r="67" spans="1:11" ht="20.100000000000001" customHeight="1" x14ac:dyDescent="0.25">
      <c r="A67" s="219" t="s">
        <v>44</v>
      </c>
      <c r="B67" s="219"/>
      <c r="C67" s="219"/>
    </row>
    <row r="68" spans="1:11" ht="20.100000000000001" customHeight="1" x14ac:dyDescent="0.25">
      <c r="A68" s="210" t="s">
        <v>45</v>
      </c>
      <c r="B68" s="230">
        <f>IF(A68="Architectural",(IF(C66&lt;=500000,45%*4.25%*C66*(C68/100),IF(C66&lt;=1000000,45%*3.75%*C66*(C68/100),IF(C66&lt;=2500000,45%*3.25%*C66*(C68/100),IF(C66&lt;=5000000,45%*2.75%*C66*(C68/100),IF(C66&lt;=10000000,45%*2.25%*C66*(C68/100),IF(C66&gt;10000000,45%*1.75%*C66*(C68/100)))))))),0)</f>
        <v>81306.978413917677</v>
      </c>
      <c r="C68" s="230">
        <v>100</v>
      </c>
      <c r="D68" s="231"/>
      <c r="E68" s="231"/>
      <c r="F68" s="231"/>
      <c r="G68" s="231"/>
      <c r="H68" s="231"/>
    </row>
    <row r="69" spans="1:11" ht="20.100000000000001" customHeight="1" x14ac:dyDescent="0.25">
      <c r="A69" s="210" t="s">
        <v>46</v>
      </c>
      <c r="B69" s="230">
        <f>IF(A69="Structural",(IF(C66&lt;=500000,30%*4.25%*C66*(C69/100),IF(C66&lt;=1000000,30%*3.75%*C66*(C69/100),IF(C66&lt;=2500000,30%*3.25%*C66*(C69/100),IF(C66&lt;=5000000,30%*2.75%*C66*(C69/100),IF(C66&lt;=10000000,30%*2.25%*C66*(C69/100),IF(C66&gt;10000000,30%*1.75%*C66*(C69/100)))))))),0)</f>
        <v>0</v>
      </c>
      <c r="C69" s="230"/>
      <c r="D69" s="231"/>
      <c r="E69" s="231"/>
      <c r="F69" s="231"/>
      <c r="G69" s="231"/>
      <c r="H69" s="231"/>
      <c r="I69" s="221"/>
      <c r="J69" s="221"/>
      <c r="K69" s="221"/>
    </row>
    <row r="70" spans="1:11" ht="20.100000000000001" customHeight="1" x14ac:dyDescent="0.25">
      <c r="A70" s="210" t="s">
        <v>47</v>
      </c>
      <c r="B70" s="230">
        <f>IF(A70="Electrical",(IF(C66&lt;=500000,10%*4.25%*C66*(C70/100),IF(C66&lt;=1000000,10%*3.75%*C66*(C70/100),IF(C66&lt;=2500000,10%*3.25%*C66*(C70/100),IF(C66&lt;=5000000,10%*2.75%*C66*(C70/100),IF(C66&lt;=10000000,10%*2.25%*C66*(C70/100),IF(C66&gt;10000000,10%*1.75%*C66*(C70/100)))))))),0)</f>
        <v>0</v>
      </c>
      <c r="C70" s="230"/>
      <c r="D70" s="231"/>
      <c r="E70" s="231"/>
      <c r="F70" s="231"/>
      <c r="G70" s="231"/>
      <c r="H70" s="231"/>
    </row>
    <row r="71" spans="1:11" ht="20.100000000000001" customHeight="1" x14ac:dyDescent="0.25">
      <c r="A71" s="210" t="s">
        <v>48</v>
      </c>
      <c r="B71" s="230">
        <f>IF(A71="Sanitary",(IF(C66&lt;=500000,2.75%*4.25%*C66*(C71/100),IF(C66&lt;=1000000,2.75%*3.75%*C66*(C71/100),IF(C66&lt;=2500000,2.75%*3.25%*C66*(C71/100),IF(C66&lt;=5000000,2.75%*2.75%*C66*(C71/100),IF(C66&lt;=10000000,2.75%*2.25%*C66*(C71/100),IF(C66&gt;10000000,2.75%*1.75%*C66*(C71/100)))))))),0)</f>
        <v>0</v>
      </c>
      <c r="C71" s="230"/>
      <c r="D71" s="231"/>
      <c r="E71" s="231"/>
      <c r="F71" s="231"/>
      <c r="G71" s="231"/>
      <c r="H71" s="231"/>
    </row>
    <row r="72" spans="1:11" ht="20.100000000000001" customHeight="1" x14ac:dyDescent="0.25">
      <c r="A72" s="210" t="s">
        <v>77</v>
      </c>
      <c r="B72" s="230">
        <f>IF(A72="Specification and bill of quantity",(IF(C66&lt;=500000,2.25%*4.25%*C66*(C72/100),IF(C66&lt;=1000000,2.25%*3.75%*C66*(C72/100),IF(C66&lt;=2500000,2.25%*3.25%*C66*(C72/100),IF(C66&lt;=5000000,2.25%*2.75%*C66*(C72/100),IF(C66&lt;=10000000,2.25%*2.25%*C66*(C72/100),IF(C66&gt;10000000,2.25%*1.75%*C66*(C72/100)))))))),0)</f>
        <v>0</v>
      </c>
      <c r="C72" s="230"/>
      <c r="D72" s="231"/>
      <c r="E72" s="231"/>
      <c r="F72" s="231"/>
      <c r="G72" s="231"/>
      <c r="H72" s="231"/>
      <c r="I72" s="221"/>
      <c r="J72" s="221"/>
    </row>
    <row r="73" spans="1:11" ht="20.100000000000001" customHeight="1" x14ac:dyDescent="0.25">
      <c r="A73" s="214" t="s">
        <v>188</v>
      </c>
      <c r="B73" s="404">
        <f>SUM(B68:B72)</f>
        <v>81306.978413917677</v>
      </c>
      <c r="C73" s="404"/>
      <c r="D73" s="231"/>
      <c r="E73" s="231"/>
      <c r="F73" s="231"/>
      <c r="G73" s="231"/>
      <c r="H73" s="231"/>
      <c r="I73" s="221"/>
      <c r="J73" s="221"/>
    </row>
    <row r="74" spans="1:11" x14ac:dyDescent="0.25">
      <c r="A74" s="219"/>
      <c r="B74" s="231"/>
      <c r="C74" s="231"/>
      <c r="D74" s="231"/>
      <c r="E74" s="231"/>
      <c r="F74" s="231"/>
      <c r="G74" s="231"/>
      <c r="H74" s="231"/>
      <c r="I74" s="221"/>
      <c r="J74" s="221"/>
    </row>
    <row r="75" spans="1:11" ht="20.100000000000001" customHeight="1" x14ac:dyDescent="0.25">
      <c r="B75" s="405" t="s">
        <v>49</v>
      </c>
      <c r="C75" s="405"/>
      <c r="D75" s="400">
        <f>F51</f>
        <v>9446280.1199999992</v>
      </c>
      <c r="E75" s="400"/>
      <c r="F75" s="239"/>
      <c r="G75" s="239"/>
      <c r="H75" s="239"/>
      <c r="I75" s="239"/>
      <c r="J75" s="239"/>
    </row>
    <row r="76" spans="1:11" ht="20.100000000000001" customHeight="1" x14ac:dyDescent="0.25">
      <c r="B76" s="405" t="s">
        <v>50</v>
      </c>
      <c r="C76" s="405"/>
      <c r="D76" s="400">
        <f>B49</f>
        <v>200000</v>
      </c>
      <c r="E76" s="400"/>
      <c r="F76" s="239"/>
      <c r="G76" s="239"/>
      <c r="H76" s="239"/>
      <c r="I76" s="239"/>
      <c r="J76" s="239"/>
    </row>
    <row r="77" spans="1:11" ht="20.100000000000001" customHeight="1" x14ac:dyDescent="0.25">
      <c r="B77" s="405" t="s">
        <v>51</v>
      </c>
      <c r="C77" s="405"/>
      <c r="D77" s="400">
        <f>C65</f>
        <v>429022.54048859101</v>
      </c>
      <c r="E77" s="400"/>
      <c r="F77" s="239"/>
      <c r="G77" s="239"/>
      <c r="H77" s="239"/>
      <c r="I77" s="239"/>
      <c r="J77" s="239"/>
    </row>
    <row r="78" spans="1:11" ht="20.100000000000001" customHeight="1" x14ac:dyDescent="0.25">
      <c r="B78" s="405" t="s">
        <v>52</v>
      </c>
      <c r="C78" s="405"/>
      <c r="D78" s="400">
        <f>'Fence and Compund'!F78</f>
        <v>249393.01112000004</v>
      </c>
      <c r="E78" s="400"/>
      <c r="F78" s="239"/>
      <c r="G78" s="240"/>
      <c r="H78" s="240"/>
      <c r="I78" s="240"/>
      <c r="J78" s="240"/>
    </row>
    <row r="79" spans="1:11" ht="20.100000000000001" customHeight="1" x14ac:dyDescent="0.25">
      <c r="B79" s="405" t="s">
        <v>53</v>
      </c>
      <c r="C79" s="405"/>
      <c r="D79" s="400">
        <f>B73</f>
        <v>81306.978413917677</v>
      </c>
      <c r="E79" s="400"/>
      <c r="F79" s="239"/>
      <c r="G79" s="240"/>
      <c r="H79" s="240"/>
      <c r="I79" s="240"/>
      <c r="J79" s="240"/>
    </row>
    <row r="80" spans="1:11" ht="20.100000000000001" customHeight="1" x14ac:dyDescent="0.25">
      <c r="B80" s="405" t="s">
        <v>54</v>
      </c>
      <c r="C80" s="405"/>
      <c r="D80" s="400">
        <f>B19</f>
        <v>2478592</v>
      </c>
      <c r="E80" s="400"/>
      <c r="F80" s="239"/>
      <c r="G80" s="240"/>
      <c r="H80" s="240"/>
      <c r="I80" s="240"/>
      <c r="J80" s="240"/>
    </row>
    <row r="81" spans="2:10" ht="20.100000000000001" customHeight="1" x14ac:dyDescent="0.25">
      <c r="B81" s="405" t="s">
        <v>55</v>
      </c>
      <c r="C81" s="405"/>
      <c r="D81" s="401">
        <f>SUM(D75:D80)</f>
        <v>12884594.650022509</v>
      </c>
      <c r="E81" s="401"/>
      <c r="F81" s="241"/>
      <c r="G81" s="241"/>
      <c r="H81" s="241"/>
      <c r="I81" s="241"/>
      <c r="J81" s="241"/>
    </row>
  </sheetData>
  <mergeCells count="28">
    <mergeCell ref="A6:C6"/>
    <mergeCell ref="B75:C75"/>
    <mergeCell ref="B76:C76"/>
    <mergeCell ref="C59:D59"/>
    <mergeCell ref="B50:C50"/>
    <mergeCell ref="D62:E62"/>
    <mergeCell ref="C63:D63"/>
    <mergeCell ref="C64:D64"/>
    <mergeCell ref="C65:D65"/>
    <mergeCell ref="C66:D66"/>
    <mergeCell ref="D75:E75"/>
    <mergeCell ref="D76:E76"/>
    <mergeCell ref="E59:F59"/>
    <mergeCell ref="C60:F60"/>
    <mergeCell ref="C58:D58"/>
    <mergeCell ref="D80:E80"/>
    <mergeCell ref="D81:E81"/>
    <mergeCell ref="E58:F58"/>
    <mergeCell ref="B54:C54"/>
    <mergeCell ref="D77:E77"/>
    <mergeCell ref="D78:E78"/>
    <mergeCell ref="D79:E79"/>
    <mergeCell ref="B73:C73"/>
    <mergeCell ref="B77:C77"/>
    <mergeCell ref="B78:C78"/>
    <mergeCell ref="B79:C79"/>
    <mergeCell ref="B80:C80"/>
    <mergeCell ref="B81:C81"/>
  </mergeCells>
  <pageMargins left="0.7" right="0.7" top="0.75" bottom="0.75" header="0.3" footer="0.3"/>
  <pageSetup scale="59" orientation="portrait" horizontalDpi="4294967292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'Plot grade'!$D$2:$D$16</xm:f>
          </x14:formula1>
          <xm:sqref>B12</xm:sqref>
        </x14:dataValidation>
        <x14:dataValidation type="list" allowBlank="1" showInputMessage="1" showErrorMessage="1">
          <x14:formula1>
            <xm:f>'Plot grade'!$B$48:$B$52</xm:f>
          </x14:formula1>
          <xm:sqref>A68 A70:A72</xm:sqref>
        </x14:dataValidation>
        <x14:dataValidation type="list" allowBlank="1" showInputMessage="1" showErrorMessage="1">
          <x14:formula1>
            <xm:f>'Plot grade'!$B$49</xm:f>
          </x14:formula1>
          <xm:sqref>A69</xm:sqref>
        </x14:dataValidation>
        <x14:dataValidation type="list" allowBlank="1" showInputMessage="1" showErrorMessage="1">
          <x14:formula1>
            <xm:f>'Plot grade'!$B$54</xm:f>
          </x14:formula1>
          <xm:sqref>A51</xm:sqref>
        </x14:dataValidation>
        <x14:dataValidation type="list" allowBlank="1" showInputMessage="1" showErrorMessage="1">
          <x14:formula1>
            <xm:f>'Plot grade'!$B$55</xm:f>
          </x14:formula1>
          <xm:sqref>A53</xm:sqref>
        </x14:dataValidation>
        <x14:dataValidation type="list" allowBlank="1" showInputMessage="1" showErrorMessage="1">
          <x14:formula1>
            <xm:f>'Plot grade'!$B$56</xm:f>
          </x14:formula1>
          <xm:sqref>C58</xm:sqref>
        </x14:dataValidation>
        <x14:dataValidation type="list" allowBlank="1" showInputMessage="1" showErrorMessage="1">
          <x14:formula1>
            <xm:f>'Plot grade'!$B$57</xm:f>
          </x14:formula1>
          <xm:sqref>E58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97"/>
  <sheetViews>
    <sheetView view="pageBreakPreview" topLeftCell="A7" zoomScaleNormal="100" zoomScaleSheetLayoutView="100" workbookViewId="0">
      <selection activeCell="H80" sqref="H80"/>
    </sheetView>
  </sheetViews>
  <sheetFormatPr defaultRowHeight="15.75" x14ac:dyDescent="0.25"/>
  <cols>
    <col min="1" max="1" width="4.28515625" style="201" customWidth="1"/>
    <col min="2" max="2" width="6.42578125" style="201" customWidth="1"/>
    <col min="3" max="3" width="9.42578125" style="201" customWidth="1"/>
    <col min="4" max="4" width="10" style="201" customWidth="1"/>
    <col min="5" max="5" width="7.28515625" style="201" customWidth="1"/>
    <col min="6" max="6" width="15.7109375" style="201" customWidth="1"/>
    <col min="7" max="7" width="19" style="201" customWidth="1"/>
    <col min="8" max="8" width="14.28515625" style="201" customWidth="1"/>
    <col min="9" max="9" width="7.42578125" style="201" customWidth="1"/>
    <col min="10" max="10" width="10.140625" style="201" customWidth="1"/>
    <col min="11" max="11" width="8.7109375" style="201" bestFit="1" customWidth="1"/>
    <col min="12" max="12" width="6.42578125" style="201" customWidth="1"/>
    <col min="13" max="16384" width="9.140625" style="201"/>
  </cols>
  <sheetData>
    <row r="1" spans="1:12" ht="24.95" customHeight="1" x14ac:dyDescent="0.25">
      <c r="A1" s="421" t="s">
        <v>258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</row>
    <row r="2" spans="1:12" ht="24.95" customHeight="1" x14ac:dyDescent="0.25">
      <c r="A2" s="421" t="s">
        <v>257</v>
      </c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</row>
    <row r="3" spans="1:12" ht="24.95" customHeight="1" x14ac:dyDescent="0.25">
      <c r="A3" s="421" t="s">
        <v>651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</row>
    <row r="4" spans="1:12" ht="24.95" customHeight="1" x14ac:dyDescent="0.25">
      <c r="A4" s="248"/>
      <c r="B4" s="248"/>
      <c r="C4" s="248"/>
      <c r="D4" s="248"/>
      <c r="E4" s="248"/>
      <c r="F4" s="248"/>
      <c r="G4" s="248"/>
      <c r="H4" s="248"/>
      <c r="I4" s="244" t="s">
        <v>256</v>
      </c>
      <c r="J4" s="423" t="s">
        <v>687</v>
      </c>
      <c r="K4" s="423"/>
      <c r="L4" s="423"/>
    </row>
    <row r="5" spans="1:12" ht="24.95" customHeight="1" x14ac:dyDescent="0.25">
      <c r="A5" s="242"/>
      <c r="B5" s="249"/>
      <c r="C5" s="249"/>
      <c r="D5" s="249"/>
      <c r="E5" s="249"/>
      <c r="F5" s="249"/>
      <c r="G5" s="249"/>
      <c r="H5" s="249"/>
      <c r="I5" s="244" t="s">
        <v>195</v>
      </c>
      <c r="J5" s="424"/>
      <c r="K5" s="424"/>
      <c r="L5" s="424"/>
    </row>
    <row r="6" spans="1:12" ht="24.95" customHeight="1" x14ac:dyDescent="0.25">
      <c r="A6" s="242">
        <v>1</v>
      </c>
      <c r="B6" s="242" t="s">
        <v>196</v>
      </c>
      <c r="E6" s="242" t="s">
        <v>697</v>
      </c>
      <c r="F6" s="342"/>
      <c r="G6" s="342"/>
      <c r="H6" s="342"/>
    </row>
    <row r="7" spans="1:12" ht="24.95" customHeight="1" x14ac:dyDescent="0.25">
      <c r="A7" s="242"/>
      <c r="B7" s="201" t="s">
        <v>197</v>
      </c>
      <c r="D7" s="250"/>
      <c r="E7" s="201" t="s">
        <v>198</v>
      </c>
      <c r="F7" s="201" t="s">
        <v>199</v>
      </c>
      <c r="G7" s="201" t="s">
        <v>23</v>
      </c>
      <c r="H7" s="251"/>
      <c r="I7" s="201" t="s">
        <v>200</v>
      </c>
    </row>
    <row r="8" spans="1:12" ht="24.95" customHeight="1" x14ac:dyDescent="0.25">
      <c r="A8" s="242"/>
      <c r="B8" s="201" t="s">
        <v>201</v>
      </c>
    </row>
    <row r="9" spans="1:12" ht="24.95" customHeight="1" x14ac:dyDescent="0.25">
      <c r="A9" s="242">
        <v>2</v>
      </c>
      <c r="B9" s="242" t="s">
        <v>202</v>
      </c>
      <c r="D9" s="443" t="s">
        <v>697</v>
      </c>
      <c r="E9" s="443"/>
      <c r="F9" s="443"/>
      <c r="G9" s="201" t="s">
        <v>203</v>
      </c>
      <c r="I9" s="422" t="s">
        <v>697</v>
      </c>
      <c r="J9" s="422"/>
      <c r="K9" s="422"/>
      <c r="L9" s="422"/>
    </row>
    <row r="10" spans="1:12" ht="38.25" customHeight="1" thickBot="1" x14ac:dyDescent="0.3">
      <c r="A10" s="242"/>
      <c r="B10" s="201" t="s">
        <v>204</v>
      </c>
      <c r="D10" s="250" t="s">
        <v>653</v>
      </c>
      <c r="E10" s="201" t="s">
        <v>205</v>
      </c>
      <c r="F10" s="373" t="s">
        <v>690</v>
      </c>
      <c r="G10" s="244" t="s">
        <v>689</v>
      </c>
      <c r="H10" s="344">
        <v>2</v>
      </c>
      <c r="J10" s="244" t="s">
        <v>206</v>
      </c>
      <c r="K10" s="252"/>
    </row>
    <row r="11" spans="1:12" ht="32.25" customHeight="1" x14ac:dyDescent="0.25">
      <c r="A11" s="242"/>
      <c r="B11" s="426" t="s">
        <v>207</v>
      </c>
      <c r="C11" s="426"/>
      <c r="D11" s="425">
        <v>94</v>
      </c>
      <c r="E11" s="425"/>
      <c r="F11" s="201" t="s">
        <v>208</v>
      </c>
      <c r="G11" s="339" t="s">
        <v>209</v>
      </c>
      <c r="H11" s="201" t="s">
        <v>199</v>
      </c>
      <c r="K11" s="201" t="s">
        <v>210</v>
      </c>
    </row>
    <row r="12" spans="1:12" ht="24.95" customHeight="1" x14ac:dyDescent="0.25">
      <c r="A12" s="242"/>
      <c r="B12" s="201" t="s">
        <v>211</v>
      </c>
      <c r="D12" s="268"/>
      <c r="E12" s="235"/>
      <c r="F12" s="235"/>
      <c r="G12" s="235"/>
      <c r="H12" s="235"/>
      <c r="K12" s="201" t="s">
        <v>212</v>
      </c>
    </row>
    <row r="13" spans="1:12" ht="24.95" customHeight="1" x14ac:dyDescent="0.25">
      <c r="A13" s="242"/>
      <c r="B13" s="201" t="s">
        <v>213</v>
      </c>
      <c r="F13" s="201" t="s">
        <v>652</v>
      </c>
      <c r="K13" s="201" t="s">
        <v>214</v>
      </c>
    </row>
    <row r="14" spans="1:12" ht="24.95" customHeight="1" x14ac:dyDescent="0.25">
      <c r="A14" s="242">
        <v>3</v>
      </c>
      <c r="B14" s="201" t="s">
        <v>260</v>
      </c>
    </row>
    <row r="15" spans="1:12" ht="24.95" customHeight="1" x14ac:dyDescent="0.25">
      <c r="A15" s="242"/>
      <c r="E15" s="201" t="s">
        <v>215</v>
      </c>
    </row>
    <row r="16" spans="1:12" ht="24.95" customHeight="1" x14ac:dyDescent="0.25">
      <c r="A16" s="242">
        <v>4</v>
      </c>
      <c r="B16" s="242" t="s">
        <v>216</v>
      </c>
    </row>
    <row r="17" spans="1:15" ht="24.95" customHeight="1" x14ac:dyDescent="0.25">
      <c r="A17" s="242"/>
      <c r="B17" s="201" t="s">
        <v>217</v>
      </c>
      <c r="E17" s="219"/>
      <c r="F17" s="201" t="s">
        <v>218</v>
      </c>
      <c r="H17" s="201" t="s">
        <v>219</v>
      </c>
      <c r="K17" s="201" t="s">
        <v>220</v>
      </c>
    </row>
    <row r="18" spans="1:15" ht="24.95" customHeight="1" x14ac:dyDescent="0.4">
      <c r="A18" s="242"/>
      <c r="B18" s="201" t="s">
        <v>221</v>
      </c>
      <c r="E18" s="343" t="s">
        <v>641</v>
      </c>
      <c r="F18" s="343"/>
      <c r="G18" s="253"/>
    </row>
    <row r="19" spans="1:15" ht="24.95" customHeight="1" x14ac:dyDescent="0.4">
      <c r="A19" s="242"/>
      <c r="B19" s="201" t="s">
        <v>222</v>
      </c>
      <c r="G19" s="343" t="s">
        <v>686</v>
      </c>
      <c r="H19" s="343"/>
      <c r="I19" s="343"/>
    </row>
    <row r="20" spans="1:15" ht="24.95" customHeight="1" x14ac:dyDescent="0.4">
      <c r="A20" s="242"/>
      <c r="B20" s="201" t="s">
        <v>223</v>
      </c>
      <c r="F20" s="343"/>
      <c r="G20" s="343" t="s">
        <v>642</v>
      </c>
    </row>
    <row r="21" spans="1:15" ht="24.95" customHeight="1" x14ac:dyDescent="0.4">
      <c r="A21" s="242"/>
      <c r="B21" s="201" t="s">
        <v>224</v>
      </c>
      <c r="F21" s="343"/>
      <c r="G21" s="343" t="s">
        <v>643</v>
      </c>
    </row>
    <row r="22" spans="1:15" ht="24.95" customHeight="1" x14ac:dyDescent="0.4">
      <c r="A22" s="242"/>
      <c r="B22" s="201" t="s">
        <v>225</v>
      </c>
      <c r="F22" s="343"/>
      <c r="G22" s="343" t="s">
        <v>644</v>
      </c>
    </row>
    <row r="23" spans="1:15" ht="24.95" customHeight="1" x14ac:dyDescent="0.4">
      <c r="A23" s="242"/>
      <c r="B23" s="201" t="s">
        <v>226</v>
      </c>
      <c r="E23" s="343" t="s">
        <v>645</v>
      </c>
      <c r="F23" s="343"/>
      <c r="G23" s="253"/>
    </row>
    <row r="24" spans="1:15" ht="36" customHeight="1" x14ac:dyDescent="0.25">
      <c r="A24" s="242">
        <v>5</v>
      </c>
      <c r="B24" s="427" t="s">
        <v>261</v>
      </c>
      <c r="C24" s="427"/>
      <c r="D24" s="427"/>
      <c r="E24" s="427"/>
      <c r="F24" s="427"/>
      <c r="G24" s="427"/>
      <c r="H24" s="429"/>
      <c r="I24" s="429"/>
      <c r="J24" s="441" t="s">
        <v>685</v>
      </c>
      <c r="K24" s="441"/>
      <c r="L24" s="441"/>
    </row>
    <row r="25" spans="1:15" ht="24.95" customHeight="1" x14ac:dyDescent="0.25">
      <c r="A25" s="242"/>
      <c r="B25" s="201" t="s">
        <v>679</v>
      </c>
    </row>
    <row r="26" spans="1:15" ht="24.95" customHeight="1" x14ac:dyDescent="0.25">
      <c r="A26" s="242" t="s">
        <v>227</v>
      </c>
      <c r="B26" s="242" t="s">
        <v>655</v>
      </c>
      <c r="C26" s="219"/>
      <c r="D26" s="219"/>
      <c r="E26" s="201" t="s">
        <v>228</v>
      </c>
      <c r="F26" s="269"/>
      <c r="G26" s="201" t="s">
        <v>229</v>
      </c>
      <c r="H26" s="442" t="s">
        <v>693</v>
      </c>
      <c r="I26" s="442"/>
      <c r="J26" s="201" t="s">
        <v>33</v>
      </c>
      <c r="K26" s="361">
        <f>Area!D4</f>
        <v>73.825999999999993</v>
      </c>
      <c r="L26" s="254"/>
      <c r="M26" s="370"/>
      <c r="N26" s="370"/>
      <c r="O26" s="370"/>
    </row>
    <row r="27" spans="1:15" ht="24.95" customHeight="1" x14ac:dyDescent="0.25">
      <c r="A27" s="242" t="s">
        <v>230</v>
      </c>
      <c r="B27" s="242" t="s">
        <v>681</v>
      </c>
      <c r="C27" s="219"/>
      <c r="D27" s="219"/>
      <c r="E27" s="201" t="s">
        <v>228</v>
      </c>
      <c r="F27" s="269"/>
      <c r="G27" s="201" t="s">
        <v>229</v>
      </c>
      <c r="H27" s="442" t="s">
        <v>694</v>
      </c>
      <c r="I27" s="442"/>
      <c r="J27" s="201" t="s">
        <v>33</v>
      </c>
      <c r="K27" s="361">
        <f>Area!D10</f>
        <v>75.275599999999983</v>
      </c>
      <c r="L27" s="254"/>
      <c r="M27" s="370"/>
      <c r="N27" s="370"/>
      <c r="O27" s="368"/>
    </row>
    <row r="28" spans="1:15" ht="24.95" customHeight="1" x14ac:dyDescent="0.25">
      <c r="A28" s="242" t="s">
        <v>231</v>
      </c>
      <c r="B28" s="242" t="s">
        <v>683</v>
      </c>
      <c r="C28" s="219"/>
      <c r="D28" s="219"/>
      <c r="E28" s="201" t="s">
        <v>228</v>
      </c>
      <c r="F28" s="255"/>
      <c r="G28" s="201" t="s">
        <v>229</v>
      </c>
      <c r="H28" s="442" t="s">
        <v>694</v>
      </c>
      <c r="I28" s="442"/>
      <c r="J28" s="201" t="s">
        <v>33</v>
      </c>
      <c r="K28" s="361">
        <f>+K27</f>
        <v>75.275599999999983</v>
      </c>
      <c r="L28" s="254"/>
      <c r="M28" s="370"/>
      <c r="N28" s="370"/>
      <c r="O28" s="368"/>
    </row>
    <row r="29" spans="1:15" ht="24.95" customHeight="1" x14ac:dyDescent="0.25">
      <c r="A29" s="242" t="s">
        <v>233</v>
      </c>
      <c r="B29" s="242" t="s">
        <v>684</v>
      </c>
      <c r="C29" s="219"/>
      <c r="D29" s="219"/>
      <c r="E29" s="201" t="s">
        <v>228</v>
      </c>
      <c r="F29" s="255"/>
      <c r="G29" s="201" t="s">
        <v>229</v>
      </c>
      <c r="H29" s="442"/>
      <c r="I29" s="442"/>
      <c r="J29" s="201" t="s">
        <v>33</v>
      </c>
      <c r="K29" s="364"/>
      <c r="L29" s="254"/>
    </row>
    <row r="30" spans="1:15" ht="24.95" customHeight="1" x14ac:dyDescent="0.25">
      <c r="A30" s="242" t="s">
        <v>234</v>
      </c>
      <c r="B30" s="242" t="s">
        <v>329</v>
      </c>
      <c r="C30" s="219"/>
      <c r="D30" s="219"/>
      <c r="E30" s="201" t="s">
        <v>228</v>
      </c>
      <c r="F30" s="255"/>
      <c r="G30" s="201" t="s">
        <v>229</v>
      </c>
      <c r="H30" s="244"/>
      <c r="I30" s="366"/>
      <c r="J30" s="201" t="s">
        <v>33</v>
      </c>
      <c r="K30" s="364">
        <f>SUM(K26:K29)</f>
        <v>224.37719999999996</v>
      </c>
      <c r="L30" s="254"/>
    </row>
    <row r="31" spans="1:15" ht="24.95" customHeight="1" x14ac:dyDescent="0.25">
      <c r="A31" s="242"/>
      <c r="B31" s="242"/>
      <c r="C31" s="219"/>
      <c r="D31" s="219"/>
      <c r="F31" s="362" t="s">
        <v>691</v>
      </c>
      <c r="G31" s="363"/>
      <c r="I31" s="354"/>
      <c r="K31" s="355"/>
      <c r="L31" s="356"/>
    </row>
    <row r="32" spans="1:15" ht="24.95" customHeight="1" x14ac:dyDescent="0.25">
      <c r="A32" s="242"/>
      <c r="B32" s="242"/>
      <c r="C32" s="219"/>
      <c r="D32" s="428" t="s">
        <v>659</v>
      </c>
      <c r="E32" s="428"/>
      <c r="F32" s="357" t="s">
        <v>660</v>
      </c>
      <c r="G32" s="357"/>
      <c r="I32" s="354"/>
      <c r="K32" s="355"/>
      <c r="L32" s="356"/>
    </row>
    <row r="33" spans="1:12" ht="24.95" hidden="1" customHeight="1" x14ac:dyDescent="0.25">
      <c r="A33" s="242"/>
      <c r="B33" s="242"/>
      <c r="C33" s="219"/>
      <c r="D33" s="358"/>
      <c r="E33" s="358"/>
      <c r="F33" s="357" t="s">
        <v>660</v>
      </c>
      <c r="G33" s="353"/>
      <c r="I33" s="354"/>
      <c r="K33" s="355"/>
      <c r="L33" s="356"/>
    </row>
    <row r="34" spans="1:12" ht="24.95" hidden="1" customHeight="1" x14ac:dyDescent="0.25">
      <c r="A34" s="242"/>
      <c r="B34" s="242"/>
      <c r="C34" s="219"/>
      <c r="D34" s="358"/>
      <c r="E34" s="358"/>
      <c r="F34" s="357" t="s">
        <v>661</v>
      </c>
      <c r="G34" s="353"/>
      <c r="I34" s="354"/>
      <c r="K34" s="355"/>
      <c r="L34" s="356"/>
    </row>
    <row r="35" spans="1:12" ht="24.95" hidden="1" customHeight="1" x14ac:dyDescent="0.25">
      <c r="A35" s="242"/>
      <c r="B35" s="242"/>
      <c r="C35" s="219"/>
      <c r="D35" s="358"/>
      <c r="E35" s="358"/>
      <c r="F35" s="357" t="s">
        <v>662</v>
      </c>
      <c r="G35" s="353"/>
      <c r="I35" s="354"/>
      <c r="K35" s="355"/>
      <c r="L35" s="356"/>
    </row>
    <row r="36" spans="1:12" ht="24.95" hidden="1" customHeight="1" x14ac:dyDescent="0.25">
      <c r="A36" s="242"/>
      <c r="B36" s="242"/>
      <c r="C36" s="219"/>
      <c r="D36" s="358"/>
      <c r="E36" s="358"/>
      <c r="F36" s="357" t="s">
        <v>663</v>
      </c>
      <c r="G36" s="353"/>
      <c r="I36" s="354"/>
      <c r="K36" s="355"/>
      <c r="L36" s="356"/>
    </row>
    <row r="37" spans="1:12" ht="24.95" hidden="1" customHeight="1" x14ac:dyDescent="0.25">
      <c r="A37" s="242"/>
      <c r="B37" s="242"/>
      <c r="C37" s="219"/>
      <c r="D37" s="358"/>
      <c r="E37" s="353"/>
      <c r="F37" s="357" t="s">
        <v>664</v>
      </c>
      <c r="G37" s="353"/>
      <c r="I37" s="354"/>
      <c r="K37" s="355"/>
      <c r="L37" s="356"/>
    </row>
    <row r="38" spans="1:12" ht="24.95" customHeight="1" x14ac:dyDescent="0.25">
      <c r="A38" s="242"/>
      <c r="B38" s="242"/>
      <c r="C38" s="219"/>
      <c r="D38" s="428" t="s">
        <v>665</v>
      </c>
      <c r="E38" s="428"/>
      <c r="F38" s="357" t="s">
        <v>667</v>
      </c>
      <c r="G38" s="357"/>
      <c r="I38" s="354"/>
      <c r="K38" s="355"/>
      <c r="L38" s="356"/>
    </row>
    <row r="39" spans="1:12" ht="24.95" hidden="1" customHeight="1" x14ac:dyDescent="0.25">
      <c r="A39" s="242"/>
      <c r="B39" s="242"/>
      <c r="C39" s="219"/>
      <c r="D39" s="358"/>
      <c r="E39" s="358"/>
      <c r="F39" s="357" t="s">
        <v>663</v>
      </c>
      <c r="G39" s="353"/>
      <c r="I39" s="354"/>
      <c r="K39" s="355"/>
      <c r="L39" s="356"/>
    </row>
    <row r="40" spans="1:12" ht="24.95" hidden="1" customHeight="1" x14ac:dyDescent="0.25">
      <c r="A40" s="242"/>
      <c r="B40" s="242"/>
      <c r="C40" s="219"/>
      <c r="D40" s="358"/>
      <c r="E40" s="358"/>
      <c r="F40" s="357" t="s">
        <v>667</v>
      </c>
      <c r="G40" s="353"/>
      <c r="I40" s="354"/>
      <c r="K40" s="355"/>
      <c r="L40" s="356"/>
    </row>
    <row r="41" spans="1:12" ht="24.95" hidden="1" customHeight="1" x14ac:dyDescent="0.25">
      <c r="A41" s="242"/>
      <c r="B41" s="242"/>
      <c r="C41" s="219"/>
      <c r="D41" s="358"/>
      <c r="E41" s="358"/>
      <c r="F41" s="357" t="s">
        <v>666</v>
      </c>
      <c r="G41" s="353"/>
      <c r="I41" s="354"/>
      <c r="K41" s="355"/>
      <c r="L41" s="356"/>
    </row>
    <row r="42" spans="1:12" ht="24.95" hidden="1" customHeight="1" x14ac:dyDescent="0.25">
      <c r="A42" s="242"/>
      <c r="B42" s="242"/>
      <c r="C42" s="219"/>
      <c r="D42" s="358"/>
      <c r="E42" s="358"/>
      <c r="F42" s="357" t="s">
        <v>668</v>
      </c>
      <c r="G42" s="353"/>
      <c r="I42" s="354"/>
      <c r="K42" s="355"/>
      <c r="L42" s="356"/>
    </row>
    <row r="43" spans="1:12" ht="24.95" hidden="1" customHeight="1" x14ac:dyDescent="0.25">
      <c r="A43" s="242"/>
      <c r="B43" s="242"/>
      <c r="C43" s="219"/>
      <c r="D43" s="358"/>
      <c r="E43" s="353"/>
      <c r="F43" s="357" t="s">
        <v>669</v>
      </c>
      <c r="G43" s="353"/>
      <c r="I43" s="354"/>
      <c r="K43" s="355"/>
      <c r="L43" s="356"/>
    </row>
    <row r="44" spans="1:12" ht="24.95" customHeight="1" x14ac:dyDescent="0.25">
      <c r="A44" s="242"/>
      <c r="B44" s="242"/>
      <c r="C44" s="219"/>
      <c r="D44" s="428" t="s">
        <v>670</v>
      </c>
      <c r="E44" s="428"/>
      <c r="F44" s="357" t="s">
        <v>667</v>
      </c>
      <c r="G44" s="357"/>
      <c r="I44" s="354"/>
      <c r="K44" s="355"/>
      <c r="L44" s="356"/>
    </row>
    <row r="45" spans="1:12" ht="24.95" hidden="1" customHeight="1" x14ac:dyDescent="0.25">
      <c r="A45" s="242"/>
      <c r="B45" s="242"/>
      <c r="C45" s="219"/>
      <c r="D45" s="444"/>
      <c r="E45" s="444"/>
      <c r="F45" s="357" t="s">
        <v>667</v>
      </c>
      <c r="G45" s="353"/>
      <c r="I45" s="354"/>
      <c r="K45" s="355"/>
      <c r="L45" s="356"/>
    </row>
    <row r="46" spans="1:12" ht="24.95" hidden="1" customHeight="1" x14ac:dyDescent="0.25">
      <c r="A46" s="242"/>
      <c r="B46" s="242"/>
      <c r="C46" s="219"/>
      <c r="D46" s="358"/>
      <c r="E46" s="358"/>
      <c r="F46" s="357" t="s">
        <v>668</v>
      </c>
      <c r="G46" s="353"/>
      <c r="I46" s="354"/>
      <c r="K46" s="355"/>
      <c r="L46" s="356"/>
    </row>
    <row r="47" spans="1:12" ht="24.95" hidden="1" customHeight="1" x14ac:dyDescent="0.25">
      <c r="A47" s="242"/>
      <c r="B47" s="242"/>
      <c r="C47" s="219"/>
      <c r="D47" s="358"/>
      <c r="E47" s="358"/>
      <c r="F47" s="357" t="s">
        <v>671</v>
      </c>
      <c r="G47" s="353"/>
      <c r="I47" s="354"/>
      <c r="K47" s="355"/>
      <c r="L47" s="356"/>
    </row>
    <row r="48" spans="1:12" ht="24.95" hidden="1" customHeight="1" x14ac:dyDescent="0.25">
      <c r="A48" s="242"/>
      <c r="B48" s="242"/>
      <c r="C48" s="219"/>
      <c r="D48" s="358"/>
      <c r="E48" s="358"/>
      <c r="F48" s="357" t="s">
        <v>666</v>
      </c>
      <c r="G48" s="353"/>
      <c r="I48" s="354"/>
      <c r="K48" s="355"/>
      <c r="L48" s="356"/>
    </row>
    <row r="49" spans="1:12" ht="24.95" hidden="1" customHeight="1" x14ac:dyDescent="0.25">
      <c r="A49" s="242"/>
      <c r="B49" s="242"/>
      <c r="C49" s="219"/>
      <c r="D49" s="358"/>
      <c r="E49" s="353"/>
      <c r="F49" s="357" t="s">
        <v>672</v>
      </c>
      <c r="G49" s="353"/>
      <c r="I49" s="354"/>
      <c r="K49" s="355"/>
      <c r="L49" s="356"/>
    </row>
    <row r="50" spans="1:12" ht="24.95" customHeight="1" x14ac:dyDescent="0.25">
      <c r="A50" s="242"/>
      <c r="B50" s="242"/>
      <c r="C50" s="219"/>
      <c r="D50" s="428" t="s">
        <v>673</v>
      </c>
      <c r="E50" s="428"/>
      <c r="F50" s="357" t="s">
        <v>47</v>
      </c>
      <c r="G50" s="357"/>
      <c r="I50" s="354"/>
      <c r="K50" s="355"/>
      <c r="L50" s="356"/>
    </row>
    <row r="51" spans="1:12" ht="24.95" hidden="1" customHeight="1" x14ac:dyDescent="0.25">
      <c r="A51" s="242"/>
      <c r="B51" s="242"/>
      <c r="C51" s="219"/>
      <c r="D51" s="444"/>
      <c r="E51" s="444"/>
      <c r="F51" s="357" t="s">
        <v>47</v>
      </c>
      <c r="G51" s="353"/>
      <c r="I51" s="354"/>
      <c r="K51" s="355"/>
      <c r="L51" s="356"/>
    </row>
    <row r="52" spans="1:12" ht="24.95" hidden="1" customHeight="1" x14ac:dyDescent="0.25">
      <c r="A52" s="242"/>
      <c r="B52" s="242"/>
      <c r="C52" s="219"/>
      <c r="D52" s="358"/>
      <c r="E52" s="358"/>
      <c r="F52" s="357" t="s">
        <v>674</v>
      </c>
      <c r="G52" s="353"/>
      <c r="I52" s="354"/>
      <c r="K52" s="355"/>
      <c r="L52" s="356"/>
    </row>
    <row r="53" spans="1:12" ht="24.95" hidden="1" customHeight="1" x14ac:dyDescent="0.25">
      <c r="A53" s="242"/>
      <c r="B53" s="242"/>
      <c r="C53" s="219"/>
      <c r="D53" s="358"/>
      <c r="E53" s="358"/>
      <c r="F53" s="357" t="s">
        <v>675</v>
      </c>
      <c r="G53" s="353"/>
      <c r="I53" s="354"/>
      <c r="K53" s="355"/>
      <c r="L53" s="356"/>
    </row>
    <row r="54" spans="1:12" ht="24.95" customHeight="1" x14ac:dyDescent="0.25">
      <c r="A54" s="242"/>
      <c r="B54" s="242"/>
      <c r="C54" s="219"/>
      <c r="D54" s="428" t="s">
        <v>676</v>
      </c>
      <c r="E54" s="428"/>
      <c r="F54" s="357" t="s">
        <v>677</v>
      </c>
      <c r="G54" s="357"/>
      <c r="I54" s="354"/>
      <c r="K54" s="355"/>
      <c r="L54" s="356"/>
    </row>
    <row r="55" spans="1:12" ht="24.95" hidden="1" customHeight="1" x14ac:dyDescent="0.25">
      <c r="A55" s="242"/>
      <c r="B55" s="242"/>
      <c r="C55" s="219"/>
      <c r="D55" s="445"/>
      <c r="E55" s="445"/>
      <c r="F55" s="359" t="s">
        <v>668</v>
      </c>
      <c r="I55" s="354"/>
      <c r="K55" s="355"/>
      <c r="L55" s="356"/>
    </row>
    <row r="56" spans="1:12" ht="24.95" hidden="1" customHeight="1" x14ac:dyDescent="0.25">
      <c r="A56" s="242"/>
      <c r="B56" s="242"/>
      <c r="C56" s="219"/>
      <c r="D56" s="233"/>
      <c r="E56" s="233"/>
      <c r="F56" s="359" t="s">
        <v>678</v>
      </c>
      <c r="I56" s="354"/>
      <c r="K56" s="355"/>
      <c r="L56" s="356"/>
    </row>
    <row r="57" spans="1:12" ht="24.95" hidden="1" customHeight="1" x14ac:dyDescent="0.25">
      <c r="A57" s="242"/>
      <c r="B57" s="242"/>
      <c r="C57" s="219"/>
      <c r="D57" s="233"/>
      <c r="E57" s="233"/>
      <c r="F57" s="359" t="s">
        <v>677</v>
      </c>
      <c r="I57" s="354"/>
      <c r="K57" s="355"/>
      <c r="L57" s="356"/>
    </row>
    <row r="58" spans="1:12" ht="24.95" customHeight="1" x14ac:dyDescent="0.25">
      <c r="A58" s="242"/>
      <c r="B58" s="201" t="s">
        <v>235</v>
      </c>
    </row>
    <row r="59" spans="1:12" ht="24.95" customHeight="1" x14ac:dyDescent="0.25">
      <c r="A59" s="242">
        <v>6</v>
      </c>
      <c r="B59" s="242" t="s">
        <v>236</v>
      </c>
      <c r="F59" s="367" t="str">
        <f>F31</f>
        <v>G+2 Residence Building</v>
      </c>
      <c r="G59" s="253"/>
    </row>
    <row r="60" spans="1:12" ht="24.95" customHeight="1" x14ac:dyDescent="0.25">
      <c r="A60" s="242"/>
      <c r="F60" s="201" t="s">
        <v>237</v>
      </c>
      <c r="H60" s="201" t="str">
        <f>I9</f>
        <v>XY</v>
      </c>
    </row>
    <row r="61" spans="1:12" ht="24.95" customHeight="1" x14ac:dyDescent="0.25">
      <c r="A61" s="242">
        <v>7</v>
      </c>
      <c r="B61" s="201" t="s">
        <v>262</v>
      </c>
    </row>
    <row r="62" spans="1:12" ht="24.95" customHeight="1" x14ac:dyDescent="0.25">
      <c r="A62" s="201" t="s">
        <v>238</v>
      </c>
      <c r="B62" s="256" t="s">
        <v>239</v>
      </c>
      <c r="D62" s="270"/>
      <c r="E62" s="419"/>
      <c r="F62" s="419"/>
      <c r="G62" s="419"/>
      <c r="H62" s="419"/>
      <c r="I62" s="244" t="s">
        <v>29</v>
      </c>
      <c r="J62" s="420">
        <f>Location!D75</f>
        <v>9446280.1199999992</v>
      </c>
      <c r="K62" s="420"/>
      <c r="L62" s="420"/>
    </row>
    <row r="63" spans="1:12" ht="24.95" customHeight="1" x14ac:dyDescent="0.25">
      <c r="A63" s="201" t="s">
        <v>240</v>
      </c>
      <c r="B63" s="256" t="str">
        <f>'[1]Location '!C125</f>
        <v>Internal Structure</v>
      </c>
      <c r="D63" s="270"/>
      <c r="E63" s="271"/>
      <c r="F63" s="257"/>
      <c r="G63" s="258"/>
      <c r="H63" s="272"/>
      <c r="I63" s="244" t="s">
        <v>29</v>
      </c>
      <c r="J63" s="420">
        <f>Location!D76</f>
        <v>200000</v>
      </c>
      <c r="K63" s="420"/>
      <c r="L63" s="420"/>
    </row>
    <row r="64" spans="1:12" ht="24.95" customHeight="1" x14ac:dyDescent="0.25">
      <c r="A64" s="201" t="s">
        <v>241</v>
      </c>
      <c r="B64" s="256" t="str">
        <f>'[1]Location '!C126</f>
        <v>External Elecrical &amp; Sanitary Works</v>
      </c>
      <c r="D64" s="270"/>
      <c r="E64" s="242"/>
      <c r="F64" s="259"/>
      <c r="G64" s="258"/>
      <c r="H64" s="272"/>
      <c r="I64" s="244" t="s">
        <v>29</v>
      </c>
      <c r="J64" s="420">
        <f>Location!D77</f>
        <v>429022.54048859101</v>
      </c>
      <c r="K64" s="420"/>
      <c r="L64" s="420"/>
    </row>
    <row r="65" spans="1:12" ht="24.95" customHeight="1" x14ac:dyDescent="0.25">
      <c r="A65" s="201" t="s">
        <v>232</v>
      </c>
      <c r="B65" s="256" t="str">
        <f>'[1]Location '!C127</f>
        <v>Fence &amp; compound =</v>
      </c>
      <c r="C65" s="260"/>
      <c r="D65" s="260"/>
      <c r="E65" s="260"/>
      <c r="I65" s="244" t="s">
        <v>29</v>
      </c>
      <c r="J65" s="420">
        <f>Location!D78</f>
        <v>249393.01112000004</v>
      </c>
      <c r="K65" s="420"/>
      <c r="L65" s="420"/>
    </row>
    <row r="66" spans="1:12" ht="24.95" customHeight="1" x14ac:dyDescent="0.25">
      <c r="A66" s="201" t="s">
        <v>242</v>
      </c>
      <c r="B66" s="256" t="str">
        <f>'[1]Location '!C128</f>
        <v>Consultancy Service</v>
      </c>
      <c r="C66" s="261"/>
      <c r="D66" s="261"/>
      <c r="E66" s="261"/>
      <c r="I66" s="244" t="s">
        <v>29</v>
      </c>
      <c r="J66" s="420">
        <f>Location!D79</f>
        <v>81306.978413917677</v>
      </c>
      <c r="K66" s="420"/>
      <c r="L66" s="420"/>
    </row>
    <row r="67" spans="1:12" ht="24.95" customHeight="1" x14ac:dyDescent="0.25">
      <c r="A67" s="201" t="s">
        <v>243</v>
      </c>
      <c r="B67" s="256" t="str">
        <f>'[1]Location '!C129</f>
        <v>Location Value</v>
      </c>
      <c r="C67" s="261"/>
      <c r="D67" s="261"/>
      <c r="E67" s="273"/>
      <c r="F67" s="257"/>
      <c r="I67" s="244" t="s">
        <v>29</v>
      </c>
      <c r="J67" s="420">
        <f>Location!D80</f>
        <v>2478592</v>
      </c>
      <c r="K67" s="420"/>
      <c r="L67" s="420"/>
    </row>
    <row r="68" spans="1:12" ht="24.95" customHeight="1" x14ac:dyDescent="0.4">
      <c r="A68" s="242"/>
      <c r="H68" s="431" t="s">
        <v>244</v>
      </c>
      <c r="I68" s="431"/>
      <c r="J68" s="432">
        <f>SUM(J62:L67)</f>
        <v>12884594.650022509</v>
      </c>
      <c r="K68" s="432"/>
      <c r="L68" s="432"/>
    </row>
    <row r="69" spans="1:12" ht="24.95" customHeight="1" x14ac:dyDescent="0.4">
      <c r="A69" s="242">
        <v>8</v>
      </c>
      <c r="B69" s="274" t="s">
        <v>263</v>
      </c>
      <c r="F69" s="433">
        <f>0.9*J68</f>
        <v>11596135.185020259</v>
      </c>
      <c r="G69" s="433"/>
      <c r="H69" s="262"/>
      <c r="I69" s="201" t="s">
        <v>245</v>
      </c>
      <c r="J69" s="434">
        <f>1.1*J68</f>
        <v>14173054.11502476</v>
      </c>
      <c r="K69" s="434"/>
      <c r="L69" s="434"/>
    </row>
    <row r="70" spans="1:12" ht="24.95" customHeight="1" thickBot="1" x14ac:dyDescent="0.45">
      <c r="A70" s="242"/>
      <c r="B70" s="201" t="s">
        <v>246</v>
      </c>
      <c r="H70" s="219"/>
      <c r="I70" s="435">
        <f>F69</f>
        <v>11596135.185020259</v>
      </c>
      <c r="J70" s="435"/>
      <c r="K70" s="275"/>
    </row>
    <row r="71" spans="1:12" ht="24.95" customHeight="1" x14ac:dyDescent="0.25">
      <c r="A71" s="242"/>
      <c r="B71" s="201" t="s">
        <v>247</v>
      </c>
      <c r="G71" s="263" t="s">
        <v>259</v>
      </c>
    </row>
    <row r="72" spans="1:12" ht="24.95" customHeight="1" x14ac:dyDescent="0.25">
      <c r="A72" s="242"/>
      <c r="B72" s="201" t="s">
        <v>248</v>
      </c>
    </row>
    <row r="73" spans="1:12" ht="24.95" customHeight="1" x14ac:dyDescent="0.25">
      <c r="A73" s="242"/>
      <c r="B73" s="201" t="s">
        <v>249</v>
      </c>
    </row>
    <row r="74" spans="1:12" ht="24.95" customHeight="1" x14ac:dyDescent="0.25">
      <c r="A74" s="242"/>
      <c r="B74" s="201" t="s">
        <v>250</v>
      </c>
      <c r="E74" s="201" t="s">
        <v>2</v>
      </c>
      <c r="H74" s="201" t="s">
        <v>251</v>
      </c>
    </row>
    <row r="75" spans="1:12" ht="24.95" customHeight="1" x14ac:dyDescent="0.25">
      <c r="A75" s="242"/>
      <c r="B75" s="264"/>
      <c r="C75" s="265"/>
      <c r="D75" s="265"/>
      <c r="E75" s="265"/>
      <c r="F75" s="265"/>
      <c r="G75" s="266"/>
      <c r="H75" s="266"/>
      <c r="I75" s="266"/>
      <c r="J75" s="266"/>
      <c r="K75" s="266"/>
      <c r="L75" s="266"/>
    </row>
    <row r="76" spans="1:12" ht="24.95" customHeight="1" x14ac:dyDescent="0.25">
      <c r="A76" s="242"/>
      <c r="B76" s="267"/>
      <c r="C76" s="267"/>
      <c r="D76" s="267"/>
      <c r="E76" s="267"/>
      <c r="F76" s="267"/>
      <c r="G76" s="267"/>
      <c r="H76" s="267"/>
      <c r="I76" s="436"/>
      <c r="J76" s="436"/>
      <c r="K76" s="267"/>
    </row>
    <row r="77" spans="1:12" ht="24.95" customHeight="1" x14ac:dyDescent="0.25">
      <c r="A77" s="242">
        <v>9</v>
      </c>
      <c r="B77" s="267" t="s">
        <v>657</v>
      </c>
      <c r="C77" s="267"/>
      <c r="D77" s="439" t="s">
        <v>696</v>
      </c>
      <c r="E77" s="440"/>
      <c r="F77" s="440"/>
      <c r="G77" s="440"/>
      <c r="H77" s="440"/>
      <c r="I77" s="440"/>
      <c r="J77" s="440"/>
      <c r="K77" s="440"/>
    </row>
    <row r="78" spans="1:12" ht="24.95" customHeight="1" x14ac:dyDescent="0.25">
      <c r="A78" s="242"/>
      <c r="B78" s="267"/>
      <c r="C78" s="267"/>
      <c r="D78" s="440"/>
      <c r="E78" s="440"/>
      <c r="F78" s="440"/>
      <c r="G78" s="440"/>
      <c r="H78" s="440"/>
      <c r="I78" s="440"/>
      <c r="J78" s="440"/>
      <c r="K78" s="440"/>
    </row>
    <row r="79" spans="1:12" ht="24.95" customHeight="1" x14ac:dyDescent="0.25">
      <c r="A79" s="242"/>
      <c r="B79" s="267"/>
      <c r="C79" s="267"/>
      <c r="D79" s="440"/>
      <c r="E79" s="440"/>
      <c r="F79" s="440"/>
      <c r="G79" s="440"/>
      <c r="H79" s="440"/>
      <c r="I79" s="440"/>
      <c r="J79" s="440"/>
      <c r="K79" s="440"/>
    </row>
    <row r="80" spans="1:12" ht="24.95" customHeight="1" x14ac:dyDescent="0.25">
      <c r="A80" s="242">
        <v>10</v>
      </c>
      <c r="B80" s="267" t="s">
        <v>252</v>
      </c>
      <c r="G80" s="219"/>
      <c r="H80" s="219" t="s">
        <v>698</v>
      </c>
    </row>
    <row r="81" spans="1:11" ht="24.95" customHeight="1" x14ac:dyDescent="0.25">
      <c r="A81" s="242"/>
      <c r="B81" s="267"/>
      <c r="C81" s="267"/>
      <c r="D81" s="347"/>
      <c r="E81" s="347"/>
      <c r="F81" s="347"/>
      <c r="G81" s="347"/>
      <c r="H81" s="347"/>
      <c r="I81" s="347"/>
      <c r="J81" s="347"/>
      <c r="K81" s="347"/>
    </row>
    <row r="82" spans="1:11" ht="24.95" customHeight="1" x14ac:dyDescent="0.25">
      <c r="A82" s="242"/>
      <c r="B82" s="267"/>
      <c r="C82" s="267"/>
      <c r="D82" s="347"/>
      <c r="E82" s="347"/>
      <c r="F82" s="347"/>
      <c r="G82" s="347"/>
      <c r="H82" s="347"/>
      <c r="I82" s="347"/>
      <c r="J82" s="347"/>
      <c r="K82" s="347"/>
    </row>
    <row r="83" spans="1:11" ht="24.95" customHeight="1" x14ac:dyDescent="0.25">
      <c r="A83" s="242"/>
      <c r="B83" s="267"/>
      <c r="C83" s="267"/>
      <c r="D83" s="267"/>
      <c r="E83" s="267"/>
      <c r="F83" s="267"/>
      <c r="G83" s="267"/>
      <c r="H83" s="267"/>
      <c r="I83" s="346"/>
      <c r="J83" s="346"/>
      <c r="K83" s="267"/>
    </row>
    <row r="84" spans="1:11" ht="24.95" customHeight="1" x14ac:dyDescent="0.25">
      <c r="A84" s="242"/>
      <c r="B84" s="267"/>
      <c r="C84" s="267"/>
      <c r="D84" s="267"/>
      <c r="E84" s="267"/>
      <c r="F84" s="267"/>
      <c r="G84" s="267"/>
      <c r="H84" s="267"/>
      <c r="I84" s="365"/>
      <c r="J84" s="365"/>
      <c r="K84" s="267"/>
    </row>
    <row r="85" spans="1:11" ht="24.95" customHeight="1" x14ac:dyDescent="0.25">
      <c r="A85" s="242"/>
      <c r="B85" s="267"/>
      <c r="C85" s="267"/>
      <c r="D85" s="267"/>
      <c r="E85" s="267"/>
      <c r="F85" s="267"/>
      <c r="G85" s="267"/>
      <c r="H85" s="267"/>
      <c r="I85" s="365"/>
      <c r="J85" s="365"/>
      <c r="K85" s="267"/>
    </row>
    <row r="86" spans="1:11" ht="24.95" customHeight="1" x14ac:dyDescent="0.25">
      <c r="A86" s="242"/>
      <c r="B86" s="267"/>
      <c r="C86" s="267"/>
      <c r="D86" s="267"/>
      <c r="E86" s="267"/>
      <c r="F86" s="267"/>
      <c r="G86" s="267"/>
      <c r="H86" s="267"/>
      <c r="I86" s="365"/>
      <c r="J86" s="365"/>
      <c r="K86" s="267"/>
    </row>
    <row r="87" spans="1:11" ht="24.95" customHeight="1" x14ac:dyDescent="0.25">
      <c r="A87" s="242"/>
      <c r="B87" s="267"/>
      <c r="C87" s="267"/>
      <c r="D87" s="267"/>
      <c r="E87" s="267"/>
      <c r="F87" s="267"/>
      <c r="G87" s="267"/>
      <c r="H87" s="267"/>
      <c r="I87" s="365"/>
      <c r="J87" s="365"/>
      <c r="K87" s="267"/>
    </row>
    <row r="88" spans="1:11" ht="24.95" customHeight="1" x14ac:dyDescent="0.25">
      <c r="A88" s="242"/>
      <c r="B88" s="267"/>
      <c r="C88" s="267"/>
      <c r="D88" s="267"/>
      <c r="E88" s="267"/>
      <c r="F88" s="267"/>
      <c r="G88" s="267"/>
      <c r="H88" s="267"/>
      <c r="I88" s="346"/>
      <c r="J88" s="346"/>
      <c r="K88" s="267"/>
    </row>
    <row r="89" spans="1:11" ht="24.95" customHeight="1" x14ac:dyDescent="0.25">
      <c r="A89" s="242"/>
      <c r="B89" s="267"/>
      <c r="C89" s="267"/>
      <c r="D89" s="267"/>
      <c r="E89" s="267"/>
      <c r="F89" s="267"/>
      <c r="G89" s="267"/>
      <c r="H89" s="267"/>
      <c r="I89" s="346"/>
      <c r="J89" s="346"/>
      <c r="K89" s="267"/>
    </row>
    <row r="90" spans="1:11" ht="24.95" customHeight="1" x14ac:dyDescent="0.25">
      <c r="A90" s="242"/>
    </row>
    <row r="91" spans="1:11" ht="24.95" customHeight="1" x14ac:dyDescent="0.25">
      <c r="A91" s="242"/>
    </row>
    <row r="92" spans="1:11" ht="24.95" customHeight="1" x14ac:dyDescent="0.25">
      <c r="A92" s="242"/>
    </row>
    <row r="93" spans="1:11" ht="24.95" customHeight="1" x14ac:dyDescent="0.25">
      <c r="A93" s="242"/>
    </row>
    <row r="94" spans="1:11" ht="24.95" customHeight="1" x14ac:dyDescent="0.25">
      <c r="A94" s="242"/>
      <c r="F94" s="244"/>
      <c r="H94" s="201" t="s">
        <v>656</v>
      </c>
    </row>
    <row r="95" spans="1:11" ht="24.95" customHeight="1" x14ac:dyDescent="0.25">
      <c r="A95" s="242"/>
      <c r="B95" s="430" t="s">
        <v>695</v>
      </c>
      <c r="C95" s="430"/>
      <c r="E95" s="438" t="s">
        <v>654</v>
      </c>
      <c r="F95" s="438"/>
      <c r="H95" s="338"/>
      <c r="J95" s="437"/>
      <c r="K95" s="437"/>
    </row>
    <row r="96" spans="1:11" ht="24.95" customHeight="1" x14ac:dyDescent="0.25">
      <c r="A96" s="242"/>
      <c r="B96" s="201" t="s">
        <v>253</v>
      </c>
      <c r="E96" s="201" t="s">
        <v>254</v>
      </c>
      <c r="G96" s="201" t="s">
        <v>255</v>
      </c>
      <c r="J96" s="201" t="s">
        <v>646</v>
      </c>
    </row>
    <row r="97" spans="1:1" x14ac:dyDescent="0.25">
      <c r="A97" s="242"/>
    </row>
  </sheetData>
  <mergeCells count="41">
    <mergeCell ref="D9:F9"/>
    <mergeCell ref="D50:E50"/>
    <mergeCell ref="D51:E51"/>
    <mergeCell ref="D54:E54"/>
    <mergeCell ref="D55:E55"/>
    <mergeCell ref="D44:E44"/>
    <mergeCell ref="D45:E45"/>
    <mergeCell ref="J24:L24"/>
    <mergeCell ref="H26:I26"/>
    <mergeCell ref="H27:I27"/>
    <mergeCell ref="H28:I28"/>
    <mergeCell ref="H29:I29"/>
    <mergeCell ref="J64:L64"/>
    <mergeCell ref="B95:C95"/>
    <mergeCell ref="J66:L66"/>
    <mergeCell ref="J67:L67"/>
    <mergeCell ref="H68:I68"/>
    <mergeCell ref="J68:L68"/>
    <mergeCell ref="F69:G69"/>
    <mergeCell ref="J69:L69"/>
    <mergeCell ref="I70:J70"/>
    <mergeCell ref="I76:J76"/>
    <mergeCell ref="J95:K95"/>
    <mergeCell ref="E95:F95"/>
    <mergeCell ref="D77:K79"/>
    <mergeCell ref="E62:H62"/>
    <mergeCell ref="J65:L65"/>
    <mergeCell ref="A1:L1"/>
    <mergeCell ref="A2:L2"/>
    <mergeCell ref="A3:L3"/>
    <mergeCell ref="I9:L9"/>
    <mergeCell ref="J4:L4"/>
    <mergeCell ref="J5:L5"/>
    <mergeCell ref="D11:E11"/>
    <mergeCell ref="B11:C11"/>
    <mergeCell ref="B24:G24"/>
    <mergeCell ref="D32:E32"/>
    <mergeCell ref="D38:E38"/>
    <mergeCell ref="H24:I24"/>
    <mergeCell ref="J62:L62"/>
    <mergeCell ref="J63:L63"/>
  </mergeCells>
  <dataValidations count="5">
    <dataValidation type="list" allowBlank="1" showInputMessage="1" showErrorMessage="1" sqref="F50:G50">
      <formula1>$F$51:$F$53</formula1>
    </dataValidation>
    <dataValidation type="list" allowBlank="1" showInputMessage="1" showErrorMessage="1" sqref="F32:G32">
      <formula1>$F$33:$F$37</formula1>
    </dataValidation>
    <dataValidation type="list" allowBlank="1" showInputMessage="1" showErrorMessage="1" sqref="F38:G38">
      <formula1>$F$39:$F$43</formula1>
    </dataValidation>
    <dataValidation type="list" allowBlank="1" showInputMessage="1" showErrorMessage="1" sqref="F44:G44">
      <formula1>$F$45:$F$49</formula1>
    </dataValidation>
    <dataValidation type="list" allowBlank="1" showInputMessage="1" showErrorMessage="1" sqref="F54:G54">
      <formula1>$F$55:$F$57</formula1>
    </dataValidation>
  </dataValidations>
  <pageMargins left="0.7" right="0.7" top="0.75" bottom="0.75" header="0.3" footer="0.3"/>
  <pageSetup scale="68" orientation="portrait" r:id="rId1"/>
  <rowBreaks count="1" manualBreakCount="1">
    <brk id="58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8</xdr:col>
                    <xdr:colOff>76200</xdr:colOff>
                    <xdr:row>73</xdr:row>
                    <xdr:rowOff>171450</xdr:rowOff>
                  </from>
                  <to>
                    <xdr:col>8</xdr:col>
                    <xdr:colOff>342900</xdr:colOff>
                    <xdr:row>74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4</xdr:col>
                    <xdr:colOff>342900</xdr:colOff>
                    <xdr:row>73</xdr:row>
                    <xdr:rowOff>161925</xdr:rowOff>
                  </from>
                  <to>
                    <xdr:col>5</xdr:col>
                    <xdr:colOff>76200</xdr:colOff>
                    <xdr:row>74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Check Box 4">
              <controlPr defaultSize="0" autoFill="0" autoLine="0" autoPict="0">
                <anchor moveWithCells="1">
                  <from>
                    <xdr:col>1</xdr:col>
                    <xdr:colOff>409575</xdr:colOff>
                    <xdr:row>73</xdr:row>
                    <xdr:rowOff>152400</xdr:rowOff>
                  </from>
                  <to>
                    <xdr:col>2</xdr:col>
                    <xdr:colOff>219075</xdr:colOff>
                    <xdr:row>74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7" name="Check Box 26">
              <controlPr defaultSize="0" autoFill="0" autoLine="0" autoPict="0">
                <anchor moveWithCells="1">
                  <from>
                    <xdr:col>9</xdr:col>
                    <xdr:colOff>190500</xdr:colOff>
                    <xdr:row>10</xdr:row>
                    <xdr:rowOff>171450</xdr:rowOff>
                  </from>
                  <to>
                    <xdr:col>9</xdr:col>
                    <xdr:colOff>390525</xdr:colOff>
                    <xdr:row>10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8" name="Check Box 27">
              <controlPr defaultSize="0" autoFill="0" autoLine="0" autoPict="0">
                <anchor moveWithCells="1">
                  <from>
                    <xdr:col>9</xdr:col>
                    <xdr:colOff>180975</xdr:colOff>
                    <xdr:row>11</xdr:row>
                    <xdr:rowOff>114300</xdr:rowOff>
                  </from>
                  <to>
                    <xdr:col>9</xdr:col>
                    <xdr:colOff>381000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9" name="Check Box 28">
              <controlPr defaultSize="0" autoFill="0" autoLine="0" autoPict="0">
                <anchor moveWithCells="1">
                  <from>
                    <xdr:col>9</xdr:col>
                    <xdr:colOff>180975</xdr:colOff>
                    <xdr:row>12</xdr:row>
                    <xdr:rowOff>114300</xdr:rowOff>
                  </from>
                  <to>
                    <xdr:col>9</xdr:col>
                    <xdr:colOff>381000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10" name="Check Box 29">
              <controlPr defaultSize="0" autoFill="0" autoLine="0" autoPict="0">
                <anchor moveWithCells="1">
                  <from>
                    <xdr:col>4</xdr:col>
                    <xdr:colOff>161925</xdr:colOff>
                    <xdr:row>16</xdr:row>
                    <xdr:rowOff>114300</xdr:rowOff>
                  </from>
                  <to>
                    <xdr:col>4</xdr:col>
                    <xdr:colOff>361950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11" name="Check Box 30">
              <controlPr defaultSize="0" autoFill="0" autoLine="0" autoPict="0">
                <anchor moveWithCells="1">
                  <from>
                    <xdr:col>6</xdr:col>
                    <xdr:colOff>180975</xdr:colOff>
                    <xdr:row>16</xdr:row>
                    <xdr:rowOff>133350</xdr:rowOff>
                  </from>
                  <to>
                    <xdr:col>6</xdr:col>
                    <xdr:colOff>381000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12" name="Check Box 31">
              <controlPr defaultSize="0" autoFill="0" autoLine="0" autoPict="0">
                <anchor moveWithCells="1">
                  <from>
                    <xdr:col>9</xdr:col>
                    <xdr:colOff>180975</xdr:colOff>
                    <xdr:row>16</xdr:row>
                    <xdr:rowOff>114300</xdr:rowOff>
                  </from>
                  <to>
                    <xdr:col>9</xdr:col>
                    <xdr:colOff>381000</xdr:colOff>
                    <xdr:row>17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D15" sqref="D15"/>
    </sheetView>
  </sheetViews>
  <sheetFormatPr defaultRowHeight="15" x14ac:dyDescent="0.25"/>
  <cols>
    <col min="4" max="4" width="9.5703125" style="374" bestFit="1" customWidth="1"/>
    <col min="5" max="6" width="14.28515625" style="351" bestFit="1" customWidth="1"/>
  </cols>
  <sheetData>
    <row r="1" spans="1:6" x14ac:dyDescent="0.25">
      <c r="A1" s="341"/>
      <c r="B1" s="370" t="s">
        <v>682</v>
      </c>
      <c r="C1" s="368"/>
      <c r="D1" s="298"/>
      <c r="E1" s="368"/>
      <c r="F1" s="368"/>
    </row>
    <row r="2" spans="1:6" s="368" customFormat="1" x14ac:dyDescent="0.25">
      <c r="A2" s="370"/>
      <c r="B2" s="370">
        <v>8.1999999999999993</v>
      </c>
      <c r="C2" s="370">
        <v>9.5299999999999994</v>
      </c>
      <c r="D2" s="298">
        <f>+B2*C2</f>
        <v>78.145999999999987</v>
      </c>
    </row>
    <row r="3" spans="1:6" s="368" customFormat="1" x14ac:dyDescent="0.25">
      <c r="A3" s="370"/>
      <c r="B3" s="370">
        <v>-4</v>
      </c>
      <c r="C3" s="370">
        <v>1.08</v>
      </c>
      <c r="D3" s="298">
        <f>+B3*C3</f>
        <v>-4.32</v>
      </c>
    </row>
    <row r="4" spans="1:6" x14ac:dyDescent="0.25">
      <c r="B4" s="368"/>
      <c r="C4" s="368"/>
      <c r="D4" s="375">
        <f>SUM(D2:D3)</f>
        <v>73.825999999999993</v>
      </c>
      <c r="E4" s="371"/>
      <c r="F4" s="369"/>
    </row>
    <row r="5" spans="1:6" x14ac:dyDescent="0.25">
      <c r="A5" s="341"/>
      <c r="B5" s="370" t="s">
        <v>688</v>
      </c>
      <c r="C5" s="368"/>
      <c r="E5" s="368"/>
      <c r="F5" s="369"/>
    </row>
    <row r="6" spans="1:6" s="368" customFormat="1" x14ac:dyDescent="0.25">
      <c r="A6" s="370"/>
      <c r="B6" s="370">
        <v>8.1999999999999993</v>
      </c>
      <c r="C6" s="368">
        <v>9.5299999999999994</v>
      </c>
      <c r="D6" s="374">
        <f>+B6*C6</f>
        <v>78.145999999999987</v>
      </c>
      <c r="F6" s="369"/>
    </row>
    <row r="7" spans="1:6" s="368" customFormat="1" x14ac:dyDescent="0.25">
      <c r="A7" s="370"/>
      <c r="B7" s="370">
        <v>-4</v>
      </c>
      <c r="C7" s="368">
        <v>1.08</v>
      </c>
      <c r="D7" s="374">
        <f>+B7*C7</f>
        <v>-4.32</v>
      </c>
      <c r="F7" s="369"/>
    </row>
    <row r="8" spans="1:6" s="368" customFormat="1" x14ac:dyDescent="0.25">
      <c r="A8" s="370"/>
      <c r="B8" s="370">
        <v>0.5</v>
      </c>
      <c r="C8" s="368">
        <v>2</v>
      </c>
      <c r="D8" s="374">
        <f>+B8*C8*0.6</f>
        <v>0.6</v>
      </c>
      <c r="F8" s="369"/>
    </row>
    <row r="9" spans="1:6" s="368" customFormat="1" x14ac:dyDescent="0.25">
      <c r="A9" s="370"/>
      <c r="B9" s="370">
        <v>0.6</v>
      </c>
      <c r="C9" s="368">
        <v>2.36</v>
      </c>
      <c r="D9" s="374">
        <f>+B9*C9*0.6</f>
        <v>0.84959999999999991</v>
      </c>
      <c r="F9" s="369"/>
    </row>
    <row r="10" spans="1:6" x14ac:dyDescent="0.25">
      <c r="B10" s="368"/>
      <c r="C10" s="368"/>
      <c r="D10" s="375">
        <f>SUM(D6:D9)</f>
        <v>75.275599999999983</v>
      </c>
      <c r="E10" s="371"/>
      <c r="F10" s="369"/>
    </row>
    <row r="11" spans="1:6" x14ac:dyDescent="0.25">
      <c r="C11" s="341"/>
      <c r="D11" s="375"/>
    </row>
    <row r="12" spans="1:6" s="368" customFormat="1" x14ac:dyDescent="0.25">
      <c r="A12" s="370"/>
      <c r="B12" s="370" t="s">
        <v>692</v>
      </c>
      <c r="D12" s="374"/>
      <c r="F12" s="369"/>
    </row>
    <row r="13" spans="1:6" s="368" customFormat="1" x14ac:dyDescent="0.25">
      <c r="A13" s="370"/>
      <c r="B13" s="370"/>
      <c r="D13" s="375">
        <f>+D10</f>
        <v>75.275599999999983</v>
      </c>
      <c r="F13" s="369"/>
    </row>
    <row r="14" spans="1:6" s="368" customFormat="1" x14ac:dyDescent="0.25">
      <c r="D14" s="375"/>
      <c r="E14" s="371"/>
      <c r="F14" s="369"/>
    </row>
    <row r="15" spans="1:6" x14ac:dyDescent="0.25">
      <c r="B15" s="348"/>
      <c r="C15" s="349" t="s">
        <v>329</v>
      </c>
      <c r="D15" s="360">
        <f>+D4+D10+D13</f>
        <v>224.37719999999996</v>
      </c>
      <c r="E15" s="350">
        <v>42100</v>
      </c>
      <c r="F15" s="372">
        <f>+D15*E15</f>
        <v>9446280.1199999992</v>
      </c>
    </row>
    <row r="16" spans="1:6" x14ac:dyDescent="0.25">
      <c r="C16" s="34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Sheet1</vt:lpstr>
      <vt:lpstr>Villa Lower</vt:lpstr>
      <vt:lpstr>Villa Higher</vt:lpstr>
      <vt:lpstr>G+ Buildings</vt:lpstr>
      <vt:lpstr>Multi-Purposed halls</vt:lpstr>
      <vt:lpstr>Plot grade</vt:lpstr>
      <vt:lpstr>Fence and Compund</vt:lpstr>
      <vt:lpstr>Location</vt:lpstr>
      <vt:lpstr>Sheet2</vt:lpstr>
      <vt:lpstr>Area</vt:lpstr>
      <vt:lpstr>Location!Print_Area</vt:lpstr>
      <vt:lpstr>Sheet2!Print_Area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Hana Seyfu Bekele</cp:lastModifiedBy>
  <cp:lastPrinted>2023-09-20T06:12:50Z</cp:lastPrinted>
  <dcterms:created xsi:type="dcterms:W3CDTF">2022-04-13T05:50:51Z</dcterms:created>
  <dcterms:modified xsi:type="dcterms:W3CDTF">2026-06-23T13:55:15Z</dcterms:modified>
</cp:coreProperties>
</file>